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q87z649\Documents\DATA\Arnold, Adrienne\book chapter\supplementary materials\"/>
    </mc:Choice>
  </mc:AlternateContent>
  <xr:revisionPtr revIDLastSave="0" documentId="13_ncr:1_{655E5F98-1821-43B9-BF5B-25D5B7BD055E}" xr6:coauthVersionLast="47" xr6:coauthVersionMax="47" xr10:uidLastSave="{00000000-0000-0000-0000-000000000000}"/>
  <bookViews>
    <workbookView xWindow="-23925" yWindow="1890" windowWidth="21600" windowHeight="11385" xr2:uid="{F616D063-C162-4659-82E2-9007163C1795}"/>
  </bookViews>
  <sheets>
    <sheet name="file overview" sheetId="14" r:id="rId1"/>
    <sheet name="model reaction data" sheetId="18" r:id="rId2"/>
    <sheet name="type II biomass composition" sheetId="1" r:id="rId3"/>
    <sheet name="type II biomass calculations " sheetId="3" r:id="rId4"/>
    <sheet name="biomass reaction variations" sheetId="16" r:id="rId5"/>
    <sheet name="model metabolite data" sheetId="17" r:id="rId6"/>
    <sheet name="model balance analysis" sheetId="15" r:id="rId7"/>
    <sheet name="CNA inputs type I" sheetId="19" r:id="rId8"/>
    <sheet name="CNA inputs type II" sheetId="20" r:id="rId9"/>
    <sheet name="ATP summary" sheetId="23" r:id="rId10"/>
    <sheet name="ATP TII N2" sheetId="25" r:id="rId11"/>
    <sheet name="ATP TII nitrate" sheetId="29" r:id="rId12"/>
    <sheet name="ATP TI N2" sheetId="30" r:id="rId13"/>
    <sheet name="ATP TI nitrate" sheetId="28" r:id="rId14"/>
    <sheet name="biomass summary" sheetId="22" r:id="rId15"/>
    <sheet name="biomass TII DoR N2" sheetId="27" r:id="rId16"/>
    <sheet name="biomass TII DoR" sheetId="24" r:id="rId17"/>
    <sheet name="biomass TII MMO N2" sheetId="26" r:id="rId18"/>
    <sheet name="ATP maintenance calculations  " sheetId="8" r:id="rId19"/>
    <sheet name="code summary" sheetId="31" r:id="rId20"/>
  </sheets>
  <externalReferences>
    <externalReference r:id="rId21"/>
    <externalReference r:id="rId2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 i="3" l="1"/>
  <c r="AB146" i="27"/>
  <c r="AA146" i="27"/>
  <c r="Z146" i="27"/>
  <c r="Y146" i="27"/>
  <c r="X146" i="27"/>
  <c r="W146" i="27"/>
  <c r="U146" i="27"/>
  <c r="T146" i="27"/>
  <c r="S146" i="27"/>
  <c r="R146" i="27"/>
  <c r="Q146" i="27"/>
  <c r="P146" i="27"/>
  <c r="N146" i="27"/>
  <c r="M146" i="27"/>
  <c r="L146" i="27"/>
  <c r="K146" i="27"/>
  <c r="J146" i="27"/>
  <c r="I146" i="27"/>
  <c r="G146" i="27"/>
  <c r="F146" i="27"/>
  <c r="E146" i="27"/>
  <c r="D146" i="27"/>
  <c r="C146" i="27"/>
  <c r="B146" i="27"/>
  <c r="U146" i="26"/>
  <c r="T146" i="26"/>
  <c r="S146" i="26"/>
  <c r="R146" i="26"/>
  <c r="Q146" i="26"/>
  <c r="P146" i="26"/>
  <c r="N146" i="26"/>
  <c r="M146" i="26"/>
  <c r="L146" i="26"/>
  <c r="K146" i="26"/>
  <c r="J146" i="26"/>
  <c r="I146" i="26"/>
  <c r="G146" i="26"/>
  <c r="F146" i="26"/>
  <c r="E146" i="26"/>
  <c r="D146" i="26"/>
  <c r="C146" i="26"/>
  <c r="B146" i="26"/>
  <c r="AF155" i="25"/>
  <c r="AE155" i="25"/>
  <c r="AD155" i="25"/>
  <c r="AC155" i="25"/>
  <c r="AB155" i="25"/>
  <c r="AA155" i="25"/>
  <c r="Z155" i="25"/>
  <c r="Y155" i="25"/>
  <c r="X155" i="25"/>
  <c r="W155" i="25"/>
  <c r="U155" i="25"/>
  <c r="T155" i="25"/>
  <c r="S155" i="25"/>
  <c r="R155" i="25"/>
  <c r="Q155" i="25"/>
  <c r="P155" i="25"/>
  <c r="O155" i="25"/>
  <c r="N155" i="25"/>
  <c r="M155" i="25"/>
  <c r="L155" i="25"/>
  <c r="J155" i="25"/>
  <c r="I155" i="25"/>
  <c r="H155" i="25"/>
  <c r="G155" i="25"/>
  <c r="F155" i="25"/>
  <c r="E155" i="25"/>
  <c r="D155" i="25"/>
  <c r="C155" i="25"/>
  <c r="B155" i="25"/>
  <c r="A155" i="25"/>
  <c r="AF154" i="25"/>
  <c r="AE154" i="25"/>
  <c r="AD154" i="25"/>
  <c r="AC154" i="25"/>
  <c r="AB154" i="25"/>
  <c r="AA154" i="25"/>
  <c r="Z154" i="25"/>
  <c r="Y154" i="25"/>
  <c r="X154" i="25"/>
  <c r="W154" i="25"/>
  <c r="U154" i="25"/>
  <c r="T154" i="25"/>
  <c r="S154" i="25"/>
  <c r="R154" i="25"/>
  <c r="Q154" i="25"/>
  <c r="P154" i="25"/>
  <c r="O154" i="25"/>
  <c r="N154" i="25"/>
  <c r="M154" i="25"/>
  <c r="L154" i="25"/>
  <c r="J154" i="25"/>
  <c r="I154" i="25"/>
  <c r="H154" i="25"/>
  <c r="G154" i="25"/>
  <c r="F154" i="25"/>
  <c r="E154" i="25"/>
  <c r="D154" i="25"/>
  <c r="C154" i="25"/>
  <c r="B154" i="25"/>
  <c r="A154" i="25"/>
  <c r="AF153" i="25"/>
  <c r="AF158" i="25" s="1"/>
  <c r="AE153" i="25"/>
  <c r="AE158" i="25" s="1"/>
  <c r="AD153" i="25"/>
  <c r="AD158" i="25" s="1"/>
  <c r="AC153" i="25"/>
  <c r="AC158" i="25" s="1"/>
  <c r="AB153" i="25"/>
  <c r="AB158" i="25" s="1"/>
  <c r="AA153" i="25"/>
  <c r="AA158" i="25" s="1"/>
  <c r="Z153" i="25"/>
  <c r="Z158" i="25" s="1"/>
  <c r="Y153" i="25"/>
  <c r="Y158" i="25" s="1"/>
  <c r="X153" i="25"/>
  <c r="X158" i="25" s="1"/>
  <c r="W153" i="25"/>
  <c r="W158" i="25" s="1"/>
  <c r="U153" i="25"/>
  <c r="U158" i="25" s="1"/>
  <c r="T153" i="25"/>
  <c r="T158" i="25" s="1"/>
  <c r="S153" i="25"/>
  <c r="S158" i="25" s="1"/>
  <c r="R153" i="25"/>
  <c r="R158" i="25" s="1"/>
  <c r="Q153" i="25"/>
  <c r="Q158" i="25" s="1"/>
  <c r="P153" i="25"/>
  <c r="P158" i="25" s="1"/>
  <c r="O153" i="25"/>
  <c r="O158" i="25" s="1"/>
  <c r="N153" i="25"/>
  <c r="N158" i="25" s="1"/>
  <c r="M153" i="25"/>
  <c r="M158" i="25" s="1"/>
  <c r="L153" i="25"/>
  <c r="L158" i="25" s="1"/>
  <c r="J153" i="25"/>
  <c r="J158" i="25" s="1"/>
  <c r="I153" i="25"/>
  <c r="I158" i="25" s="1"/>
  <c r="H153" i="25"/>
  <c r="H158" i="25" s="1"/>
  <c r="G153" i="25"/>
  <c r="G158" i="25" s="1"/>
  <c r="F153" i="25"/>
  <c r="F158" i="25" s="1"/>
  <c r="E153" i="25"/>
  <c r="E158" i="25" s="1"/>
  <c r="D153" i="25"/>
  <c r="D158" i="25" s="1"/>
  <c r="C153" i="25"/>
  <c r="C158" i="25" s="1"/>
  <c r="B153" i="25"/>
  <c r="B158" i="25" s="1"/>
  <c r="A153" i="25"/>
  <c r="A158" i="25" s="1"/>
  <c r="AF152" i="25"/>
  <c r="AE152" i="25"/>
  <c r="AE157" i="25" s="1"/>
  <c r="AD152" i="25"/>
  <c r="AC152" i="25"/>
  <c r="AB152" i="25"/>
  <c r="AA152" i="25"/>
  <c r="Z152" i="25"/>
  <c r="Z157" i="25" s="1"/>
  <c r="Y152" i="25"/>
  <c r="X152" i="25"/>
  <c r="W152" i="25"/>
  <c r="W157" i="25" s="1"/>
  <c r="U152" i="25"/>
  <c r="T152" i="25"/>
  <c r="S152" i="25"/>
  <c r="R152" i="25"/>
  <c r="Q152" i="25"/>
  <c r="Q157" i="25" s="1"/>
  <c r="P152" i="25"/>
  <c r="O152" i="25"/>
  <c r="N152" i="25"/>
  <c r="N157" i="25" s="1"/>
  <c r="M152" i="25"/>
  <c r="L152" i="25"/>
  <c r="J152" i="25"/>
  <c r="I152" i="25"/>
  <c r="H152" i="25"/>
  <c r="H157" i="25" s="1"/>
  <c r="G152" i="25"/>
  <c r="F152" i="25"/>
  <c r="E152" i="25"/>
  <c r="E157" i="25" s="1"/>
  <c r="D152" i="25"/>
  <c r="C152" i="25"/>
  <c r="B152" i="25"/>
  <c r="A152" i="25"/>
  <c r="AF151" i="25"/>
  <c r="AF157" i="25" s="1"/>
  <c r="AE151" i="25"/>
  <c r="AD151" i="25"/>
  <c r="AD157" i="25" s="1"/>
  <c r="AC151" i="25"/>
  <c r="AC157" i="25" s="1"/>
  <c r="AB151" i="25"/>
  <c r="AB157" i="25" s="1"/>
  <c r="AA151" i="25"/>
  <c r="AA157" i="25" s="1"/>
  <c r="Z151" i="25"/>
  <c r="Y151" i="25"/>
  <c r="Y157" i="25" s="1"/>
  <c r="X151" i="25"/>
  <c r="X157" i="25" s="1"/>
  <c r="W151" i="25"/>
  <c r="U151" i="25"/>
  <c r="U157" i="25" s="1"/>
  <c r="T151" i="25"/>
  <c r="T157" i="25" s="1"/>
  <c r="S151" i="25"/>
  <c r="S157" i="25" s="1"/>
  <c r="R151" i="25"/>
  <c r="R157" i="25" s="1"/>
  <c r="Q151" i="25"/>
  <c r="P151" i="25"/>
  <c r="P157" i="25" s="1"/>
  <c r="O151" i="25"/>
  <c r="O157" i="25" s="1"/>
  <c r="N151" i="25"/>
  <c r="M151" i="25"/>
  <c r="M157" i="25" s="1"/>
  <c r="L151" i="25"/>
  <c r="L157" i="25" s="1"/>
  <c r="J151" i="25"/>
  <c r="J157" i="25" s="1"/>
  <c r="I151" i="25"/>
  <c r="I157" i="25" s="1"/>
  <c r="H151" i="25"/>
  <c r="G151" i="25"/>
  <c r="G157" i="25" s="1"/>
  <c r="F151" i="25"/>
  <c r="F157" i="25" s="1"/>
  <c r="E151" i="25"/>
  <c r="D151" i="25"/>
  <c r="D157" i="25" s="1"/>
  <c r="C151" i="25"/>
  <c r="C157" i="25" s="1"/>
  <c r="B151" i="25"/>
  <c r="B157" i="25" s="1"/>
  <c r="A151" i="25"/>
  <c r="A157" i="25" s="1"/>
  <c r="AB146" i="24"/>
  <c r="AA146" i="24"/>
  <c r="Z146" i="24"/>
  <c r="Y146" i="24"/>
  <c r="X146" i="24"/>
  <c r="W146" i="24"/>
  <c r="U146" i="24"/>
  <c r="T146" i="24"/>
  <c r="S146" i="24"/>
  <c r="R146" i="24"/>
  <c r="Q146" i="24"/>
  <c r="P146" i="24"/>
  <c r="N146" i="24"/>
  <c r="M146" i="24"/>
  <c r="L146" i="24"/>
  <c r="K146" i="24"/>
  <c r="J146" i="24"/>
  <c r="I146" i="24"/>
  <c r="G146" i="24"/>
  <c r="F146" i="24"/>
  <c r="E146" i="24"/>
  <c r="D146" i="24"/>
  <c r="C146" i="24"/>
  <c r="B146" i="24"/>
  <c r="B39" i="23"/>
  <c r="C39" i="23" s="1"/>
  <c r="D39" i="23"/>
  <c r="E39" i="23" s="1"/>
  <c r="F39" i="23"/>
  <c r="G39" i="23" s="1"/>
  <c r="J39" i="23"/>
  <c r="K39" i="23"/>
  <c r="L39" i="23"/>
  <c r="M39" i="23"/>
  <c r="N39" i="23"/>
  <c r="O39" i="23"/>
  <c r="B40" i="23"/>
  <c r="C40" i="23" s="1"/>
  <c r="D40" i="23"/>
  <c r="E40" i="23"/>
  <c r="F40" i="23"/>
  <c r="G40" i="23"/>
  <c r="J40" i="23"/>
  <c r="K40" i="23"/>
  <c r="L40" i="23"/>
  <c r="M40" i="23" s="1"/>
  <c r="N40" i="23"/>
  <c r="O40" i="23"/>
  <c r="B41" i="23"/>
  <c r="C41" i="23"/>
  <c r="D41" i="23"/>
  <c r="E41" i="23"/>
  <c r="F41" i="23"/>
  <c r="G41" i="23" s="1"/>
  <c r="J41" i="23"/>
  <c r="K41" i="23"/>
  <c r="L41" i="23"/>
  <c r="M41" i="23"/>
  <c r="N41" i="23"/>
  <c r="O41" i="23"/>
  <c r="B42" i="23"/>
  <c r="C42" i="23" s="1"/>
  <c r="D42" i="23"/>
  <c r="E42" i="23"/>
  <c r="F42" i="23"/>
  <c r="G42" i="23"/>
  <c r="J42" i="23"/>
  <c r="K42" i="23"/>
  <c r="L42" i="23"/>
  <c r="M42" i="23" s="1"/>
  <c r="N42" i="23"/>
  <c r="O42" i="23"/>
  <c r="B43" i="23"/>
  <c r="C43" i="23"/>
  <c r="D43" i="23"/>
  <c r="E43" i="23"/>
  <c r="F43" i="23"/>
  <c r="G43" i="23" s="1"/>
  <c r="J43" i="23"/>
  <c r="K43" i="23"/>
  <c r="L43" i="23"/>
  <c r="M43" i="23"/>
  <c r="N43" i="23"/>
  <c r="O43" i="23"/>
  <c r="B44" i="23"/>
  <c r="C44" i="23" s="1"/>
  <c r="D44" i="23"/>
  <c r="E44" i="23"/>
  <c r="F44" i="23"/>
  <c r="G44" i="23"/>
  <c r="J44" i="23"/>
  <c r="K44" i="23"/>
  <c r="L44" i="23"/>
  <c r="M44" i="23" s="1"/>
  <c r="N44" i="23"/>
  <c r="O44" i="23"/>
  <c r="B45" i="23"/>
  <c r="C45" i="23"/>
  <c r="D45" i="23"/>
  <c r="E45" i="23"/>
  <c r="F45" i="23"/>
  <c r="G45" i="23" s="1"/>
  <c r="J45" i="23"/>
  <c r="K45" i="23"/>
  <c r="L45" i="23"/>
  <c r="M45" i="23"/>
  <c r="N45" i="23"/>
  <c r="O45" i="23"/>
  <c r="B46" i="23"/>
  <c r="C46" i="23" s="1"/>
  <c r="D46" i="23"/>
  <c r="E46" i="23"/>
  <c r="F46" i="23"/>
  <c r="G46" i="23"/>
  <c r="J46" i="23"/>
  <c r="K46" i="23"/>
  <c r="L46" i="23"/>
  <c r="M46" i="23" s="1"/>
  <c r="N46" i="23"/>
  <c r="O46" i="23"/>
  <c r="B47" i="23"/>
  <c r="C47" i="23"/>
  <c r="D47" i="23"/>
  <c r="E47" i="23"/>
  <c r="F47" i="23"/>
  <c r="G47" i="23" s="1"/>
  <c r="J47" i="23"/>
  <c r="K47" i="23"/>
  <c r="L47" i="23"/>
  <c r="M47" i="23"/>
  <c r="N47" i="23"/>
  <c r="O47" i="23"/>
  <c r="B48" i="23"/>
  <c r="C48" i="23" s="1"/>
  <c r="E48" i="23"/>
  <c r="F48" i="23"/>
  <c r="G48" i="23" s="1"/>
  <c r="J48" i="23"/>
  <c r="K48" i="23" s="1"/>
  <c r="L48" i="23"/>
  <c r="M48" i="23"/>
  <c r="N48" i="23"/>
  <c r="O48" i="23"/>
  <c r="B56" i="23"/>
  <c r="C56" i="23" s="1"/>
  <c r="D56" i="23"/>
  <c r="E56" i="23" s="1"/>
  <c r="F56" i="23"/>
  <c r="G56" i="23"/>
  <c r="J56" i="23"/>
  <c r="K56" i="23"/>
  <c r="L56" i="23"/>
  <c r="M56" i="23" s="1"/>
  <c r="N56" i="23"/>
  <c r="O56" i="23" s="1"/>
  <c r="B57" i="23"/>
  <c r="C57" i="23"/>
  <c r="D57" i="23"/>
  <c r="E57" i="23"/>
  <c r="F57" i="23"/>
  <c r="G57" i="23" s="1"/>
  <c r="J57" i="23"/>
  <c r="K57" i="23" s="1"/>
  <c r="L57" i="23"/>
  <c r="M57" i="23"/>
  <c r="N57" i="23"/>
  <c r="O57" i="23"/>
  <c r="B58" i="23"/>
  <c r="C58" i="23" s="1"/>
  <c r="D58" i="23"/>
  <c r="E58" i="23" s="1"/>
  <c r="F58" i="23"/>
  <c r="G58" i="23"/>
  <c r="J58" i="23"/>
  <c r="K58" i="23"/>
  <c r="L58" i="23"/>
  <c r="M58" i="23" s="1"/>
  <c r="N58" i="23"/>
  <c r="O58" i="23" s="1"/>
  <c r="B59" i="23"/>
  <c r="C59" i="23"/>
  <c r="D59" i="23"/>
  <c r="E59" i="23"/>
  <c r="F59" i="23"/>
  <c r="G59" i="23" s="1"/>
  <c r="J59" i="23"/>
  <c r="K59" i="23" s="1"/>
  <c r="L59" i="23"/>
  <c r="M59" i="23"/>
  <c r="N59" i="23"/>
  <c r="O59" i="23"/>
  <c r="B60" i="23"/>
  <c r="C60" i="23" s="1"/>
  <c r="D60" i="23"/>
  <c r="E60" i="23" s="1"/>
  <c r="F60" i="23"/>
  <c r="G60" i="23"/>
  <c r="J60" i="23"/>
  <c r="K60" i="23"/>
  <c r="L60" i="23"/>
  <c r="M60" i="23" s="1"/>
  <c r="N60" i="23"/>
  <c r="O60" i="23" s="1"/>
  <c r="B61" i="23"/>
  <c r="C61" i="23"/>
  <c r="D61" i="23"/>
  <c r="E61" i="23"/>
  <c r="F61" i="23"/>
  <c r="G61" i="23" s="1"/>
  <c r="J61" i="23"/>
  <c r="K61" i="23" s="1"/>
  <c r="L61" i="23"/>
  <c r="M61" i="23"/>
  <c r="N61" i="23"/>
  <c r="O61" i="23"/>
  <c r="B62" i="23"/>
  <c r="C62" i="23" s="1"/>
  <c r="D62" i="23"/>
  <c r="E62" i="23" s="1"/>
  <c r="F62" i="23"/>
  <c r="G62" i="23"/>
  <c r="J62" i="23"/>
  <c r="K62" i="23"/>
  <c r="L62" i="23"/>
  <c r="M62" i="23" s="1"/>
  <c r="N62" i="23"/>
  <c r="O62" i="23" s="1"/>
  <c r="B63" i="23"/>
  <c r="C63" i="23"/>
  <c r="D63" i="23"/>
  <c r="E63" i="23"/>
  <c r="F63" i="23"/>
  <c r="G63" i="23" s="1"/>
  <c r="J63" i="23"/>
  <c r="K63" i="23" s="1"/>
  <c r="L63" i="23"/>
  <c r="M63" i="23"/>
  <c r="N63" i="23"/>
  <c r="O63" i="23"/>
  <c r="C64" i="23"/>
  <c r="E64" i="23"/>
  <c r="F64" i="23"/>
  <c r="G64" i="23" s="1"/>
  <c r="K64" i="23"/>
  <c r="M64" i="23"/>
  <c r="N64" i="23"/>
  <c r="O64" i="23"/>
  <c r="E65" i="23"/>
  <c r="F65" i="23"/>
  <c r="G65" i="23"/>
  <c r="K65" i="23"/>
  <c r="M65" i="23"/>
  <c r="N65" i="23"/>
  <c r="O65" i="23" s="1"/>
  <c r="I4" i="22"/>
  <c r="J4" i="22"/>
  <c r="L4" i="22"/>
  <c r="I5" i="22"/>
  <c r="J5" i="22"/>
  <c r="L5" i="22"/>
  <c r="I6" i="22"/>
  <c r="J6" i="22"/>
  <c r="L6" i="22"/>
  <c r="I8" i="22"/>
  <c r="J8" i="22"/>
  <c r="L8" i="22"/>
  <c r="I9" i="22"/>
  <c r="J9" i="22"/>
  <c r="L9" i="22"/>
  <c r="Q9" i="22"/>
  <c r="T9" i="22"/>
  <c r="W9" i="22"/>
  <c r="Z9" i="22"/>
  <c r="AA9" i="22"/>
  <c r="AB9" i="22"/>
  <c r="I10" i="22"/>
  <c r="J10" i="22"/>
  <c r="L10" i="22"/>
  <c r="Q10" i="22"/>
  <c r="T10" i="22"/>
  <c r="W10" i="22"/>
  <c r="Z10" i="22"/>
  <c r="AA10" i="22"/>
  <c r="AB10" i="22"/>
  <c r="Q11" i="22"/>
  <c r="T11" i="22"/>
  <c r="W11" i="22"/>
  <c r="Z11" i="22"/>
  <c r="AA11" i="22"/>
  <c r="AB11" i="22"/>
  <c r="I12" i="22"/>
  <c r="J12" i="22"/>
  <c r="L12" i="22"/>
  <c r="Q12" i="22"/>
  <c r="T12" i="22"/>
  <c r="W12" i="22"/>
  <c r="Z12" i="22"/>
  <c r="AA12" i="22"/>
  <c r="AB12" i="22"/>
  <c r="I13" i="22"/>
  <c r="J13" i="22"/>
  <c r="L13" i="22"/>
  <c r="Q13" i="22"/>
  <c r="T13" i="22"/>
  <c r="W13" i="22"/>
  <c r="Z13" i="22"/>
  <c r="AA13" i="22"/>
  <c r="AB13" i="22"/>
  <c r="I14" i="22"/>
  <c r="J14" i="22"/>
  <c r="L14" i="22"/>
  <c r="Q14" i="22"/>
  <c r="T14" i="22"/>
  <c r="W14" i="22"/>
  <c r="Q15" i="22"/>
  <c r="T15" i="22"/>
  <c r="W15" i="22"/>
  <c r="I16" i="22"/>
  <c r="J16" i="22"/>
  <c r="L16" i="22"/>
  <c r="Q16" i="22"/>
  <c r="T16" i="22"/>
  <c r="W16" i="22"/>
  <c r="I17" i="22"/>
  <c r="J17" i="22"/>
  <c r="L17" i="22"/>
  <c r="Q17" i="22"/>
  <c r="T17" i="22"/>
  <c r="W17" i="22"/>
  <c r="I18" i="22"/>
  <c r="J18" i="22"/>
  <c r="L18" i="22"/>
  <c r="Q18" i="22"/>
  <c r="T18" i="22"/>
  <c r="W18" i="22"/>
  <c r="Q19" i="22"/>
  <c r="T19" i="22"/>
  <c r="W19" i="22"/>
  <c r="I20" i="22"/>
  <c r="J20" i="22"/>
  <c r="L20" i="22"/>
  <c r="Q20" i="22"/>
  <c r="T20" i="22"/>
  <c r="W20" i="22"/>
  <c r="I21" i="22"/>
  <c r="J21" i="22"/>
  <c r="L21" i="22"/>
  <c r="Q21" i="22"/>
  <c r="T21" i="22"/>
  <c r="W21" i="22"/>
  <c r="I22" i="22"/>
  <c r="J22" i="22"/>
  <c r="L22" i="22"/>
  <c r="Q22" i="22"/>
  <c r="T22" i="22"/>
  <c r="W22" i="22"/>
  <c r="I25" i="22"/>
  <c r="J25" i="22"/>
  <c r="L25" i="22"/>
  <c r="I26" i="22"/>
  <c r="J26" i="22"/>
  <c r="L26" i="22"/>
  <c r="I27" i="22"/>
  <c r="J27" i="22"/>
  <c r="L27" i="22"/>
  <c r="I29" i="22"/>
  <c r="J29" i="22"/>
  <c r="L29" i="22"/>
  <c r="I30" i="22"/>
  <c r="J30" i="22"/>
  <c r="L30" i="22"/>
  <c r="I31" i="22"/>
  <c r="J31" i="22"/>
  <c r="L31" i="22"/>
  <c r="I33" i="22"/>
  <c r="J33" i="22"/>
  <c r="L33" i="22"/>
  <c r="I34" i="22"/>
  <c r="J34" i="22"/>
  <c r="L34" i="22"/>
  <c r="I35" i="22"/>
  <c r="J35" i="22"/>
  <c r="L35" i="22"/>
  <c r="I38" i="22"/>
  <c r="J38" i="22"/>
  <c r="L38" i="22"/>
  <c r="I39" i="22"/>
  <c r="J39" i="22"/>
  <c r="L39" i="22"/>
  <c r="I40" i="22"/>
  <c r="J40" i="22"/>
  <c r="L40" i="22"/>
  <c r="I42" i="22"/>
  <c r="J42" i="22"/>
  <c r="L42" i="22"/>
  <c r="I43" i="22"/>
  <c r="J43" i="22"/>
  <c r="L43" i="22"/>
  <c r="I44" i="22"/>
  <c r="J44" i="22"/>
  <c r="L44" i="22"/>
  <c r="I46" i="22"/>
  <c r="J46" i="22"/>
  <c r="L46" i="22"/>
  <c r="I47" i="22"/>
  <c r="J47" i="22"/>
  <c r="L47" i="22"/>
  <c r="I48" i="22"/>
  <c r="J48" i="22"/>
  <c r="L48" i="22"/>
  <c r="I51" i="22"/>
  <c r="J51" i="22"/>
  <c r="L51" i="22"/>
  <c r="I52" i="22"/>
  <c r="J52" i="22"/>
  <c r="L52" i="22"/>
  <c r="I53" i="22"/>
  <c r="J53" i="22"/>
  <c r="L53" i="22"/>
  <c r="I55" i="22"/>
  <c r="J55" i="22"/>
  <c r="L55" i="22"/>
  <c r="I56" i="22"/>
  <c r="J56" i="22"/>
  <c r="L56" i="22"/>
  <c r="I57" i="22"/>
  <c r="J57" i="22"/>
  <c r="L57" i="22"/>
  <c r="I59" i="22"/>
  <c r="J59" i="22"/>
  <c r="L59" i="22"/>
  <c r="I60" i="22"/>
  <c r="J60" i="22"/>
  <c r="L60" i="22"/>
  <c r="I61" i="22"/>
  <c r="J61" i="22"/>
  <c r="L61" i="22"/>
  <c r="V145" i="17" l="1"/>
  <c r="U145" i="17"/>
  <c r="T145" i="17"/>
  <c r="R145" i="17"/>
  <c r="B145" i="17"/>
  <c r="V144" i="17"/>
  <c r="U144" i="17"/>
  <c r="T144" i="17"/>
  <c r="B144" i="17"/>
  <c r="V143" i="17"/>
  <c r="U143" i="17"/>
  <c r="T143" i="17"/>
  <c r="R143" i="17"/>
  <c r="B143" i="17"/>
  <c r="V142" i="17"/>
  <c r="U142" i="17"/>
  <c r="T142" i="17"/>
  <c r="R142" i="17"/>
  <c r="B142" i="17"/>
  <c r="V141" i="17"/>
  <c r="U141" i="17"/>
  <c r="T141" i="17"/>
  <c r="R141" i="17"/>
  <c r="B141" i="17"/>
  <c r="V140" i="17"/>
  <c r="U140" i="17"/>
  <c r="T140" i="17"/>
  <c r="R140" i="17"/>
  <c r="B140" i="17"/>
  <c r="V139" i="17"/>
  <c r="U139" i="17"/>
  <c r="T139" i="17"/>
  <c r="R139" i="17"/>
  <c r="B139" i="17"/>
  <c r="V138" i="17"/>
  <c r="U138" i="17"/>
  <c r="T138" i="17"/>
  <c r="R138" i="17"/>
  <c r="B138" i="17"/>
  <c r="V137" i="17"/>
  <c r="U137" i="17"/>
  <c r="T137" i="17"/>
  <c r="R137" i="17"/>
  <c r="B137" i="17"/>
  <c r="V136" i="17"/>
  <c r="U136" i="17"/>
  <c r="T136" i="17"/>
  <c r="R136" i="17"/>
  <c r="B136" i="17"/>
  <c r="V135" i="17"/>
  <c r="U135" i="17"/>
  <c r="T135" i="17"/>
  <c r="R135" i="17"/>
  <c r="B135" i="17"/>
  <c r="V134" i="17"/>
  <c r="U134" i="17"/>
  <c r="T134" i="17"/>
  <c r="R134" i="17"/>
  <c r="B134" i="17"/>
  <c r="V133" i="17"/>
  <c r="U133" i="17"/>
  <c r="T133" i="17"/>
  <c r="B133" i="17"/>
  <c r="V132" i="17"/>
  <c r="U132" i="17"/>
  <c r="T132" i="17"/>
  <c r="B132" i="17"/>
  <c r="V131" i="17"/>
  <c r="U131" i="17"/>
  <c r="T131" i="17"/>
  <c r="B131" i="17"/>
  <c r="V130" i="17"/>
  <c r="U130" i="17"/>
  <c r="T130" i="17"/>
  <c r="B130" i="17"/>
  <c r="V129" i="17"/>
  <c r="U129" i="17"/>
  <c r="T129" i="17"/>
  <c r="B129" i="17"/>
  <c r="V128" i="17"/>
  <c r="U128" i="17"/>
  <c r="T128" i="17"/>
  <c r="R128" i="17"/>
  <c r="B128" i="17"/>
  <c r="V127" i="17"/>
  <c r="U127" i="17"/>
  <c r="T127" i="17"/>
  <c r="R127" i="17"/>
  <c r="B127" i="17"/>
  <c r="V126" i="17"/>
  <c r="U126" i="17"/>
  <c r="T126" i="17"/>
  <c r="B126" i="17"/>
  <c r="V125" i="17"/>
  <c r="U125" i="17"/>
  <c r="T125" i="17"/>
  <c r="R125" i="17"/>
  <c r="B125" i="17"/>
  <c r="V124" i="17"/>
  <c r="U124" i="17"/>
  <c r="T124" i="17"/>
  <c r="R124" i="17"/>
  <c r="B124" i="17"/>
  <c r="V123" i="17"/>
  <c r="U123" i="17"/>
  <c r="T123" i="17"/>
  <c r="R123" i="17"/>
  <c r="B123" i="17"/>
  <c r="V122" i="17"/>
  <c r="U122" i="17"/>
  <c r="T122" i="17"/>
  <c r="R122" i="17"/>
  <c r="B122" i="17"/>
  <c r="V121" i="17"/>
  <c r="U121" i="17"/>
  <c r="T121" i="17"/>
  <c r="R121" i="17"/>
  <c r="B121" i="17"/>
  <c r="V120" i="17"/>
  <c r="U120" i="17"/>
  <c r="T120" i="17"/>
  <c r="B120" i="17"/>
  <c r="V119" i="17"/>
  <c r="U119" i="17"/>
  <c r="T119" i="17"/>
  <c r="R119" i="17"/>
  <c r="B119" i="17"/>
  <c r="V118" i="17"/>
  <c r="U118" i="17"/>
  <c r="T118" i="17"/>
  <c r="R118" i="17"/>
  <c r="B118" i="17"/>
  <c r="V117" i="17"/>
  <c r="U117" i="17"/>
  <c r="T117" i="17"/>
  <c r="R117" i="17"/>
  <c r="B117" i="17"/>
  <c r="V116" i="17"/>
  <c r="U116" i="17"/>
  <c r="T116" i="17"/>
  <c r="R116" i="17"/>
  <c r="B116" i="17"/>
  <c r="V115" i="17"/>
  <c r="U115" i="17"/>
  <c r="T115" i="17"/>
  <c r="R115" i="17"/>
  <c r="B115" i="17"/>
  <c r="V114" i="17"/>
  <c r="U114" i="17"/>
  <c r="T114" i="17"/>
  <c r="R114" i="17"/>
  <c r="B114" i="17"/>
  <c r="V113" i="17"/>
  <c r="U113" i="17"/>
  <c r="T113" i="17"/>
  <c r="R113" i="17"/>
  <c r="B113" i="17"/>
  <c r="V112" i="17"/>
  <c r="U112" i="17"/>
  <c r="T112" i="17"/>
  <c r="R112" i="17"/>
  <c r="B112" i="17"/>
  <c r="K111" i="17"/>
  <c r="V111" i="17" s="1"/>
  <c r="B111" i="17"/>
  <c r="V110" i="17"/>
  <c r="T110" i="17"/>
  <c r="K110" i="17"/>
  <c r="U110" i="17" s="1"/>
  <c r="B110" i="17"/>
  <c r="V109" i="17"/>
  <c r="U109" i="17"/>
  <c r="T109" i="17"/>
  <c r="R109" i="17"/>
  <c r="B109" i="17"/>
  <c r="V108" i="17"/>
  <c r="U108" i="17"/>
  <c r="T108" i="17"/>
  <c r="R108" i="17"/>
  <c r="B108" i="17"/>
  <c r="V107" i="17"/>
  <c r="U107" i="17"/>
  <c r="T107" i="17"/>
  <c r="R107" i="17"/>
  <c r="B107" i="17"/>
  <c r="V106" i="17"/>
  <c r="U106" i="17"/>
  <c r="T106" i="17"/>
  <c r="R106" i="17"/>
  <c r="B106" i="17"/>
  <c r="V105" i="17"/>
  <c r="U105" i="17"/>
  <c r="T105" i="17"/>
  <c r="B105" i="17"/>
  <c r="V104" i="17"/>
  <c r="U104" i="17"/>
  <c r="T104" i="17"/>
  <c r="R104" i="17"/>
  <c r="B104" i="17"/>
  <c r="V103" i="17"/>
  <c r="U103" i="17"/>
  <c r="T103" i="17"/>
  <c r="R103" i="17"/>
  <c r="B103" i="17"/>
  <c r="V102" i="17"/>
  <c r="U102" i="17"/>
  <c r="T102" i="17"/>
  <c r="R102" i="17"/>
  <c r="B102" i="17"/>
  <c r="V101" i="17"/>
  <c r="U101" i="17"/>
  <c r="T101" i="17"/>
  <c r="R101" i="17"/>
  <c r="B101" i="17"/>
  <c r="V100" i="17"/>
  <c r="U100" i="17"/>
  <c r="T100" i="17"/>
  <c r="B100" i="17"/>
  <c r="V99" i="17"/>
  <c r="U99" i="17"/>
  <c r="T99" i="17"/>
  <c r="R99" i="17"/>
  <c r="B99" i="17"/>
  <c r="V98" i="17"/>
  <c r="U98" i="17"/>
  <c r="T98" i="17"/>
  <c r="B98" i="17"/>
  <c r="V97" i="17"/>
  <c r="U97" i="17"/>
  <c r="T97" i="17"/>
  <c r="R97" i="17"/>
  <c r="B97" i="17"/>
  <c r="V96" i="17"/>
  <c r="U96" i="17"/>
  <c r="T96" i="17"/>
  <c r="R96" i="17"/>
  <c r="B96" i="17"/>
  <c r="V95" i="17"/>
  <c r="U95" i="17"/>
  <c r="T95" i="17"/>
  <c r="R95" i="17"/>
  <c r="B95" i="17"/>
  <c r="V94" i="17"/>
  <c r="U94" i="17"/>
  <c r="T94" i="17"/>
  <c r="R94" i="17"/>
  <c r="B94" i="17"/>
  <c r="V93" i="17"/>
  <c r="U93" i="17"/>
  <c r="T93" i="17"/>
  <c r="R93" i="17"/>
  <c r="B93" i="17"/>
  <c r="V92" i="17"/>
  <c r="U92" i="17"/>
  <c r="T92" i="17"/>
  <c r="R92" i="17"/>
  <c r="B92" i="17"/>
  <c r="V91" i="17"/>
  <c r="U91" i="17"/>
  <c r="T91" i="17"/>
  <c r="R91" i="17"/>
  <c r="B91" i="17"/>
  <c r="V90" i="17"/>
  <c r="U90" i="17"/>
  <c r="T90" i="17"/>
  <c r="R90" i="17"/>
  <c r="B90" i="17"/>
  <c r="V89" i="17"/>
  <c r="U89" i="17"/>
  <c r="T89" i="17"/>
  <c r="R89" i="17"/>
  <c r="B89" i="17"/>
  <c r="V88" i="17"/>
  <c r="U88" i="17"/>
  <c r="T88" i="17"/>
  <c r="R88" i="17"/>
  <c r="B88" i="17"/>
  <c r="V87" i="17"/>
  <c r="U87" i="17"/>
  <c r="T87" i="17"/>
  <c r="B87" i="17"/>
  <c r="V86" i="17"/>
  <c r="U86" i="17"/>
  <c r="T86" i="17"/>
  <c r="B86" i="17"/>
  <c r="V85" i="17"/>
  <c r="U85" i="17"/>
  <c r="T85" i="17"/>
  <c r="B85" i="17"/>
  <c r="V84" i="17"/>
  <c r="U84" i="17"/>
  <c r="T84" i="17"/>
  <c r="R84" i="17"/>
  <c r="B84" i="17"/>
  <c r="V83" i="17"/>
  <c r="U83" i="17"/>
  <c r="T83" i="17"/>
  <c r="R83" i="17"/>
  <c r="B83" i="17"/>
  <c r="V82" i="17"/>
  <c r="U82" i="17"/>
  <c r="T82" i="17"/>
  <c r="R82" i="17"/>
  <c r="B82" i="17"/>
  <c r="V81" i="17"/>
  <c r="U81" i="17"/>
  <c r="T81" i="17"/>
  <c r="R81" i="17"/>
  <c r="B81" i="17"/>
  <c r="V80" i="17"/>
  <c r="U80" i="17"/>
  <c r="T80" i="17"/>
  <c r="R80" i="17"/>
  <c r="B80" i="17"/>
  <c r="V79" i="17"/>
  <c r="U79" i="17"/>
  <c r="T79" i="17"/>
  <c r="R79" i="17"/>
  <c r="B79" i="17"/>
  <c r="V78" i="17"/>
  <c r="U78" i="17"/>
  <c r="T78" i="17"/>
  <c r="R78" i="17"/>
  <c r="B78" i="17"/>
  <c r="V77" i="17"/>
  <c r="U77" i="17"/>
  <c r="T77" i="17"/>
  <c r="R77" i="17"/>
  <c r="B77" i="17"/>
  <c r="V76" i="17"/>
  <c r="U76" i="17"/>
  <c r="T76" i="17"/>
  <c r="R76" i="17"/>
  <c r="B76" i="17"/>
  <c r="V75" i="17"/>
  <c r="U75" i="17"/>
  <c r="T75" i="17"/>
  <c r="R75" i="17"/>
  <c r="B75" i="17"/>
  <c r="V74" i="17"/>
  <c r="U74" i="17"/>
  <c r="T74" i="17"/>
  <c r="R74" i="17"/>
  <c r="B74" i="17"/>
  <c r="V73" i="17"/>
  <c r="U73" i="17"/>
  <c r="T73" i="17"/>
  <c r="R73" i="17"/>
  <c r="B73" i="17"/>
  <c r="V72" i="17"/>
  <c r="U72" i="17"/>
  <c r="T72" i="17"/>
  <c r="B72" i="17"/>
  <c r="V71" i="17"/>
  <c r="U71" i="17"/>
  <c r="T71" i="17"/>
  <c r="R71" i="17"/>
  <c r="B71" i="17"/>
  <c r="V70" i="17"/>
  <c r="U70" i="17"/>
  <c r="T70" i="17"/>
  <c r="R70" i="17"/>
  <c r="B70" i="17"/>
  <c r="V69" i="17"/>
  <c r="U69" i="17"/>
  <c r="T69" i="17"/>
  <c r="R69" i="17"/>
  <c r="B69" i="17"/>
  <c r="V68" i="17"/>
  <c r="U68" i="17"/>
  <c r="T68" i="17"/>
  <c r="R68" i="17"/>
  <c r="B68" i="17"/>
  <c r="V67" i="17"/>
  <c r="U67" i="17"/>
  <c r="T67" i="17"/>
  <c r="R67" i="17"/>
  <c r="B67" i="17"/>
  <c r="V66" i="17"/>
  <c r="U66" i="17"/>
  <c r="T66" i="17"/>
  <c r="R66" i="17"/>
  <c r="B66" i="17"/>
  <c r="V65" i="17"/>
  <c r="U65" i="17"/>
  <c r="T65" i="17"/>
  <c r="R65" i="17"/>
  <c r="B65" i="17"/>
  <c r="V64" i="17"/>
  <c r="U64" i="17"/>
  <c r="T64" i="17"/>
  <c r="R64" i="17"/>
  <c r="B64" i="17"/>
  <c r="V63" i="17"/>
  <c r="U63" i="17"/>
  <c r="T63" i="17"/>
  <c r="R63" i="17"/>
  <c r="B63" i="17"/>
  <c r="V62" i="17"/>
  <c r="U62" i="17"/>
  <c r="T62" i="17"/>
  <c r="B62" i="17"/>
  <c r="V61" i="17"/>
  <c r="U61" i="17"/>
  <c r="T61" i="17"/>
  <c r="R61" i="17"/>
  <c r="B61" i="17"/>
  <c r="V60" i="17"/>
  <c r="U60" i="17"/>
  <c r="T60" i="17"/>
  <c r="R60" i="17"/>
  <c r="B60" i="17"/>
  <c r="V59" i="17"/>
  <c r="U59" i="17"/>
  <c r="T59" i="17"/>
  <c r="R59" i="17"/>
  <c r="B59" i="17"/>
  <c r="V58" i="17"/>
  <c r="U58" i="17"/>
  <c r="T58" i="17"/>
  <c r="R58" i="17"/>
  <c r="B58" i="17"/>
  <c r="V57" i="17"/>
  <c r="U57" i="17"/>
  <c r="T57" i="17"/>
  <c r="B57" i="17"/>
  <c r="V56" i="17"/>
  <c r="U56" i="17"/>
  <c r="T56" i="17"/>
  <c r="B56" i="17"/>
  <c r="V55" i="17"/>
  <c r="U55" i="17"/>
  <c r="T55" i="17"/>
  <c r="R55" i="17"/>
  <c r="B55" i="17"/>
  <c r="V54" i="17"/>
  <c r="U54" i="17"/>
  <c r="T54" i="17"/>
  <c r="B54" i="17"/>
  <c r="V53" i="17"/>
  <c r="U53" i="17"/>
  <c r="T53" i="17"/>
  <c r="R53" i="17"/>
  <c r="B53" i="17"/>
  <c r="B52" i="17"/>
  <c r="B51" i="17"/>
  <c r="V50" i="17"/>
  <c r="U50" i="17"/>
  <c r="T50" i="17"/>
  <c r="R50" i="17"/>
  <c r="B50" i="17"/>
  <c r="V49" i="17"/>
  <c r="U49" i="17"/>
  <c r="T49" i="17"/>
  <c r="R49" i="17"/>
  <c r="B49" i="17"/>
  <c r="V48" i="17"/>
  <c r="U48" i="17"/>
  <c r="T48" i="17"/>
  <c r="B48" i="17"/>
  <c r="V47" i="17"/>
  <c r="U47" i="17"/>
  <c r="T47" i="17"/>
  <c r="V46" i="17"/>
  <c r="U46" i="17"/>
  <c r="T46" i="17"/>
  <c r="R46" i="17"/>
  <c r="B46" i="17"/>
  <c r="V45" i="17"/>
  <c r="U45" i="17"/>
  <c r="T45" i="17"/>
  <c r="R45" i="17"/>
  <c r="B45" i="17"/>
  <c r="V44" i="17"/>
  <c r="U44" i="17"/>
  <c r="T44" i="17"/>
  <c r="R44" i="17"/>
  <c r="B44" i="17"/>
  <c r="V43" i="17"/>
  <c r="U43" i="17"/>
  <c r="T43" i="17"/>
  <c r="R43" i="17"/>
  <c r="B43" i="17"/>
  <c r="V42" i="17"/>
  <c r="U42" i="17"/>
  <c r="T42" i="17"/>
  <c r="R42" i="17"/>
  <c r="B42" i="17"/>
  <c r="V41" i="17"/>
  <c r="U41" i="17"/>
  <c r="T41" i="17"/>
  <c r="R41" i="17"/>
  <c r="B41" i="17"/>
  <c r="V40" i="17"/>
  <c r="U40" i="17"/>
  <c r="T40" i="17"/>
  <c r="R40" i="17"/>
  <c r="B40" i="17"/>
  <c r="V39" i="17"/>
  <c r="U39" i="17"/>
  <c r="T39" i="17"/>
  <c r="R39" i="17"/>
  <c r="B39" i="17"/>
  <c r="V38" i="17"/>
  <c r="U38" i="17"/>
  <c r="T38" i="17"/>
  <c r="R38" i="17"/>
  <c r="B38" i="17"/>
  <c r="V37" i="17"/>
  <c r="U37" i="17"/>
  <c r="T37" i="17"/>
  <c r="R37" i="17"/>
  <c r="B37" i="17"/>
  <c r="R36" i="17"/>
  <c r="B36" i="17"/>
  <c r="V35" i="17"/>
  <c r="U35" i="17"/>
  <c r="T35" i="17"/>
  <c r="R35" i="17"/>
  <c r="B35" i="17"/>
  <c r="V34" i="17"/>
  <c r="U34" i="17"/>
  <c r="T34" i="17"/>
  <c r="R34" i="17"/>
  <c r="B34" i="17"/>
  <c r="V33" i="17"/>
  <c r="U33" i="17"/>
  <c r="T33" i="17"/>
  <c r="R33" i="17"/>
  <c r="B33" i="17"/>
  <c r="V32" i="17"/>
  <c r="U32" i="17"/>
  <c r="T32" i="17"/>
  <c r="R32" i="17"/>
  <c r="B32" i="17"/>
  <c r="V31" i="17"/>
  <c r="U31" i="17"/>
  <c r="T31" i="17"/>
  <c r="R31" i="17"/>
  <c r="B31" i="17"/>
  <c r="V30" i="17"/>
  <c r="U30" i="17"/>
  <c r="T30" i="17"/>
  <c r="R30" i="17"/>
  <c r="B30" i="17"/>
  <c r="V29" i="17"/>
  <c r="U29" i="17"/>
  <c r="T29" i="17"/>
  <c r="R29" i="17"/>
  <c r="B29" i="17"/>
  <c r="V28" i="17"/>
  <c r="U28" i="17"/>
  <c r="T28" i="17"/>
  <c r="R28" i="17"/>
  <c r="B28" i="17"/>
  <c r="V27" i="17"/>
  <c r="U27" i="17"/>
  <c r="T27" i="17"/>
  <c r="R27" i="17"/>
  <c r="B27" i="17"/>
  <c r="R26" i="17"/>
  <c r="B26" i="17"/>
  <c r="V25" i="17"/>
  <c r="U25" i="17"/>
  <c r="T25" i="17"/>
  <c r="R25" i="17"/>
  <c r="B25" i="17"/>
  <c r="V24" i="17"/>
  <c r="U24" i="17"/>
  <c r="T24" i="17"/>
  <c r="R24" i="17"/>
  <c r="B24" i="17"/>
  <c r="V23" i="17"/>
  <c r="U23" i="17"/>
  <c r="T23" i="17"/>
  <c r="R23" i="17"/>
  <c r="B23" i="17"/>
  <c r="V22" i="17"/>
  <c r="U22" i="17"/>
  <c r="T22" i="17"/>
  <c r="R22" i="17"/>
  <c r="B22" i="17"/>
  <c r="V21" i="17"/>
  <c r="U21" i="17"/>
  <c r="T21" i="17"/>
  <c r="R21" i="17"/>
  <c r="B21" i="17"/>
  <c r="V20" i="17"/>
  <c r="U20" i="17"/>
  <c r="T20" i="17"/>
  <c r="B20" i="17"/>
  <c r="V19" i="17"/>
  <c r="U19" i="17"/>
  <c r="T19" i="17"/>
  <c r="B19" i="17"/>
  <c r="V18" i="17"/>
  <c r="U18" i="17"/>
  <c r="T18" i="17"/>
  <c r="R18" i="17"/>
  <c r="B18" i="17"/>
  <c r="V17" i="17"/>
  <c r="U17" i="17"/>
  <c r="T17" i="17"/>
  <c r="B17" i="17"/>
  <c r="V16" i="17"/>
  <c r="U16" i="17"/>
  <c r="T16" i="17"/>
  <c r="R16" i="17"/>
  <c r="B16" i="17"/>
  <c r="V15" i="17"/>
  <c r="U15" i="17"/>
  <c r="T15" i="17"/>
  <c r="R15" i="17"/>
  <c r="B15" i="17"/>
  <c r="R14" i="17"/>
  <c r="B14" i="17"/>
  <c r="R13" i="17"/>
  <c r="B13" i="17"/>
  <c r="V12" i="17"/>
  <c r="U12" i="17"/>
  <c r="T12" i="17"/>
  <c r="R12" i="17"/>
  <c r="B12" i="17"/>
  <c r="V11" i="17"/>
  <c r="U11" i="17"/>
  <c r="T11" i="17"/>
  <c r="B11" i="17"/>
  <c r="V10" i="17"/>
  <c r="U10" i="17"/>
  <c r="T10" i="17"/>
  <c r="B10" i="17"/>
  <c r="V9" i="17"/>
  <c r="U9" i="17"/>
  <c r="T9" i="17"/>
  <c r="R9" i="17"/>
  <c r="B9" i="17"/>
  <c r="V8" i="17"/>
  <c r="U8" i="17"/>
  <c r="T8" i="17"/>
  <c r="R8" i="17"/>
  <c r="B8" i="17"/>
  <c r="V7" i="17"/>
  <c r="U7" i="17"/>
  <c r="T7" i="17"/>
  <c r="R7" i="17"/>
  <c r="B7" i="17"/>
  <c r="V6" i="17"/>
  <c r="U6" i="17"/>
  <c r="T6" i="17"/>
  <c r="R6" i="17"/>
  <c r="B6" i="17"/>
  <c r="V5" i="17"/>
  <c r="U5" i="17"/>
  <c r="T5" i="17"/>
  <c r="R5" i="17"/>
  <c r="B5" i="17"/>
  <c r="V4" i="17"/>
  <c r="U4" i="17"/>
  <c r="T4" i="17"/>
  <c r="R4" i="17"/>
  <c r="B4" i="17"/>
  <c r="V3" i="17"/>
  <c r="U3" i="17"/>
  <c r="T3" i="17"/>
  <c r="R3" i="17"/>
  <c r="B3" i="17"/>
  <c r="V2" i="17"/>
  <c r="U2" i="17"/>
  <c r="T2" i="17"/>
  <c r="R2" i="17"/>
  <c r="B2" i="17"/>
  <c r="E48" i="8"/>
  <c r="D48" i="8"/>
  <c r="C48" i="8"/>
  <c r="E47" i="8"/>
  <c r="D47" i="8"/>
  <c r="C47" i="8"/>
  <c r="E46" i="8"/>
  <c r="D46" i="8"/>
  <c r="C46" i="8"/>
  <c r="E45" i="8"/>
  <c r="D45" i="8"/>
  <c r="C45" i="8"/>
  <c r="E44" i="8"/>
  <c r="D44" i="8"/>
  <c r="C44" i="8"/>
  <c r="FG145" i="15"/>
  <c r="FF145" i="15"/>
  <c r="FE145" i="15"/>
  <c r="FC145" i="15"/>
  <c r="FG144" i="15"/>
  <c r="FF144" i="15"/>
  <c r="FE144" i="15"/>
  <c r="FG143" i="15"/>
  <c r="FF143" i="15"/>
  <c r="FE143" i="15"/>
  <c r="FC143" i="15"/>
  <c r="FG142" i="15"/>
  <c r="FF142" i="15"/>
  <c r="FE142" i="15"/>
  <c r="FC142" i="15"/>
  <c r="FG141" i="15"/>
  <c r="FF141" i="15"/>
  <c r="FE141" i="15"/>
  <c r="FC141" i="15"/>
  <c r="FC140" i="15"/>
  <c r="FC139" i="15"/>
  <c r="FG138" i="15"/>
  <c r="FF138" i="15"/>
  <c r="FE138" i="15"/>
  <c r="FC138" i="15"/>
  <c r="FG137" i="15"/>
  <c r="FF137" i="15"/>
  <c r="FE137" i="15"/>
  <c r="FC137" i="15"/>
  <c r="FG136" i="15"/>
  <c r="FF136" i="15"/>
  <c r="FE136" i="15"/>
  <c r="FC136" i="15"/>
  <c r="FG135" i="15"/>
  <c r="FF135" i="15"/>
  <c r="FE135" i="15"/>
  <c r="FC135" i="15"/>
  <c r="FG134" i="15"/>
  <c r="FF134" i="15"/>
  <c r="FE134" i="15"/>
  <c r="FC134" i="15"/>
  <c r="FG133" i="15"/>
  <c r="FF133" i="15"/>
  <c r="FE133" i="15"/>
  <c r="FG132" i="15"/>
  <c r="FF132" i="15"/>
  <c r="FE132" i="15"/>
  <c r="FR131" i="15"/>
  <c r="FQ131" i="15"/>
  <c r="FP131" i="15"/>
  <c r="FO131" i="15"/>
  <c r="FN131" i="15"/>
  <c r="FM131" i="15"/>
  <c r="FG131" i="15"/>
  <c r="FF131" i="15"/>
  <c r="FE131" i="15"/>
  <c r="FR130" i="15"/>
  <c r="FQ130" i="15"/>
  <c r="FP130" i="15"/>
  <c r="FO130" i="15"/>
  <c r="FN130" i="15"/>
  <c r="FM130" i="15"/>
  <c r="FG130" i="15"/>
  <c r="FF130" i="15"/>
  <c r="FE130" i="15"/>
  <c r="FR129" i="15"/>
  <c r="FQ129" i="15"/>
  <c r="FP129" i="15"/>
  <c r="FO129" i="15"/>
  <c r="FN129" i="15"/>
  <c r="FM129" i="15"/>
  <c r="FG129" i="15"/>
  <c r="FF129" i="15"/>
  <c r="FE129" i="15"/>
  <c r="FR128" i="15"/>
  <c r="FQ128" i="15"/>
  <c r="FP128" i="15"/>
  <c r="FO128" i="15"/>
  <c r="FN128" i="15"/>
  <c r="FM128" i="15"/>
  <c r="FG128" i="15"/>
  <c r="FF128" i="15"/>
  <c r="FE128" i="15"/>
  <c r="FC128" i="15"/>
  <c r="FR127" i="15"/>
  <c r="FQ127" i="15"/>
  <c r="FP127" i="15"/>
  <c r="FO127" i="15"/>
  <c r="FN127" i="15"/>
  <c r="FM127" i="15"/>
  <c r="FG127" i="15"/>
  <c r="FF127" i="15"/>
  <c r="FE127" i="15"/>
  <c r="FC127" i="15"/>
  <c r="FR126" i="15"/>
  <c r="FQ126" i="15"/>
  <c r="FP126" i="15"/>
  <c r="FO126" i="15"/>
  <c r="FN126" i="15"/>
  <c r="FM126" i="15"/>
  <c r="FG126" i="15"/>
  <c r="FF126" i="15"/>
  <c r="FE126" i="15"/>
  <c r="FR125" i="15"/>
  <c r="FQ125" i="15"/>
  <c r="FP125" i="15"/>
  <c r="FO125" i="15"/>
  <c r="FN125" i="15"/>
  <c r="FM125" i="15"/>
  <c r="FG125" i="15"/>
  <c r="FF125" i="15"/>
  <c r="FE125" i="15"/>
  <c r="FC125" i="15"/>
  <c r="FR124" i="15"/>
  <c r="FQ124" i="15"/>
  <c r="FP124" i="15"/>
  <c r="FO124" i="15"/>
  <c r="FN124" i="15"/>
  <c r="FM124" i="15"/>
  <c r="FG124" i="15"/>
  <c r="FF124" i="15"/>
  <c r="FE124" i="15"/>
  <c r="FC124" i="15"/>
  <c r="FR123" i="15"/>
  <c r="FQ123" i="15"/>
  <c r="FP123" i="15"/>
  <c r="FO123" i="15"/>
  <c r="FN123" i="15"/>
  <c r="FM123" i="15"/>
  <c r="FG123" i="15"/>
  <c r="FF123" i="15"/>
  <c r="FE123" i="15"/>
  <c r="FC123" i="15"/>
  <c r="FR122" i="15"/>
  <c r="FQ122" i="15"/>
  <c r="FP122" i="15"/>
  <c r="FO122" i="15"/>
  <c r="FN122" i="15"/>
  <c r="FM122" i="15"/>
  <c r="FG122" i="15"/>
  <c r="FF122" i="15"/>
  <c r="FE122" i="15"/>
  <c r="FC122" i="15"/>
  <c r="FR121" i="15"/>
  <c r="FQ121" i="15"/>
  <c r="FP121" i="15"/>
  <c r="FO121" i="15"/>
  <c r="FN121" i="15"/>
  <c r="FM121" i="15"/>
  <c r="FG121" i="15"/>
  <c r="FF121" i="15"/>
  <c r="FE121" i="15"/>
  <c r="FC121" i="15"/>
  <c r="FR120" i="15"/>
  <c r="FQ120" i="15"/>
  <c r="FP120" i="15"/>
  <c r="FO120" i="15"/>
  <c r="FN120" i="15"/>
  <c r="FM120" i="15"/>
  <c r="FG120" i="15"/>
  <c r="FF120" i="15"/>
  <c r="FE120" i="15"/>
  <c r="FR119" i="15"/>
  <c r="FQ119" i="15"/>
  <c r="FP119" i="15"/>
  <c r="FO119" i="15"/>
  <c r="FN119" i="15"/>
  <c r="FM119" i="15"/>
  <c r="FG119" i="15"/>
  <c r="FF119" i="15"/>
  <c r="FE119" i="15"/>
  <c r="FC119" i="15"/>
  <c r="FR118" i="15"/>
  <c r="FQ118" i="15"/>
  <c r="FP118" i="15"/>
  <c r="FO118" i="15"/>
  <c r="FN118" i="15"/>
  <c r="FM118" i="15"/>
  <c r="FG118" i="15"/>
  <c r="FF118" i="15"/>
  <c r="FE118" i="15"/>
  <c r="FC118" i="15"/>
  <c r="FR117" i="15"/>
  <c r="FQ117" i="15"/>
  <c r="FP117" i="15"/>
  <c r="FO117" i="15"/>
  <c r="FN117" i="15"/>
  <c r="FM117" i="15"/>
  <c r="FG117" i="15"/>
  <c r="FF117" i="15"/>
  <c r="FE117" i="15"/>
  <c r="FC117" i="15"/>
  <c r="FR116" i="15"/>
  <c r="FQ116" i="15"/>
  <c r="FP116" i="15"/>
  <c r="FO116" i="15"/>
  <c r="FN116" i="15"/>
  <c r="FM116" i="15"/>
  <c r="FG116" i="15"/>
  <c r="FF116" i="15"/>
  <c r="FE116" i="15"/>
  <c r="FC116" i="15"/>
  <c r="FR115" i="15"/>
  <c r="FQ115" i="15"/>
  <c r="FP115" i="15"/>
  <c r="FO115" i="15"/>
  <c r="FN115" i="15"/>
  <c r="FM115" i="15"/>
  <c r="FG115" i="15"/>
  <c r="FF115" i="15"/>
  <c r="FE115" i="15"/>
  <c r="FC115" i="15"/>
  <c r="FR114" i="15"/>
  <c r="FQ114" i="15"/>
  <c r="FP114" i="15"/>
  <c r="FO114" i="15"/>
  <c r="FN114" i="15"/>
  <c r="FM114" i="15"/>
  <c r="FG114" i="15"/>
  <c r="FF114" i="15"/>
  <c r="FE114" i="15"/>
  <c r="FC114" i="15"/>
  <c r="FR113" i="15"/>
  <c r="FQ113" i="15"/>
  <c r="FP113" i="15"/>
  <c r="FO113" i="15"/>
  <c r="FN113" i="15"/>
  <c r="FM113" i="15"/>
  <c r="FG113" i="15"/>
  <c r="FF113" i="15"/>
  <c r="FE113" i="15"/>
  <c r="FC113" i="15"/>
  <c r="FR112" i="15"/>
  <c r="FQ112" i="15"/>
  <c r="FP112" i="15"/>
  <c r="FO112" i="15"/>
  <c r="FN112" i="15"/>
  <c r="FM112" i="15"/>
  <c r="FG112" i="15"/>
  <c r="FF112" i="15"/>
  <c r="FE112" i="15"/>
  <c r="FC112" i="15"/>
  <c r="FR111" i="15"/>
  <c r="FQ111" i="15"/>
  <c r="FP111" i="15"/>
  <c r="FO111" i="15"/>
  <c r="FN111" i="15"/>
  <c r="FM111" i="15"/>
  <c r="EV111" i="15"/>
  <c r="FF111" i="15" s="1"/>
  <c r="FR110" i="15"/>
  <c r="FQ110" i="15"/>
  <c r="FP110" i="15"/>
  <c r="FO110" i="15"/>
  <c r="FN110" i="15"/>
  <c r="FM110" i="15"/>
  <c r="FG110" i="15"/>
  <c r="FF110" i="15"/>
  <c r="FE110" i="15"/>
  <c r="EV110" i="15"/>
  <c r="FC110" i="15" s="1"/>
  <c r="FR109" i="15"/>
  <c r="FQ109" i="15"/>
  <c r="FP109" i="15"/>
  <c r="FO109" i="15"/>
  <c r="FN109" i="15"/>
  <c r="FM109" i="15"/>
  <c r="FG109" i="15"/>
  <c r="FF109" i="15"/>
  <c r="FE109" i="15"/>
  <c r="FC109" i="15"/>
  <c r="FR108" i="15"/>
  <c r="FQ108" i="15"/>
  <c r="FP108" i="15"/>
  <c r="FO108" i="15"/>
  <c r="FN108" i="15"/>
  <c r="FM108" i="15"/>
  <c r="FG108" i="15"/>
  <c r="FF108" i="15"/>
  <c r="FE108" i="15"/>
  <c r="FC108" i="15"/>
  <c r="FR107" i="15"/>
  <c r="FQ107" i="15"/>
  <c r="FP107" i="15"/>
  <c r="FO107" i="15"/>
  <c r="FN107" i="15"/>
  <c r="FM107" i="15"/>
  <c r="FG107" i="15"/>
  <c r="FF107" i="15"/>
  <c r="FE107" i="15"/>
  <c r="FC107" i="15"/>
  <c r="FR106" i="15"/>
  <c r="FQ106" i="15"/>
  <c r="FP106" i="15"/>
  <c r="FO106" i="15"/>
  <c r="FN106" i="15"/>
  <c r="FM106" i="15"/>
  <c r="FG106" i="15"/>
  <c r="FF106" i="15"/>
  <c r="FE106" i="15"/>
  <c r="FC106" i="15"/>
  <c r="FR105" i="15"/>
  <c r="FQ105" i="15"/>
  <c r="FP105" i="15"/>
  <c r="FO105" i="15"/>
  <c r="FN105" i="15"/>
  <c r="FM105" i="15"/>
  <c r="FG105" i="15"/>
  <c r="FF105" i="15"/>
  <c r="FE105" i="15"/>
  <c r="FR104" i="15"/>
  <c r="FQ104" i="15"/>
  <c r="FP104" i="15"/>
  <c r="FO104" i="15"/>
  <c r="FN104" i="15"/>
  <c r="FM104" i="15"/>
  <c r="FG104" i="15"/>
  <c r="FF104" i="15"/>
  <c r="FE104" i="15"/>
  <c r="FC104" i="15"/>
  <c r="FR103" i="15"/>
  <c r="FQ103" i="15"/>
  <c r="FP103" i="15"/>
  <c r="FO103" i="15"/>
  <c r="FN103" i="15"/>
  <c r="FM103" i="15"/>
  <c r="FG103" i="15"/>
  <c r="FF103" i="15"/>
  <c r="FE103" i="15"/>
  <c r="FC103" i="15"/>
  <c r="FR102" i="15"/>
  <c r="FQ102" i="15"/>
  <c r="FP102" i="15"/>
  <c r="FO102" i="15"/>
  <c r="FN102" i="15"/>
  <c r="FM102" i="15"/>
  <c r="FG102" i="15"/>
  <c r="FF102" i="15"/>
  <c r="FE102" i="15"/>
  <c r="FC102" i="15"/>
  <c r="FR101" i="15"/>
  <c r="FQ101" i="15"/>
  <c r="FP101" i="15"/>
  <c r="FO101" i="15"/>
  <c r="FN101" i="15"/>
  <c r="FM101" i="15"/>
  <c r="FG101" i="15"/>
  <c r="FF101" i="15"/>
  <c r="FE101" i="15"/>
  <c r="FC101" i="15"/>
  <c r="FR100" i="15"/>
  <c r="FQ100" i="15"/>
  <c r="FP100" i="15"/>
  <c r="FO100" i="15"/>
  <c r="FN100" i="15"/>
  <c r="FM100" i="15"/>
  <c r="FG100" i="15"/>
  <c r="FF100" i="15"/>
  <c r="FE100" i="15"/>
  <c r="FR99" i="15"/>
  <c r="FQ99" i="15"/>
  <c r="FP99" i="15"/>
  <c r="FO99" i="15"/>
  <c r="FN99" i="15"/>
  <c r="FM99" i="15"/>
  <c r="FG99" i="15"/>
  <c r="FF99" i="15"/>
  <c r="FE99" i="15"/>
  <c r="FC99" i="15"/>
  <c r="FR98" i="15"/>
  <c r="FQ98" i="15"/>
  <c r="FP98" i="15"/>
  <c r="FO98" i="15"/>
  <c r="FN98" i="15"/>
  <c r="FM98" i="15"/>
  <c r="FG98" i="15"/>
  <c r="FF98" i="15"/>
  <c r="FE98" i="15"/>
  <c r="FR97" i="15"/>
  <c r="FQ97" i="15"/>
  <c r="FP97" i="15"/>
  <c r="FO97" i="15"/>
  <c r="FN97" i="15"/>
  <c r="FM97" i="15"/>
  <c r="FG97" i="15"/>
  <c r="FF97" i="15"/>
  <c r="FE97" i="15"/>
  <c r="FC97" i="15"/>
  <c r="FR96" i="15"/>
  <c r="FQ96" i="15"/>
  <c r="FP96" i="15"/>
  <c r="FO96" i="15"/>
  <c r="FN96" i="15"/>
  <c r="FM96" i="15"/>
  <c r="FG96" i="15"/>
  <c r="FF96" i="15"/>
  <c r="FE96" i="15"/>
  <c r="FC96" i="15"/>
  <c r="FR95" i="15"/>
  <c r="FQ95" i="15"/>
  <c r="FP95" i="15"/>
  <c r="FO95" i="15"/>
  <c r="FN95" i="15"/>
  <c r="FM95" i="15"/>
  <c r="FG95" i="15"/>
  <c r="FF95" i="15"/>
  <c r="FE95" i="15"/>
  <c r="FC95" i="15"/>
  <c r="FR94" i="15"/>
  <c r="FQ94" i="15"/>
  <c r="FP94" i="15"/>
  <c r="FO94" i="15"/>
  <c r="FN94" i="15"/>
  <c r="FM94" i="15"/>
  <c r="FG94" i="15"/>
  <c r="FF94" i="15"/>
  <c r="FE94" i="15"/>
  <c r="FC94" i="15"/>
  <c r="FR93" i="15"/>
  <c r="FQ93" i="15"/>
  <c r="FP93" i="15"/>
  <c r="FO93" i="15"/>
  <c r="FN93" i="15"/>
  <c r="FM93" i="15"/>
  <c r="FG93" i="15"/>
  <c r="FF93" i="15"/>
  <c r="FE93" i="15"/>
  <c r="FC93" i="15"/>
  <c r="FR92" i="15"/>
  <c r="FQ92" i="15"/>
  <c r="FP92" i="15"/>
  <c r="FO92" i="15"/>
  <c r="FN92" i="15"/>
  <c r="FM92" i="15"/>
  <c r="FG92" i="15"/>
  <c r="FF92" i="15"/>
  <c r="FE92" i="15"/>
  <c r="FC92" i="15"/>
  <c r="FR91" i="15"/>
  <c r="FQ91" i="15"/>
  <c r="FP91" i="15"/>
  <c r="FO91" i="15"/>
  <c r="FN91" i="15"/>
  <c r="FM91" i="15"/>
  <c r="FG91" i="15"/>
  <c r="FF91" i="15"/>
  <c r="FE91" i="15"/>
  <c r="FC91" i="15"/>
  <c r="FR90" i="15"/>
  <c r="FQ90" i="15"/>
  <c r="FP90" i="15"/>
  <c r="FO90" i="15"/>
  <c r="FN90" i="15"/>
  <c r="FM90" i="15"/>
  <c r="FG90" i="15"/>
  <c r="FF90" i="15"/>
  <c r="FE90" i="15"/>
  <c r="FC90" i="15"/>
  <c r="FR89" i="15"/>
  <c r="FQ89" i="15"/>
  <c r="FP89" i="15"/>
  <c r="FO89" i="15"/>
  <c r="FN89" i="15"/>
  <c r="FM89" i="15"/>
  <c r="FG89" i="15"/>
  <c r="FF89" i="15"/>
  <c r="FE89" i="15"/>
  <c r="FC89" i="15"/>
  <c r="FR88" i="15"/>
  <c r="FQ88" i="15"/>
  <c r="FP88" i="15"/>
  <c r="FO88" i="15"/>
  <c r="FN88" i="15"/>
  <c r="FM88" i="15"/>
  <c r="FG88" i="15"/>
  <c r="FF88" i="15"/>
  <c r="FE88" i="15"/>
  <c r="FC88" i="15"/>
  <c r="FR87" i="15"/>
  <c r="FQ87" i="15"/>
  <c r="FP87" i="15"/>
  <c r="FO87" i="15"/>
  <c r="FN87" i="15"/>
  <c r="FM87" i="15"/>
  <c r="FG87" i="15"/>
  <c r="FF87" i="15"/>
  <c r="FE87" i="15"/>
  <c r="FR86" i="15"/>
  <c r="FQ86" i="15"/>
  <c r="FP86" i="15"/>
  <c r="FO86" i="15"/>
  <c r="FN86" i="15"/>
  <c r="FM86" i="15"/>
  <c r="FG86" i="15"/>
  <c r="FF86" i="15"/>
  <c r="FE86" i="15"/>
  <c r="FR85" i="15"/>
  <c r="FQ85" i="15"/>
  <c r="FP85" i="15"/>
  <c r="FO85" i="15"/>
  <c r="FN85" i="15"/>
  <c r="FM85" i="15"/>
  <c r="FG85" i="15"/>
  <c r="FF85" i="15"/>
  <c r="FE85" i="15"/>
  <c r="FR84" i="15"/>
  <c r="FQ84" i="15"/>
  <c r="FP84" i="15"/>
  <c r="FO84" i="15"/>
  <c r="FN84" i="15"/>
  <c r="FM84" i="15"/>
  <c r="FG84" i="15"/>
  <c r="FF84" i="15"/>
  <c r="FE84" i="15"/>
  <c r="FC84" i="15"/>
  <c r="FR83" i="15"/>
  <c r="FQ83" i="15"/>
  <c r="FP83" i="15"/>
  <c r="FO83" i="15"/>
  <c r="FN83" i="15"/>
  <c r="FM83" i="15"/>
  <c r="FG83" i="15"/>
  <c r="FF83" i="15"/>
  <c r="FE83" i="15"/>
  <c r="FC83" i="15"/>
  <c r="FR82" i="15"/>
  <c r="FQ82" i="15"/>
  <c r="FP82" i="15"/>
  <c r="FO82" i="15"/>
  <c r="FN82" i="15"/>
  <c r="FM82" i="15"/>
  <c r="FG82" i="15"/>
  <c r="FF82" i="15"/>
  <c r="FE82" i="15"/>
  <c r="FC82" i="15"/>
  <c r="FR81" i="15"/>
  <c r="FQ81" i="15"/>
  <c r="FP81" i="15"/>
  <c r="FO81" i="15"/>
  <c r="FN81" i="15"/>
  <c r="FM81" i="15"/>
  <c r="FG81" i="15"/>
  <c r="FF81" i="15"/>
  <c r="FE81" i="15"/>
  <c r="FC81" i="15"/>
  <c r="FR80" i="15"/>
  <c r="FQ80" i="15"/>
  <c r="FP80" i="15"/>
  <c r="FO80" i="15"/>
  <c r="FN80" i="15"/>
  <c r="FM80" i="15"/>
  <c r="FG80" i="15"/>
  <c r="FF80" i="15"/>
  <c r="FE80" i="15"/>
  <c r="FC80" i="15"/>
  <c r="FR79" i="15"/>
  <c r="FQ79" i="15"/>
  <c r="FP79" i="15"/>
  <c r="FO79" i="15"/>
  <c r="FN79" i="15"/>
  <c r="FM79" i="15"/>
  <c r="FG79" i="15"/>
  <c r="FF79" i="15"/>
  <c r="FE79" i="15"/>
  <c r="FC79" i="15"/>
  <c r="FR78" i="15"/>
  <c r="FQ78" i="15"/>
  <c r="FP78" i="15"/>
  <c r="FO78" i="15"/>
  <c r="FN78" i="15"/>
  <c r="FM78" i="15"/>
  <c r="FG78" i="15"/>
  <c r="FF78" i="15"/>
  <c r="FE78" i="15"/>
  <c r="FC78" i="15"/>
  <c r="FR77" i="15"/>
  <c r="FQ77" i="15"/>
  <c r="FP77" i="15"/>
  <c r="FO77" i="15"/>
  <c r="FN77" i="15"/>
  <c r="FM77" i="15"/>
  <c r="FG77" i="15"/>
  <c r="FF77" i="15"/>
  <c r="FE77" i="15"/>
  <c r="FC77" i="15"/>
  <c r="FR76" i="15"/>
  <c r="FQ76" i="15"/>
  <c r="FP76" i="15"/>
  <c r="FO76" i="15"/>
  <c r="FN76" i="15"/>
  <c r="FM76" i="15"/>
  <c r="FG76" i="15"/>
  <c r="FF76" i="15"/>
  <c r="FE76" i="15"/>
  <c r="FC76" i="15"/>
  <c r="FR75" i="15"/>
  <c r="FQ75" i="15"/>
  <c r="FP75" i="15"/>
  <c r="FO75" i="15"/>
  <c r="FN75" i="15"/>
  <c r="FM75" i="15"/>
  <c r="FG75" i="15"/>
  <c r="FF75" i="15"/>
  <c r="FE75" i="15"/>
  <c r="FC75" i="15"/>
  <c r="FR74" i="15"/>
  <c r="FQ74" i="15"/>
  <c r="FP74" i="15"/>
  <c r="FO74" i="15"/>
  <c r="FN74" i="15"/>
  <c r="FM74" i="15"/>
  <c r="FG74" i="15"/>
  <c r="FF74" i="15"/>
  <c r="FE74" i="15"/>
  <c r="FC74" i="15"/>
  <c r="FR73" i="15"/>
  <c r="FQ73" i="15"/>
  <c r="FP73" i="15"/>
  <c r="FO73" i="15"/>
  <c r="FN73" i="15"/>
  <c r="FM73" i="15"/>
  <c r="FG73" i="15"/>
  <c r="FF73" i="15"/>
  <c r="FE73" i="15"/>
  <c r="FC73" i="15"/>
  <c r="FR72" i="15"/>
  <c r="FQ72" i="15"/>
  <c r="FP72" i="15"/>
  <c r="FO72" i="15"/>
  <c r="FN72" i="15"/>
  <c r="FM72" i="15"/>
  <c r="FG72" i="15"/>
  <c r="FF72" i="15"/>
  <c r="FE72" i="15"/>
  <c r="FR71" i="15"/>
  <c r="FQ71" i="15"/>
  <c r="FP71" i="15"/>
  <c r="FO71" i="15"/>
  <c r="FN71" i="15"/>
  <c r="FM71" i="15"/>
  <c r="FG71" i="15"/>
  <c r="FF71" i="15"/>
  <c r="FE71" i="15"/>
  <c r="FC71" i="15"/>
  <c r="FR70" i="15"/>
  <c r="FQ70" i="15"/>
  <c r="FP70" i="15"/>
  <c r="FO70" i="15"/>
  <c r="FN70" i="15"/>
  <c r="FM70" i="15"/>
  <c r="FG70" i="15"/>
  <c r="FF70" i="15"/>
  <c r="FE70" i="15"/>
  <c r="FC70" i="15"/>
  <c r="FR69" i="15"/>
  <c r="FQ69" i="15"/>
  <c r="FP69" i="15"/>
  <c r="FO69" i="15"/>
  <c r="FN69" i="15"/>
  <c r="FM69" i="15"/>
  <c r="FG69" i="15"/>
  <c r="FF69" i="15"/>
  <c r="FE69" i="15"/>
  <c r="FC69" i="15"/>
  <c r="FR68" i="15"/>
  <c r="FQ68" i="15"/>
  <c r="FP68" i="15"/>
  <c r="FO68" i="15"/>
  <c r="FN68" i="15"/>
  <c r="FM68" i="15"/>
  <c r="FG68" i="15"/>
  <c r="FF68" i="15"/>
  <c r="FE68" i="15"/>
  <c r="FC68" i="15"/>
  <c r="FR67" i="15"/>
  <c r="FQ67" i="15"/>
  <c r="FP67" i="15"/>
  <c r="FO67" i="15"/>
  <c r="FN67" i="15"/>
  <c r="FM67" i="15"/>
  <c r="FG67" i="15"/>
  <c r="FF67" i="15"/>
  <c r="FE67" i="15"/>
  <c r="FC67" i="15"/>
  <c r="FR66" i="15"/>
  <c r="FQ66" i="15"/>
  <c r="FP66" i="15"/>
  <c r="FO66" i="15"/>
  <c r="FN66" i="15"/>
  <c r="FM66" i="15"/>
  <c r="FG66" i="15"/>
  <c r="FF66" i="15"/>
  <c r="FE66" i="15"/>
  <c r="FC66" i="15"/>
  <c r="FR65" i="15"/>
  <c r="FQ65" i="15"/>
  <c r="FP65" i="15"/>
  <c r="FO65" i="15"/>
  <c r="FN65" i="15"/>
  <c r="FM65" i="15"/>
  <c r="FG65" i="15"/>
  <c r="FF65" i="15"/>
  <c r="FE65" i="15"/>
  <c r="FC65" i="15"/>
  <c r="FR64" i="15"/>
  <c r="FQ64" i="15"/>
  <c r="FP64" i="15"/>
  <c r="FO64" i="15"/>
  <c r="FN64" i="15"/>
  <c r="FM64" i="15"/>
  <c r="FG64" i="15"/>
  <c r="FF64" i="15"/>
  <c r="FE64" i="15"/>
  <c r="FC64" i="15"/>
  <c r="FR63" i="15"/>
  <c r="FQ63" i="15"/>
  <c r="FP63" i="15"/>
  <c r="FO63" i="15"/>
  <c r="FN63" i="15"/>
  <c r="FM63" i="15"/>
  <c r="FG63" i="15"/>
  <c r="FF63" i="15"/>
  <c r="FE63" i="15"/>
  <c r="FC63" i="15"/>
  <c r="FR62" i="15"/>
  <c r="FQ62" i="15"/>
  <c r="FP62" i="15"/>
  <c r="FO62" i="15"/>
  <c r="FN62" i="15"/>
  <c r="FM62" i="15"/>
  <c r="FG62" i="15"/>
  <c r="FF62" i="15"/>
  <c r="FE62" i="15"/>
  <c r="FR61" i="15"/>
  <c r="FQ61" i="15"/>
  <c r="FP61" i="15"/>
  <c r="FO61" i="15"/>
  <c r="FN61" i="15"/>
  <c r="FM61" i="15"/>
  <c r="FG61" i="15"/>
  <c r="FF61" i="15"/>
  <c r="FE61" i="15"/>
  <c r="FC61" i="15"/>
  <c r="FR60" i="15"/>
  <c r="FQ60" i="15"/>
  <c r="FP60" i="15"/>
  <c r="FO60" i="15"/>
  <c r="FN60" i="15"/>
  <c r="FM60" i="15"/>
  <c r="FG60" i="15"/>
  <c r="FF60" i="15"/>
  <c r="FE60" i="15"/>
  <c r="FC60" i="15"/>
  <c r="FR59" i="15"/>
  <c r="FQ59" i="15"/>
  <c r="FP59" i="15"/>
  <c r="FO59" i="15"/>
  <c r="FN59" i="15"/>
  <c r="FM59" i="15"/>
  <c r="FG59" i="15"/>
  <c r="FF59" i="15"/>
  <c r="FE59" i="15"/>
  <c r="FC59" i="15"/>
  <c r="FR58" i="15"/>
  <c r="FQ58" i="15"/>
  <c r="FP58" i="15"/>
  <c r="FO58" i="15"/>
  <c r="FN58" i="15"/>
  <c r="FM58" i="15"/>
  <c r="FG58" i="15"/>
  <c r="FF58" i="15"/>
  <c r="FE58" i="15"/>
  <c r="FC58" i="15"/>
  <c r="FR57" i="15"/>
  <c r="FQ57" i="15"/>
  <c r="FP57" i="15"/>
  <c r="FO57" i="15"/>
  <c r="FN57" i="15"/>
  <c r="FM57" i="15"/>
  <c r="FG57" i="15"/>
  <c r="FF57" i="15"/>
  <c r="FE57" i="15"/>
  <c r="FR56" i="15"/>
  <c r="FQ56" i="15"/>
  <c r="FP56" i="15"/>
  <c r="FO56" i="15"/>
  <c r="FN56" i="15"/>
  <c r="FM56" i="15"/>
  <c r="FG56" i="15"/>
  <c r="FF56" i="15"/>
  <c r="FE56" i="15"/>
  <c r="FR55" i="15"/>
  <c r="FQ55" i="15"/>
  <c r="FP55" i="15"/>
  <c r="FO55" i="15"/>
  <c r="FN55" i="15"/>
  <c r="FM55" i="15"/>
  <c r="FG55" i="15"/>
  <c r="FF55" i="15"/>
  <c r="FE55" i="15"/>
  <c r="FC55" i="15"/>
  <c r="FR54" i="15"/>
  <c r="FQ54" i="15"/>
  <c r="FP54" i="15"/>
  <c r="FO54" i="15"/>
  <c r="FN54" i="15"/>
  <c r="FM54" i="15"/>
  <c r="FG54" i="15"/>
  <c r="FF54" i="15"/>
  <c r="FE54" i="15"/>
  <c r="FR53" i="15"/>
  <c r="FQ53" i="15"/>
  <c r="FP53" i="15"/>
  <c r="FO53" i="15"/>
  <c r="FN53" i="15"/>
  <c r="FM53" i="15"/>
  <c r="FG53" i="15"/>
  <c r="FF53" i="15"/>
  <c r="FE53" i="15"/>
  <c r="FC53" i="15"/>
  <c r="FR52" i="15"/>
  <c r="FQ52" i="15"/>
  <c r="FP52" i="15"/>
  <c r="FO52" i="15"/>
  <c r="FN52" i="15"/>
  <c r="FM52" i="15"/>
  <c r="FR51" i="15"/>
  <c r="FQ51" i="15"/>
  <c r="FP51" i="15"/>
  <c r="FO51" i="15"/>
  <c r="FN51" i="15"/>
  <c r="FM51" i="15"/>
  <c r="FR50" i="15"/>
  <c r="FQ50" i="15"/>
  <c r="FP50" i="15"/>
  <c r="FO50" i="15"/>
  <c r="FN50" i="15"/>
  <c r="FM50" i="15"/>
  <c r="FG50" i="15"/>
  <c r="FF50" i="15"/>
  <c r="FE50" i="15"/>
  <c r="FC50" i="15"/>
  <c r="FR49" i="15"/>
  <c r="FQ49" i="15"/>
  <c r="FP49" i="15"/>
  <c r="FO49" i="15"/>
  <c r="FN49" i="15"/>
  <c r="FM49" i="15"/>
  <c r="FG49" i="15"/>
  <c r="FF49" i="15"/>
  <c r="FE49" i="15"/>
  <c r="FC49" i="15"/>
  <c r="FR48" i="15"/>
  <c r="FQ48" i="15"/>
  <c r="FP48" i="15"/>
  <c r="FO48" i="15"/>
  <c r="FN48" i="15"/>
  <c r="FM48" i="15"/>
  <c r="FG48" i="15"/>
  <c r="FF48" i="15"/>
  <c r="FE48" i="15"/>
  <c r="FR47" i="15"/>
  <c r="FQ47" i="15"/>
  <c r="FP47" i="15"/>
  <c r="FO47" i="15"/>
  <c r="FN47" i="15"/>
  <c r="FM47" i="15"/>
  <c r="FG47" i="15"/>
  <c r="FF47" i="15"/>
  <c r="FE47" i="15"/>
  <c r="FR46" i="15"/>
  <c r="FQ46" i="15"/>
  <c r="FP46" i="15"/>
  <c r="FO46" i="15"/>
  <c r="FN46" i="15"/>
  <c r="FM46" i="15"/>
  <c r="FG46" i="15"/>
  <c r="FF46" i="15"/>
  <c r="FE46" i="15"/>
  <c r="FC46" i="15"/>
  <c r="FR45" i="15"/>
  <c r="FQ45" i="15"/>
  <c r="FP45" i="15"/>
  <c r="FO45" i="15"/>
  <c r="FN45" i="15"/>
  <c r="FM45" i="15"/>
  <c r="FG45" i="15"/>
  <c r="FF45" i="15"/>
  <c r="FE45" i="15"/>
  <c r="FC45" i="15"/>
  <c r="FR44" i="15"/>
  <c r="FQ44" i="15"/>
  <c r="FP44" i="15"/>
  <c r="FO44" i="15"/>
  <c r="FN44" i="15"/>
  <c r="FM44" i="15"/>
  <c r="FC44" i="15"/>
  <c r="FR43" i="15"/>
  <c r="FQ43" i="15"/>
  <c r="FP43" i="15"/>
  <c r="FO43" i="15"/>
  <c r="FN43" i="15"/>
  <c r="FM43" i="15"/>
  <c r="FG43" i="15"/>
  <c r="FF43" i="15"/>
  <c r="FE43" i="15"/>
  <c r="FC43" i="15"/>
  <c r="FR42" i="15"/>
  <c r="FQ42" i="15"/>
  <c r="FP42" i="15"/>
  <c r="FO42" i="15"/>
  <c r="FN42" i="15"/>
  <c r="FM42" i="15"/>
  <c r="FG42" i="15"/>
  <c r="FF42" i="15"/>
  <c r="FE42" i="15"/>
  <c r="FC42" i="15"/>
  <c r="FR41" i="15"/>
  <c r="FQ41" i="15"/>
  <c r="FP41" i="15"/>
  <c r="FO41" i="15"/>
  <c r="FN41" i="15"/>
  <c r="FM41" i="15"/>
  <c r="FG41" i="15"/>
  <c r="FF41" i="15"/>
  <c r="FE41" i="15"/>
  <c r="FC41" i="15"/>
  <c r="FR40" i="15"/>
  <c r="FQ40" i="15"/>
  <c r="FP40" i="15"/>
  <c r="FO40" i="15"/>
  <c r="FN40" i="15"/>
  <c r="FM40" i="15"/>
  <c r="FG40" i="15"/>
  <c r="FF40" i="15"/>
  <c r="FE40" i="15"/>
  <c r="FC40" i="15"/>
  <c r="FR39" i="15"/>
  <c r="FQ39" i="15"/>
  <c r="FP39" i="15"/>
  <c r="FO39" i="15"/>
  <c r="FN39" i="15"/>
  <c r="FM39" i="15"/>
  <c r="FG39" i="15"/>
  <c r="FF39" i="15"/>
  <c r="FE39" i="15"/>
  <c r="FC39" i="15"/>
  <c r="FR38" i="15"/>
  <c r="FQ38" i="15"/>
  <c r="FP38" i="15"/>
  <c r="FO38" i="15"/>
  <c r="FN38" i="15"/>
  <c r="FM38" i="15"/>
  <c r="FG38" i="15"/>
  <c r="FF38" i="15"/>
  <c r="FE38" i="15"/>
  <c r="FC38" i="15"/>
  <c r="FR37" i="15"/>
  <c r="FQ37" i="15"/>
  <c r="FP37" i="15"/>
  <c r="FO37" i="15"/>
  <c r="FN37" i="15"/>
  <c r="FM37" i="15"/>
  <c r="FG37" i="15"/>
  <c r="FF37" i="15"/>
  <c r="FE37" i="15"/>
  <c r="FC37" i="15"/>
  <c r="FR36" i="15"/>
  <c r="FQ36" i="15"/>
  <c r="FP36" i="15"/>
  <c r="FO36" i="15"/>
  <c r="FN36" i="15"/>
  <c r="FM36" i="15"/>
  <c r="FG36" i="15"/>
  <c r="FF36" i="15"/>
  <c r="FE36" i="15"/>
  <c r="FC36" i="15"/>
  <c r="FR35" i="15"/>
  <c r="FQ35" i="15"/>
  <c r="FP35" i="15"/>
  <c r="FO35" i="15"/>
  <c r="FN35" i="15"/>
  <c r="FM35" i="15"/>
  <c r="FG35" i="15"/>
  <c r="FF35" i="15"/>
  <c r="FE35" i="15"/>
  <c r="FC35" i="15"/>
  <c r="FR34" i="15"/>
  <c r="FQ34" i="15"/>
  <c r="FP34" i="15"/>
  <c r="FO34" i="15"/>
  <c r="FN34" i="15"/>
  <c r="FM34" i="15"/>
  <c r="FG34" i="15"/>
  <c r="FF34" i="15"/>
  <c r="FE34" i="15"/>
  <c r="FC34" i="15"/>
  <c r="FR33" i="15"/>
  <c r="FQ33" i="15"/>
  <c r="FP33" i="15"/>
  <c r="FO33" i="15"/>
  <c r="FN33" i="15"/>
  <c r="FM33" i="15"/>
  <c r="FG33" i="15"/>
  <c r="FF33" i="15"/>
  <c r="FE33" i="15"/>
  <c r="FC33" i="15"/>
  <c r="FR32" i="15"/>
  <c r="FQ32" i="15"/>
  <c r="FP32" i="15"/>
  <c r="FO32" i="15"/>
  <c r="FN32" i="15"/>
  <c r="FM32" i="15"/>
  <c r="FG32" i="15"/>
  <c r="FF32" i="15"/>
  <c r="FE32" i="15"/>
  <c r="FC32" i="15"/>
  <c r="FR31" i="15"/>
  <c r="FQ31" i="15"/>
  <c r="FP31" i="15"/>
  <c r="FO31" i="15"/>
  <c r="FN31" i="15"/>
  <c r="FM31" i="15"/>
  <c r="FG31" i="15"/>
  <c r="FF31" i="15"/>
  <c r="FE31" i="15"/>
  <c r="FC31" i="15"/>
  <c r="FR30" i="15"/>
  <c r="FQ30" i="15"/>
  <c r="FP30" i="15"/>
  <c r="FO30" i="15"/>
  <c r="FN30" i="15"/>
  <c r="FM30" i="15"/>
  <c r="FG30" i="15"/>
  <c r="FF30" i="15"/>
  <c r="FE30" i="15"/>
  <c r="FC30" i="15"/>
  <c r="FR29" i="15"/>
  <c r="FQ29" i="15"/>
  <c r="FP29" i="15"/>
  <c r="FO29" i="15"/>
  <c r="FN29" i="15"/>
  <c r="FM29" i="15"/>
  <c r="FG29" i="15"/>
  <c r="FF29" i="15"/>
  <c r="FE29" i="15"/>
  <c r="FC29" i="15"/>
  <c r="FR28" i="15"/>
  <c r="FQ28" i="15"/>
  <c r="FP28" i="15"/>
  <c r="FO28" i="15"/>
  <c r="FN28" i="15"/>
  <c r="FM28" i="15"/>
  <c r="FG28" i="15"/>
  <c r="FF28" i="15"/>
  <c r="FE28" i="15"/>
  <c r="FC28" i="15"/>
  <c r="FR27" i="15"/>
  <c r="FQ27" i="15"/>
  <c r="FP27" i="15"/>
  <c r="FO27" i="15"/>
  <c r="FN27" i="15"/>
  <c r="FM27" i="15"/>
  <c r="FG27" i="15"/>
  <c r="FF27" i="15"/>
  <c r="FE27" i="15"/>
  <c r="FC27" i="15"/>
  <c r="FR26" i="15"/>
  <c r="FQ26" i="15"/>
  <c r="FP26" i="15"/>
  <c r="FO26" i="15"/>
  <c r="FN26" i="15"/>
  <c r="FM26" i="15"/>
  <c r="FG26" i="15"/>
  <c r="FF26" i="15"/>
  <c r="FE26" i="15"/>
  <c r="FC26" i="15"/>
  <c r="FR25" i="15"/>
  <c r="FQ25" i="15"/>
  <c r="FP25" i="15"/>
  <c r="FO25" i="15"/>
  <c r="FN25" i="15"/>
  <c r="FM25" i="15"/>
  <c r="FG25" i="15"/>
  <c r="FF25" i="15"/>
  <c r="FE25" i="15"/>
  <c r="FC25" i="15"/>
  <c r="FR24" i="15"/>
  <c r="FQ24" i="15"/>
  <c r="FP24" i="15"/>
  <c r="FO24" i="15"/>
  <c r="FN24" i="15"/>
  <c r="FM24" i="15"/>
  <c r="FG24" i="15"/>
  <c r="FF24" i="15"/>
  <c r="FE24" i="15"/>
  <c r="FC24" i="15"/>
  <c r="FR23" i="15"/>
  <c r="FQ23" i="15"/>
  <c r="FP23" i="15"/>
  <c r="FO23" i="15"/>
  <c r="FN23" i="15"/>
  <c r="FM23" i="15"/>
  <c r="FG23" i="15"/>
  <c r="FF23" i="15"/>
  <c r="FE23" i="15"/>
  <c r="FC23" i="15"/>
  <c r="FR22" i="15"/>
  <c r="FQ22" i="15"/>
  <c r="FP22" i="15"/>
  <c r="FO22" i="15"/>
  <c r="FN22" i="15"/>
  <c r="FM22" i="15"/>
  <c r="FG22" i="15"/>
  <c r="FF22" i="15"/>
  <c r="FE22" i="15"/>
  <c r="FC22" i="15"/>
  <c r="FR21" i="15"/>
  <c r="FQ21" i="15"/>
  <c r="FP21" i="15"/>
  <c r="FO21" i="15"/>
  <c r="FN21" i="15"/>
  <c r="FM21" i="15"/>
  <c r="FG21" i="15"/>
  <c r="FF21" i="15"/>
  <c r="FE21" i="15"/>
  <c r="FC21" i="15"/>
  <c r="FR20" i="15"/>
  <c r="FQ20" i="15"/>
  <c r="FP20" i="15"/>
  <c r="FO20" i="15"/>
  <c r="FN20" i="15"/>
  <c r="FM20" i="15"/>
  <c r="FG20" i="15"/>
  <c r="FF20" i="15"/>
  <c r="FE20" i="15"/>
  <c r="FR19" i="15"/>
  <c r="FQ19" i="15"/>
  <c r="FP19" i="15"/>
  <c r="FO19" i="15"/>
  <c r="FN19" i="15"/>
  <c r="FM19" i="15"/>
  <c r="FG19" i="15"/>
  <c r="FF19" i="15"/>
  <c r="FE19" i="15"/>
  <c r="FR18" i="15"/>
  <c r="FQ18" i="15"/>
  <c r="FP18" i="15"/>
  <c r="FO18" i="15"/>
  <c r="FN18" i="15"/>
  <c r="FM18" i="15"/>
  <c r="FG18" i="15"/>
  <c r="FF18" i="15"/>
  <c r="FE18" i="15"/>
  <c r="FC18" i="15"/>
  <c r="FR17" i="15"/>
  <c r="FQ17" i="15"/>
  <c r="FP17" i="15"/>
  <c r="FO17" i="15"/>
  <c r="FN17" i="15"/>
  <c r="FM17" i="15"/>
  <c r="FG17" i="15"/>
  <c r="FF17" i="15"/>
  <c r="FE17" i="15"/>
  <c r="FR16" i="15"/>
  <c r="FQ16" i="15"/>
  <c r="FP16" i="15"/>
  <c r="FO16" i="15"/>
  <c r="FN16" i="15"/>
  <c r="FM16" i="15"/>
  <c r="FG16" i="15"/>
  <c r="FF16" i="15"/>
  <c r="FE16" i="15"/>
  <c r="FC16" i="15"/>
  <c r="FR15" i="15"/>
  <c r="FQ15" i="15"/>
  <c r="FP15" i="15"/>
  <c r="FO15" i="15"/>
  <c r="FN15" i="15"/>
  <c r="FM15" i="15"/>
  <c r="FG15" i="15"/>
  <c r="FF15" i="15"/>
  <c r="FE15" i="15"/>
  <c r="FC15" i="15"/>
  <c r="FR14" i="15"/>
  <c r="FQ14" i="15"/>
  <c r="FP14" i="15"/>
  <c r="FO14" i="15"/>
  <c r="FN14" i="15"/>
  <c r="FM14" i="15"/>
  <c r="FG14" i="15"/>
  <c r="FF14" i="15"/>
  <c r="FE14" i="15"/>
  <c r="FC14" i="15"/>
  <c r="FR13" i="15"/>
  <c r="FQ13" i="15"/>
  <c r="FP13" i="15"/>
  <c r="FO13" i="15"/>
  <c r="FN13" i="15"/>
  <c r="FM13" i="15"/>
  <c r="FG13" i="15"/>
  <c r="FF13" i="15"/>
  <c r="FE13" i="15"/>
  <c r="FC13" i="15"/>
  <c r="FR12" i="15"/>
  <c r="FQ12" i="15"/>
  <c r="FP12" i="15"/>
  <c r="FO12" i="15"/>
  <c r="FN12" i="15"/>
  <c r="FM12" i="15"/>
  <c r="FG12" i="15"/>
  <c r="FF12" i="15"/>
  <c r="FE12" i="15"/>
  <c r="FC12" i="15"/>
  <c r="FR11" i="15"/>
  <c r="FQ11" i="15"/>
  <c r="FP11" i="15"/>
  <c r="FO11" i="15"/>
  <c r="FN11" i="15"/>
  <c r="FM11" i="15"/>
  <c r="FG11" i="15"/>
  <c r="FF11" i="15"/>
  <c r="FE11" i="15"/>
  <c r="FR10" i="15"/>
  <c r="FQ10" i="15"/>
  <c r="FP10" i="15"/>
  <c r="FO10" i="15"/>
  <c r="FN10" i="15"/>
  <c r="FM10" i="15"/>
  <c r="FG10" i="15"/>
  <c r="FF10" i="15"/>
  <c r="FE10" i="15"/>
  <c r="FR9" i="15"/>
  <c r="FQ9" i="15"/>
  <c r="FP9" i="15"/>
  <c r="FO9" i="15"/>
  <c r="FN9" i="15"/>
  <c r="FM9" i="15"/>
  <c r="FG9" i="15"/>
  <c r="FF9" i="15"/>
  <c r="FE9" i="15"/>
  <c r="FC9" i="15"/>
  <c r="FR8" i="15"/>
  <c r="FQ8" i="15"/>
  <c r="FP8" i="15"/>
  <c r="FO8" i="15"/>
  <c r="FN8" i="15"/>
  <c r="FM8" i="15"/>
  <c r="FG8" i="15"/>
  <c r="FF8" i="15"/>
  <c r="FE8" i="15"/>
  <c r="FC8" i="15"/>
  <c r="FR7" i="15"/>
  <c r="FQ7" i="15"/>
  <c r="FP7" i="15"/>
  <c r="FO7" i="15"/>
  <c r="FN7" i="15"/>
  <c r="FM7" i="15"/>
  <c r="FG7" i="15"/>
  <c r="FF7" i="15"/>
  <c r="FE7" i="15"/>
  <c r="FC7" i="15"/>
  <c r="FR6" i="15"/>
  <c r="FQ6" i="15"/>
  <c r="FP6" i="15"/>
  <c r="FO6" i="15"/>
  <c r="FN6" i="15"/>
  <c r="FM6" i="15"/>
  <c r="FG6" i="15"/>
  <c r="FF6" i="15"/>
  <c r="FE6" i="15"/>
  <c r="FC6" i="15"/>
  <c r="FR5" i="15"/>
  <c r="FQ5" i="15"/>
  <c r="FP5" i="15"/>
  <c r="FO5" i="15"/>
  <c r="FN5" i="15"/>
  <c r="FM5" i="15"/>
  <c r="FG5" i="15"/>
  <c r="FF5" i="15"/>
  <c r="FE5" i="15"/>
  <c r="FC5" i="15"/>
  <c r="FR4" i="15"/>
  <c r="FQ4" i="15"/>
  <c r="FP4" i="15"/>
  <c r="FO4" i="15"/>
  <c r="FN4" i="15"/>
  <c r="FM4" i="15"/>
  <c r="FG4" i="15"/>
  <c r="FF4" i="15"/>
  <c r="FE4" i="15"/>
  <c r="FC4" i="15"/>
  <c r="FR3" i="15"/>
  <c r="FQ3" i="15"/>
  <c r="FP3" i="15"/>
  <c r="FO3" i="15"/>
  <c r="FN3" i="15"/>
  <c r="FM3" i="15"/>
  <c r="FG3" i="15"/>
  <c r="FF3" i="15"/>
  <c r="FE3" i="15"/>
  <c r="FC3" i="15"/>
  <c r="FR2" i="15"/>
  <c r="FR133" i="15" s="1"/>
  <c r="FQ2" i="15"/>
  <c r="FQ133" i="15" s="1"/>
  <c r="FP2" i="15"/>
  <c r="FP133" i="15" s="1"/>
  <c r="FO2" i="15"/>
  <c r="FO133" i="15" s="1"/>
  <c r="FN2" i="15"/>
  <c r="FN133" i="15" s="1"/>
  <c r="FM2" i="15"/>
  <c r="FM133" i="15" s="1"/>
  <c r="FG2" i="15"/>
  <c r="FF2" i="15"/>
  <c r="FE2" i="15"/>
  <c r="FC2" i="15"/>
  <c r="F12" i="8"/>
  <c r="F19" i="8" s="1"/>
  <c r="G19" i="8" s="1"/>
  <c r="H19" i="8" s="1"/>
  <c r="F13" i="8"/>
  <c r="F20" i="8" s="1"/>
  <c r="G20" i="8" s="1"/>
  <c r="H20" i="8" s="1"/>
  <c r="F14" i="8"/>
  <c r="F21" i="8" s="1"/>
  <c r="F15" i="8"/>
  <c r="F22" i="8" s="1"/>
  <c r="F11" i="8"/>
  <c r="F18" i="8" s="1"/>
  <c r="D57" i="8"/>
  <c r="C57" i="8"/>
  <c r="R146" i="3"/>
  <c r="Q146" i="3"/>
  <c r="P146" i="3"/>
  <c r="N146" i="3"/>
  <c r="R145" i="3"/>
  <c r="Q145" i="3"/>
  <c r="P145" i="3"/>
  <c r="N145" i="3"/>
  <c r="R144" i="3"/>
  <c r="Q144" i="3"/>
  <c r="P144" i="3"/>
  <c r="R143" i="3"/>
  <c r="Q143" i="3"/>
  <c r="P143" i="3"/>
  <c r="N143" i="3"/>
  <c r="R142" i="3"/>
  <c r="Q142" i="3"/>
  <c r="P142" i="3"/>
  <c r="N142" i="3"/>
  <c r="R141" i="3"/>
  <c r="Q141" i="3"/>
  <c r="P141" i="3"/>
  <c r="N141" i="3"/>
  <c r="C141" i="3"/>
  <c r="R140" i="3"/>
  <c r="Q140" i="3"/>
  <c r="P140" i="3"/>
  <c r="N140" i="3"/>
  <c r="C140" i="3"/>
  <c r="Q139" i="3"/>
  <c r="Q138" i="3"/>
  <c r="N138" i="3"/>
  <c r="R137" i="3"/>
  <c r="Q137" i="3"/>
  <c r="P137" i="3"/>
  <c r="N137" i="3"/>
  <c r="R136" i="3"/>
  <c r="Q136" i="3"/>
  <c r="P136" i="3"/>
  <c r="N136" i="3"/>
  <c r="R135" i="3"/>
  <c r="Q135" i="3"/>
  <c r="P135" i="3"/>
  <c r="N135" i="3"/>
  <c r="C135" i="3"/>
  <c r="R134" i="3"/>
  <c r="Q134" i="3"/>
  <c r="P134" i="3"/>
  <c r="C134" i="3"/>
  <c r="R133" i="3"/>
  <c r="Q133" i="3"/>
  <c r="P133" i="3"/>
  <c r="N133" i="3"/>
  <c r="C133" i="3"/>
  <c r="R132" i="3"/>
  <c r="Q132" i="3"/>
  <c r="P132" i="3"/>
  <c r="N132" i="3"/>
  <c r="C132" i="3"/>
  <c r="R131" i="3"/>
  <c r="Q131" i="3"/>
  <c r="P131" i="3"/>
  <c r="N131" i="3"/>
  <c r="C131" i="3"/>
  <c r="R130" i="3"/>
  <c r="Q130" i="3"/>
  <c r="P130" i="3"/>
  <c r="N130" i="3"/>
  <c r="C130" i="3"/>
  <c r="R129" i="3"/>
  <c r="Q129" i="3"/>
  <c r="P129" i="3"/>
  <c r="C129" i="3"/>
  <c r="R128" i="3"/>
  <c r="Q128" i="3"/>
  <c r="P128" i="3"/>
  <c r="N128" i="3"/>
  <c r="C128" i="3"/>
  <c r="R127" i="3"/>
  <c r="Q127" i="3"/>
  <c r="P127" i="3"/>
  <c r="C127" i="3"/>
  <c r="R126" i="3"/>
  <c r="Q126" i="3"/>
  <c r="P126" i="3"/>
  <c r="N126" i="3"/>
  <c r="C126" i="3"/>
  <c r="R125" i="3"/>
  <c r="Q125" i="3"/>
  <c r="P125" i="3"/>
  <c r="C125" i="3"/>
  <c r="R124" i="3"/>
  <c r="Q124" i="3"/>
  <c r="P124" i="3"/>
  <c r="N124" i="3"/>
  <c r="C124" i="3"/>
  <c r="R123" i="3"/>
  <c r="Q123" i="3"/>
  <c r="P123" i="3"/>
  <c r="N123" i="3"/>
  <c r="C123" i="3"/>
  <c r="R122" i="3"/>
  <c r="Q122" i="3"/>
  <c r="P122" i="3"/>
  <c r="N122" i="3"/>
  <c r="C122" i="3"/>
  <c r="R107" i="3"/>
  <c r="Q107" i="3"/>
  <c r="P107" i="3"/>
  <c r="N107" i="3"/>
  <c r="R106" i="3"/>
  <c r="Q106" i="3"/>
  <c r="P106" i="3"/>
  <c r="N106" i="3"/>
  <c r="R105" i="3"/>
  <c r="Q105" i="3"/>
  <c r="P105" i="3"/>
  <c r="R104" i="3"/>
  <c r="Q104" i="3"/>
  <c r="P104" i="3"/>
  <c r="N104" i="3"/>
  <c r="R103" i="3"/>
  <c r="Q103" i="3"/>
  <c r="P103" i="3"/>
  <c r="N103" i="3"/>
  <c r="R102" i="3"/>
  <c r="Q102" i="3"/>
  <c r="P102" i="3"/>
  <c r="N102" i="3"/>
  <c r="C102" i="3"/>
  <c r="R101" i="3"/>
  <c r="Q101" i="3"/>
  <c r="P101" i="3"/>
  <c r="N101" i="3"/>
  <c r="C101" i="3"/>
  <c r="Q100" i="3"/>
  <c r="Q99" i="3"/>
  <c r="N99" i="3"/>
  <c r="R98" i="3"/>
  <c r="Q98" i="3"/>
  <c r="P98" i="3"/>
  <c r="N98" i="3"/>
  <c r="R97" i="3"/>
  <c r="Q97" i="3"/>
  <c r="P97" i="3"/>
  <c r="N97" i="3"/>
  <c r="R96" i="3"/>
  <c r="Q96" i="3"/>
  <c r="P96" i="3"/>
  <c r="N96" i="3"/>
  <c r="C96" i="3"/>
  <c r="R95" i="3"/>
  <c r="Q95" i="3"/>
  <c r="P95" i="3"/>
  <c r="C95" i="3"/>
  <c r="R94" i="3"/>
  <c r="Q94" i="3"/>
  <c r="P94" i="3"/>
  <c r="N94" i="3"/>
  <c r="C94" i="3"/>
  <c r="R93" i="3"/>
  <c r="Q93" i="3"/>
  <c r="P93" i="3"/>
  <c r="N93" i="3"/>
  <c r="C93" i="3"/>
  <c r="R92" i="3"/>
  <c r="Q92" i="3"/>
  <c r="P92" i="3"/>
  <c r="N92" i="3"/>
  <c r="C92" i="3"/>
  <c r="R91" i="3"/>
  <c r="Q91" i="3"/>
  <c r="P91" i="3"/>
  <c r="N91" i="3"/>
  <c r="C91" i="3"/>
  <c r="R90" i="3"/>
  <c r="Q90" i="3"/>
  <c r="P90" i="3"/>
  <c r="C90" i="3"/>
  <c r="R89" i="3"/>
  <c r="Q89" i="3"/>
  <c r="P89" i="3"/>
  <c r="N89" i="3"/>
  <c r="C89" i="3"/>
  <c r="R88" i="3"/>
  <c r="Q88" i="3"/>
  <c r="P88" i="3"/>
  <c r="C88" i="3"/>
  <c r="R87" i="3"/>
  <c r="Q87" i="3"/>
  <c r="P87" i="3"/>
  <c r="N87" i="3"/>
  <c r="C87" i="3"/>
  <c r="R86" i="3"/>
  <c r="Q86" i="3"/>
  <c r="P86" i="3"/>
  <c r="C86" i="3"/>
  <c r="R85" i="3"/>
  <c r="Q85" i="3"/>
  <c r="P85" i="3"/>
  <c r="N85" i="3"/>
  <c r="C85" i="3"/>
  <c r="R84" i="3"/>
  <c r="Q84" i="3"/>
  <c r="P84" i="3"/>
  <c r="N84" i="3"/>
  <c r="C84" i="3"/>
  <c r="R83" i="3"/>
  <c r="Q83" i="3"/>
  <c r="P83" i="3"/>
  <c r="N83" i="3"/>
  <c r="C83" i="3"/>
  <c r="R67" i="3"/>
  <c r="Q67" i="3"/>
  <c r="P67" i="3"/>
  <c r="N67" i="3"/>
  <c r="E67" i="3"/>
  <c r="R66" i="3"/>
  <c r="Q66" i="3"/>
  <c r="P66" i="3"/>
  <c r="N66" i="3"/>
  <c r="R65" i="3"/>
  <c r="Q65" i="3"/>
  <c r="P65" i="3"/>
  <c r="E65" i="3"/>
  <c r="R64" i="3"/>
  <c r="Q64" i="3"/>
  <c r="P64" i="3"/>
  <c r="N64" i="3"/>
  <c r="E64" i="3"/>
  <c r="R63" i="3"/>
  <c r="Q63" i="3"/>
  <c r="P63" i="3"/>
  <c r="N63" i="3"/>
  <c r="R62" i="3"/>
  <c r="Q62" i="3"/>
  <c r="P62" i="3"/>
  <c r="N62" i="3"/>
  <c r="E62" i="3"/>
  <c r="C62" i="3"/>
  <c r="R61" i="3"/>
  <c r="Q61" i="3"/>
  <c r="P61" i="3"/>
  <c r="N61" i="3"/>
  <c r="E61" i="3"/>
  <c r="C61" i="3"/>
  <c r="Q60" i="3"/>
  <c r="Q59" i="3"/>
  <c r="N59" i="3"/>
  <c r="R58" i="3"/>
  <c r="Q58" i="3"/>
  <c r="P58" i="3"/>
  <c r="N58" i="3"/>
  <c r="E58" i="3"/>
  <c r="R57" i="3"/>
  <c r="Q57" i="3"/>
  <c r="P57" i="3"/>
  <c r="N57" i="3"/>
  <c r="R56" i="3"/>
  <c r="Q56" i="3"/>
  <c r="P56" i="3"/>
  <c r="N56" i="3"/>
  <c r="E56" i="3"/>
  <c r="C56" i="3"/>
  <c r="R55" i="3"/>
  <c r="Q55" i="3"/>
  <c r="P55" i="3"/>
  <c r="E55" i="3"/>
  <c r="C55" i="3"/>
  <c r="R54" i="3"/>
  <c r="Q54" i="3"/>
  <c r="P54" i="3"/>
  <c r="N54" i="3"/>
  <c r="E54" i="3"/>
  <c r="C54" i="3"/>
  <c r="R53" i="3"/>
  <c r="Q53" i="3"/>
  <c r="P53" i="3"/>
  <c r="N53" i="3"/>
  <c r="E53" i="3"/>
  <c r="C53" i="3"/>
  <c r="R52" i="3"/>
  <c r="Q52" i="3"/>
  <c r="P52" i="3"/>
  <c r="N52" i="3"/>
  <c r="C52" i="3"/>
  <c r="R51" i="3"/>
  <c r="Q51" i="3"/>
  <c r="P51" i="3"/>
  <c r="N51" i="3"/>
  <c r="E51" i="3"/>
  <c r="C51" i="3"/>
  <c r="R50" i="3"/>
  <c r="Q50" i="3"/>
  <c r="P50" i="3"/>
  <c r="E50" i="3"/>
  <c r="C50" i="3"/>
  <c r="R49" i="3"/>
  <c r="Q49" i="3"/>
  <c r="P49" i="3"/>
  <c r="N49" i="3"/>
  <c r="E49" i="3"/>
  <c r="C49" i="3"/>
  <c r="R48" i="3"/>
  <c r="Q48" i="3"/>
  <c r="P48" i="3"/>
  <c r="E48" i="3"/>
  <c r="C48" i="3"/>
  <c r="R47" i="3"/>
  <c r="Q47" i="3"/>
  <c r="P47" i="3"/>
  <c r="N47" i="3"/>
  <c r="E47" i="3"/>
  <c r="C47" i="3"/>
  <c r="R46" i="3"/>
  <c r="Q46" i="3"/>
  <c r="P46" i="3"/>
  <c r="E46" i="3"/>
  <c r="C46" i="3"/>
  <c r="R45" i="3"/>
  <c r="Q45" i="3"/>
  <c r="P45" i="3"/>
  <c r="N45" i="3"/>
  <c r="E45" i="3"/>
  <c r="C45" i="3"/>
  <c r="R44" i="3"/>
  <c r="Q44" i="3"/>
  <c r="P44" i="3"/>
  <c r="N44" i="3"/>
  <c r="E44" i="3"/>
  <c r="C44" i="3"/>
  <c r="R43" i="3"/>
  <c r="Q43" i="3"/>
  <c r="P43" i="3"/>
  <c r="N43" i="3"/>
  <c r="E43" i="3"/>
  <c r="C43" i="3"/>
  <c r="E29" i="3"/>
  <c r="E27" i="3"/>
  <c r="E26" i="3"/>
  <c r="E25" i="3"/>
  <c r="BM18" i="1"/>
  <c r="BN17" i="1"/>
  <c r="BN16" i="1"/>
  <c r="BN15" i="1"/>
  <c r="BN14" i="1"/>
  <c r="BN13" i="1"/>
  <c r="BN12" i="1"/>
  <c r="BN11" i="1"/>
  <c r="BN10" i="1"/>
  <c r="BN9" i="1"/>
  <c r="T111" i="17" l="1"/>
  <c r="U111" i="17"/>
  <c r="E57" i="8"/>
  <c r="FS25" i="15"/>
  <c r="FS63" i="15"/>
  <c r="FS85" i="15"/>
  <c r="FS91" i="15"/>
  <c r="FS108" i="15"/>
  <c r="FS17" i="15"/>
  <c r="FS23" i="15"/>
  <c r="FS31" i="15"/>
  <c r="FS39" i="15"/>
  <c r="FC111" i="15"/>
  <c r="FS115" i="15" s="1"/>
  <c r="FS113" i="15"/>
  <c r="FS124" i="15"/>
  <c r="FS127" i="15"/>
  <c r="FS82" i="15"/>
  <c r="FS3" i="15"/>
  <c r="FS26" i="15"/>
  <c r="FS34" i="15"/>
  <c r="FS72" i="15"/>
  <c r="FS80" i="15"/>
  <c r="FS86" i="15"/>
  <c r="FS89" i="15"/>
  <c r="FE111" i="15"/>
  <c r="FS116" i="15"/>
  <c r="FS131" i="15"/>
  <c r="FS54" i="15"/>
  <c r="FS12" i="15"/>
  <c r="FS64" i="15"/>
  <c r="FS75" i="15"/>
  <c r="FS83" i="15"/>
  <c r="FS111" i="15"/>
  <c r="FS32" i="15"/>
  <c r="FS40" i="15"/>
  <c r="FS51" i="15"/>
  <c r="FS67" i="15"/>
  <c r="FS101" i="15"/>
  <c r="FG111" i="15"/>
  <c r="FS114" i="15"/>
  <c r="FS125" i="15"/>
  <c r="FS128" i="15"/>
  <c r="FS122" i="15"/>
  <c r="FS4" i="15"/>
  <c r="FS27" i="15"/>
  <c r="FS35" i="15"/>
  <c r="FS43" i="15"/>
  <c r="FS56" i="15"/>
  <c r="FS59" i="15"/>
  <c r="FS62" i="15"/>
  <c r="FS70" i="15"/>
  <c r="FS73" i="15"/>
  <c r="FS107" i="15"/>
  <c r="FS117" i="15"/>
  <c r="FS120" i="15"/>
  <c r="FS6" i="15"/>
  <c r="FS29" i="15"/>
  <c r="FS13" i="15"/>
  <c r="FS19" i="15"/>
  <c r="FS22" i="15"/>
  <c r="FS30" i="15"/>
  <c r="FS38" i="15"/>
  <c r="FS84" i="15"/>
  <c r="FS93" i="15"/>
  <c r="FS112" i="15"/>
  <c r="FS123" i="15"/>
  <c r="FS126" i="15"/>
  <c r="FS21" i="15"/>
  <c r="FS61" i="15"/>
  <c r="FS2" i="15"/>
  <c r="FS16" i="15"/>
  <c r="FS33" i="15"/>
  <c r="FS68" i="15"/>
  <c r="FS79" i="15"/>
  <c r="FS88" i="15"/>
  <c r="FS96" i="15"/>
  <c r="FS99" i="15"/>
  <c r="G22" i="8"/>
  <c r="H22" i="8" s="1"/>
  <c r="G21" i="8"/>
  <c r="H21" i="8" s="1"/>
  <c r="G18" i="8"/>
  <c r="H18" i="8" s="1"/>
  <c r="E59" i="3"/>
  <c r="E63" i="3"/>
  <c r="BN18" i="1"/>
  <c r="FS110" i="15" l="1"/>
  <c r="FS57" i="15"/>
  <c r="FS45" i="15"/>
  <c r="FS76" i="15"/>
  <c r="FS10" i="15"/>
  <c r="FS104" i="15"/>
  <c r="FS50" i="15"/>
  <c r="FS119" i="15"/>
  <c r="FS98" i="15"/>
  <c r="FS24" i="15"/>
  <c r="FS55" i="15"/>
  <c r="FS69" i="15"/>
  <c r="FS74" i="15"/>
  <c r="FS100" i="15"/>
  <c r="FS14" i="15"/>
  <c r="FS28" i="15"/>
  <c r="FS105" i="15"/>
  <c r="FS48" i="15"/>
  <c r="FS11" i="15"/>
  <c r="FS65" i="15"/>
  <c r="FS7" i="15"/>
  <c r="FS90" i="15"/>
  <c r="FS47" i="15"/>
  <c r="FS109" i="15"/>
  <c r="FS95" i="15"/>
  <c r="FS18" i="15"/>
  <c r="FS52" i="15"/>
  <c r="FS106" i="15"/>
  <c r="FS58" i="15"/>
  <c r="FS71" i="15"/>
  <c r="FS94" i="15"/>
  <c r="FS8" i="15"/>
  <c r="FS5" i="15"/>
  <c r="FS133" i="15" s="1"/>
  <c r="FS102" i="15"/>
  <c r="FS41" i="15"/>
  <c r="FS129" i="15"/>
  <c r="FS53" i="15"/>
  <c r="FS92" i="15"/>
  <c r="FS81" i="15"/>
  <c r="FS44" i="15"/>
  <c r="FS20" i="15"/>
  <c r="FS87" i="15"/>
  <c r="FS15" i="15"/>
  <c r="FS46" i="15"/>
  <c r="FS103" i="15"/>
  <c r="FS49" i="15"/>
  <c r="FS60" i="15"/>
  <c r="FS77" i="15"/>
  <c r="FS121" i="15"/>
  <c r="FS130" i="15"/>
  <c r="FS78" i="15"/>
  <c r="FS9" i="15"/>
  <c r="FS37" i="15"/>
  <c r="FS97" i="15"/>
  <c r="FS42" i="15"/>
  <c r="FS36" i="15"/>
  <c r="FS66" i="15"/>
  <c r="FS118" i="15"/>
  <c r="K74" i="3"/>
  <c r="E66" i="3"/>
  <c r="L74" i="3"/>
  <c r="N74" i="3"/>
  <c r="H74" i="3" l="1"/>
  <c r="J74" i="3"/>
  <c r="I74" i="3"/>
  <c r="M74" i="3"/>
  <c r="D76" i="3"/>
  <c r="G74" i="3"/>
  <c r="H115" i="3" l="1"/>
  <c r="H75" i="3"/>
  <c r="H154" i="3"/>
  <c r="R74" i="3"/>
  <c r="Q74" i="3"/>
  <c r="P74" i="3"/>
  <c r="G75" i="3"/>
  <c r="L75" i="3"/>
  <c r="N75" i="3"/>
  <c r="M75" i="3"/>
  <c r="K75" i="3"/>
  <c r="I75" i="3"/>
  <c r="J75" i="3"/>
  <c r="R75" i="3" l="1"/>
  <c r="Q75" i="3"/>
  <c r="P75" i="3"/>
  <c r="E92" i="3"/>
  <c r="E87" i="3"/>
  <c r="E97" i="3"/>
  <c r="E94" i="3"/>
  <c r="E133" i="3" s="1"/>
  <c r="E96" i="3"/>
  <c r="E135" i="3" s="1"/>
  <c r="E90" i="3"/>
  <c r="E129" i="3" s="1"/>
  <c r="E102" i="3"/>
  <c r="E141" i="3" s="1"/>
  <c r="E88" i="3"/>
  <c r="E91" i="3"/>
  <c r="E84" i="3"/>
  <c r="E123" i="3" s="1"/>
  <c r="E93" i="3"/>
  <c r="E132" i="3" s="1"/>
  <c r="E101" i="3"/>
  <c r="E95" i="3"/>
  <c r="E134" i="3" s="1"/>
  <c r="E86" i="3"/>
  <c r="E125" i="3" s="1"/>
  <c r="E83" i="3"/>
  <c r="E89" i="3"/>
  <c r="E128" i="3" s="1"/>
  <c r="E85" i="3"/>
  <c r="E124" i="3" s="1"/>
  <c r="E140" i="3" l="1"/>
  <c r="E98" i="3"/>
  <c r="E137" i="3" s="1"/>
  <c r="E99" i="3"/>
  <c r="E138" i="3" s="1"/>
  <c r="E136" i="3"/>
  <c r="E126" i="3"/>
  <c r="E130" i="3"/>
  <c r="E103" i="3"/>
  <c r="E142" i="3" s="1"/>
  <c r="E106" i="3"/>
  <c r="E145" i="3" s="1"/>
  <c r="E104" i="3"/>
  <c r="E143" i="3" s="1"/>
  <c r="E107" i="3"/>
  <c r="E146" i="3" s="1"/>
  <c r="E131" i="3"/>
  <c r="E127" i="3"/>
  <c r="E105" i="3"/>
  <c r="E144" i="3" s="1"/>
  <c r="I114" i="3"/>
  <c r="E122" i="3"/>
  <c r="L114" i="3" l="1"/>
  <c r="D116" i="3"/>
  <c r="J114" i="3"/>
  <c r="K114" i="3"/>
  <c r="N114" i="3"/>
  <c r="M114" i="3"/>
  <c r="L153" i="3"/>
  <c r="D155" i="3"/>
  <c r="K153" i="3"/>
  <c r="J153" i="3"/>
  <c r="I153" i="3"/>
  <c r="H153" i="3"/>
  <c r="N153" i="3"/>
  <c r="G153" i="3"/>
  <c r="M153" i="3"/>
  <c r="G114" i="3"/>
  <c r="H114" i="3"/>
  <c r="R114" i="3" l="1"/>
  <c r="Q114" i="3"/>
  <c r="P114" i="3"/>
  <c r="R153" i="3"/>
  <c r="Q153" i="3"/>
  <c r="P153" i="3"/>
  <c r="D68" i="8" l="1"/>
  <c r="D69" i="8"/>
  <c r="D70" i="8"/>
  <c r="D71" i="8"/>
  <c r="D72" i="8"/>
  <c r="D67" i="8"/>
  <c r="D58" i="8"/>
  <c r="D59" i="8"/>
  <c r="D60" i="8"/>
  <c r="D61" i="8"/>
  <c r="C58" i="8"/>
  <c r="C59" i="8"/>
  <c r="C60" i="8"/>
  <c r="C61" i="8"/>
  <c r="F57" i="8"/>
  <c r="G57" i="8" s="1"/>
  <c r="G4" i="8"/>
  <c r="E61" i="8" l="1"/>
  <c r="F61" i="8" s="1"/>
  <c r="G61" i="8" s="1"/>
  <c r="E58" i="8"/>
  <c r="F58" i="8" s="1"/>
  <c r="G58" i="8" s="1"/>
  <c r="E60" i="8"/>
  <c r="F60" i="8" s="1"/>
  <c r="G60" i="8" s="1"/>
  <c r="E59" i="8"/>
  <c r="F59" i="8" s="1"/>
  <c r="G59" i="8" s="1"/>
  <c r="E5" i="8"/>
  <c r="E6" i="8"/>
  <c r="E7" i="8"/>
  <c r="E8" i="8"/>
  <c r="E11" i="8"/>
  <c r="E12" i="8"/>
  <c r="E13" i="8"/>
  <c r="E14" i="8"/>
  <c r="E15" i="8"/>
  <c r="E18" i="8"/>
  <c r="J18" i="8" s="1"/>
  <c r="E19" i="8"/>
  <c r="J19" i="8" s="1"/>
  <c r="E20" i="8"/>
  <c r="J20" i="8" s="1"/>
  <c r="E21" i="8"/>
  <c r="J21" i="8" s="1"/>
  <c r="E22" i="8"/>
  <c r="J22" i="8" s="1"/>
  <c r="E4" i="8"/>
  <c r="G8" i="8" l="1"/>
  <c r="G7" i="8"/>
  <c r="G6" i="8"/>
  <c r="G5" i="8"/>
  <c r="C5" i="3" l="1"/>
  <c r="N5" i="3"/>
  <c r="P5" i="3"/>
  <c r="Q5" i="3"/>
  <c r="C24" i="3" l="1"/>
  <c r="C23" i="3"/>
  <c r="C18" i="3"/>
  <c r="C17" i="3"/>
  <c r="C16" i="3"/>
  <c r="C15" i="3"/>
  <c r="C14" i="3"/>
  <c r="C13" i="3"/>
  <c r="C12" i="3"/>
  <c r="C11" i="3"/>
  <c r="C10" i="3"/>
  <c r="C9" i="3"/>
  <c r="C8" i="3"/>
  <c r="C7" i="3"/>
  <c r="C6" i="3"/>
  <c r="R25" i="3" l="1"/>
  <c r="R26" i="3"/>
  <c r="R27" i="3"/>
  <c r="R29" i="3"/>
  <c r="Q6" i="3"/>
  <c r="Q7" i="3"/>
  <c r="Q8" i="3"/>
  <c r="Q9" i="3"/>
  <c r="Q10" i="3"/>
  <c r="Q11" i="3"/>
  <c r="Q12" i="3"/>
  <c r="Q13" i="3"/>
  <c r="Q14" i="3"/>
  <c r="Q15" i="3"/>
  <c r="Q16" i="3"/>
  <c r="Q17" i="3"/>
  <c r="Q18" i="3"/>
  <c r="Q19" i="3"/>
  <c r="Q20" i="3"/>
  <c r="Q21" i="3"/>
  <c r="Q22" i="3"/>
  <c r="Q23" i="3"/>
  <c r="Q24" i="3"/>
  <c r="Q25" i="3"/>
  <c r="Q26" i="3"/>
  <c r="Q27" i="3"/>
  <c r="Q29" i="3"/>
  <c r="N21" i="3"/>
  <c r="P20" i="3"/>
  <c r="R20" i="3"/>
  <c r="N20" i="3"/>
  <c r="N29" i="3" l="1"/>
  <c r="N28" i="3"/>
  <c r="N26" i="3"/>
  <c r="P29" i="3"/>
  <c r="P25" i="3"/>
  <c r="P26" i="3"/>
  <c r="P27" i="3"/>
  <c r="N25" i="3"/>
  <c r="R6" i="3" l="1"/>
  <c r="R7" i="3"/>
  <c r="R8" i="3"/>
  <c r="R9" i="3"/>
  <c r="R10" i="3"/>
  <c r="R11" i="3"/>
  <c r="R12" i="3"/>
  <c r="R13" i="3"/>
  <c r="R23" i="3"/>
  <c r="R14" i="3"/>
  <c r="R15" i="3"/>
  <c r="R16" i="3"/>
  <c r="R24" i="3"/>
  <c r="R17" i="3"/>
  <c r="R18" i="3"/>
  <c r="R19" i="3"/>
  <c r="R5" i="3"/>
  <c r="P6" i="3"/>
  <c r="P7" i="3"/>
  <c r="P8" i="3"/>
  <c r="P9" i="3"/>
  <c r="P10" i="3"/>
  <c r="P11" i="3"/>
  <c r="P12" i="3"/>
  <c r="P13" i="3"/>
  <c r="P23" i="3"/>
  <c r="P14" i="3"/>
  <c r="P16" i="3"/>
  <c r="P24" i="3"/>
  <c r="P17" i="3"/>
  <c r="P18" i="3"/>
  <c r="P19" i="3"/>
  <c r="N18" i="3"/>
  <c r="N24" i="3"/>
  <c r="N16" i="3"/>
  <c r="N15" i="3"/>
  <c r="N14" i="3"/>
  <c r="N23" i="3"/>
  <c r="N19" i="3"/>
  <c r="N13" i="3"/>
  <c r="N11" i="3"/>
  <c r="N9" i="3"/>
  <c r="N7" i="3"/>
  <c r="N6" i="3"/>
  <c r="D8" i="1" l="1"/>
  <c r="D9" i="1"/>
  <c r="D10" i="1"/>
  <c r="D11" i="1"/>
  <c r="D12" i="1"/>
  <c r="D13" i="1"/>
  <c r="D14" i="1"/>
  <c r="D15" i="1"/>
  <c r="D16" i="1"/>
  <c r="D17" i="1"/>
  <c r="D18" i="1"/>
  <c r="D19" i="1"/>
  <c r="D20" i="1"/>
  <c r="D21" i="1"/>
  <c r="D22" i="1"/>
  <c r="D23" i="1"/>
  <c r="D24" i="1"/>
  <c r="D25" i="1"/>
  <c r="D26" i="1"/>
  <c r="D7" i="1"/>
  <c r="AA7" i="1" s="1"/>
  <c r="AP23" i="1" l="1"/>
  <c r="AO23" i="1"/>
  <c r="AP14" i="1"/>
  <c r="AO14" i="1"/>
  <c r="AO13" i="1"/>
  <c r="AP13" i="1"/>
  <c r="AP12" i="1"/>
  <c r="AO12" i="1"/>
  <c r="AO7" i="1"/>
  <c r="AP7" i="1"/>
  <c r="AE7" i="1"/>
  <c r="AP11" i="1"/>
  <c r="AO11" i="1"/>
  <c r="AO21" i="1"/>
  <c r="AP21" i="1"/>
  <c r="AO26" i="1"/>
  <c r="AP26" i="1"/>
  <c r="AP18" i="1"/>
  <c r="AO18" i="1"/>
  <c r="AP10" i="1"/>
  <c r="AO10" i="1"/>
  <c r="AO22" i="1"/>
  <c r="AP22" i="1"/>
  <c r="AP19" i="1"/>
  <c r="AO19" i="1"/>
  <c r="AO25" i="1"/>
  <c r="AP25" i="1"/>
  <c r="AO17" i="1"/>
  <c r="AP17" i="1"/>
  <c r="AO9" i="1"/>
  <c r="AP9" i="1"/>
  <c r="AP15" i="1"/>
  <c r="AO15" i="1"/>
  <c r="AP20" i="1"/>
  <c r="AO20" i="1"/>
  <c r="AO24" i="1"/>
  <c r="AP24" i="1"/>
  <c r="AO16" i="1"/>
  <c r="AP16" i="1"/>
  <c r="AE16" i="1"/>
  <c r="AO8" i="1"/>
  <c r="AP8" i="1"/>
  <c r="D73" i="1"/>
  <c r="D77" i="1"/>
  <c r="E57" i="1"/>
  <c r="AD77" i="1" l="1"/>
  <c r="AL77" i="1"/>
  <c r="AA77" i="1"/>
  <c r="AN77" i="1"/>
  <c r="AF77" i="1"/>
  <c r="AP77" i="1"/>
  <c r="AP79" i="1" s="1"/>
  <c r="BJ17" i="1" s="1"/>
  <c r="AH77" i="1"/>
  <c r="AC77" i="1"/>
  <c r="AK77" i="1"/>
  <c r="AE77" i="1"/>
  <c r="AI77" i="1"/>
  <c r="AJ77" i="1"/>
  <c r="AO77" i="1"/>
  <c r="AO79" i="1" s="1"/>
  <c r="BI17" i="1" s="1"/>
  <c r="AB77" i="1"/>
  <c r="AG77" i="1"/>
  <c r="AM77" i="1"/>
  <c r="AB73" i="1"/>
  <c r="AJ73" i="1"/>
  <c r="AD73" i="1"/>
  <c r="AL73" i="1"/>
  <c r="AO73" i="1"/>
  <c r="AO75" i="1" s="1"/>
  <c r="BI16" i="1" s="1"/>
  <c r="AF73" i="1"/>
  <c r="AM73" i="1"/>
  <c r="AI73" i="1"/>
  <c r="AC73" i="1"/>
  <c r="AK73" i="1"/>
  <c r="AA73" i="1"/>
  <c r="AN73" i="1"/>
  <c r="AE73" i="1"/>
  <c r="AP73" i="1"/>
  <c r="AP75" i="1" s="1"/>
  <c r="BJ16" i="1" s="1"/>
  <c r="AG73" i="1"/>
  <c r="AH73" i="1"/>
  <c r="AP28" i="1"/>
  <c r="BJ9" i="1" s="1"/>
  <c r="AO28" i="1"/>
  <c r="BI9" i="1" s="1"/>
  <c r="E51" i="1"/>
  <c r="B42" i="1"/>
  <c r="G41" i="1"/>
  <c r="E41" i="1" s="1"/>
  <c r="G40" i="1"/>
  <c r="G39" i="1"/>
  <c r="E39" i="1" s="1"/>
  <c r="G38" i="1"/>
  <c r="E38" i="1" s="1"/>
  <c r="G34" i="1"/>
  <c r="G33" i="1"/>
  <c r="G32" i="1"/>
  <c r="G31" i="1"/>
  <c r="B35" i="1"/>
  <c r="D32" i="1" s="1"/>
  <c r="F42" i="1"/>
  <c r="E69" i="1"/>
  <c r="E62" i="1"/>
  <c r="E63" i="1"/>
  <c r="E64" i="1"/>
  <c r="E65" i="1"/>
  <c r="E61" i="1"/>
  <c r="E52" i="1"/>
  <c r="E53" i="1"/>
  <c r="E54" i="1"/>
  <c r="E55" i="1"/>
  <c r="E56" i="1"/>
  <c r="E46" i="1"/>
  <c r="E45" i="1"/>
  <c r="E32" i="1"/>
  <c r="E33" i="1"/>
  <c r="E34" i="1"/>
  <c r="E31" i="1"/>
  <c r="E8" i="1"/>
  <c r="E9" i="1"/>
  <c r="E10" i="1"/>
  <c r="E11" i="1"/>
  <c r="E12" i="1"/>
  <c r="E13" i="1"/>
  <c r="E14" i="1"/>
  <c r="E15" i="1"/>
  <c r="E16" i="1"/>
  <c r="E17" i="1"/>
  <c r="E18" i="1"/>
  <c r="E19" i="1"/>
  <c r="E20" i="1"/>
  <c r="E21" i="1"/>
  <c r="E22" i="1"/>
  <c r="E23" i="1"/>
  <c r="E24" i="1"/>
  <c r="E25" i="1"/>
  <c r="E26" i="1"/>
  <c r="E7" i="1"/>
  <c r="F27" i="1"/>
  <c r="G35" i="1" l="1"/>
  <c r="D40" i="1"/>
  <c r="AP40" i="1" s="1"/>
  <c r="D41" i="1"/>
  <c r="AO41" i="1" s="1"/>
  <c r="D33" i="1"/>
  <c r="AP33" i="1" s="1"/>
  <c r="D39" i="1"/>
  <c r="AK39" i="1" s="1"/>
  <c r="D38" i="1"/>
  <c r="AG38" i="1" s="1"/>
  <c r="AP32" i="1"/>
  <c r="AO32" i="1"/>
  <c r="AN32" i="1"/>
  <c r="AA32" i="1"/>
  <c r="AG32" i="1"/>
  <c r="AH32" i="1"/>
  <c r="AC32" i="1"/>
  <c r="AJ32" i="1"/>
  <c r="AK32" i="1"/>
  <c r="AD32" i="1"/>
  <c r="AE32" i="1"/>
  <c r="AB32" i="1"/>
  <c r="AL32" i="1"/>
  <c r="AM32" i="1"/>
  <c r="AI32" i="1"/>
  <c r="AF32" i="1"/>
  <c r="AO33" i="1"/>
  <c r="AM33" i="1"/>
  <c r="AK33" i="1"/>
  <c r="AA33" i="1"/>
  <c r="AF33" i="1"/>
  <c r="AJ33" i="1"/>
  <c r="AH33" i="1"/>
  <c r="AC33" i="1"/>
  <c r="AE33" i="1"/>
  <c r="AD33" i="1"/>
  <c r="AP39" i="1"/>
  <c r="AN39" i="1"/>
  <c r="E27" i="1"/>
  <c r="D31" i="1"/>
  <c r="E58" i="1"/>
  <c r="D57" i="1" s="1"/>
  <c r="D34" i="1"/>
  <c r="E66" i="1"/>
  <c r="D61" i="1" s="1"/>
  <c r="AK41" i="1"/>
  <c r="AA41" i="1"/>
  <c r="AJ41" i="1"/>
  <c r="AG41" i="1"/>
  <c r="AH41" i="1"/>
  <c r="AI41" i="1"/>
  <c r="AF41" i="1"/>
  <c r="AD41" i="1"/>
  <c r="E40" i="1"/>
  <c r="B47" i="1"/>
  <c r="E47" i="1" s="1"/>
  <c r="D65" i="1" l="1"/>
  <c r="AP41" i="1"/>
  <c r="AC41" i="1"/>
  <c r="AM38" i="1"/>
  <c r="AH38" i="1"/>
  <c r="AB41" i="1"/>
  <c r="AN41" i="1"/>
  <c r="AL40" i="1"/>
  <c r="AM41" i="1"/>
  <c r="AE41" i="1"/>
  <c r="AL41" i="1"/>
  <c r="AF40" i="1"/>
  <c r="AI38" i="1"/>
  <c r="AF38" i="1"/>
  <c r="AB38" i="1"/>
  <c r="AN38" i="1"/>
  <c r="AL38" i="1"/>
  <c r="AL33" i="1"/>
  <c r="AN33" i="1"/>
  <c r="AK40" i="1"/>
  <c r="AK38" i="1"/>
  <c r="AL39" i="1"/>
  <c r="AD38" i="1"/>
  <c r="AG33" i="1"/>
  <c r="AI33" i="1"/>
  <c r="AJ40" i="1"/>
  <c r="AJ39" i="1"/>
  <c r="AJ38" i="1"/>
  <c r="AB33" i="1"/>
  <c r="AE40" i="1"/>
  <c r="AA38" i="1"/>
  <c r="AG40" i="1"/>
  <c r="AI40" i="1"/>
  <c r="AC39" i="1"/>
  <c r="AE38" i="1"/>
  <c r="AC38" i="1"/>
  <c r="AD40" i="1"/>
  <c r="AH40" i="1"/>
  <c r="AO40" i="1"/>
  <c r="AB40" i="1"/>
  <c r="AN40" i="1"/>
  <c r="AP38" i="1"/>
  <c r="AP43" i="1" s="1"/>
  <c r="BJ11" i="1" s="1"/>
  <c r="AA39" i="1"/>
  <c r="AO38" i="1"/>
  <c r="AM40" i="1"/>
  <c r="AA40" i="1"/>
  <c r="AC40" i="1"/>
  <c r="AE39" i="1"/>
  <c r="AG39" i="1"/>
  <c r="AD39" i="1"/>
  <c r="AH39" i="1"/>
  <c r="AB39" i="1"/>
  <c r="AM39" i="1"/>
  <c r="D63" i="1"/>
  <c r="AL63" i="1" s="1"/>
  <c r="AO39" i="1"/>
  <c r="AO43" i="1" s="1"/>
  <c r="BI11" i="1" s="1"/>
  <c r="AI39" i="1"/>
  <c r="AF39" i="1"/>
  <c r="D55" i="1"/>
  <c r="AM34" i="1"/>
  <c r="AK34" i="1"/>
  <c r="AA34" i="1"/>
  <c r="AO34" i="1"/>
  <c r="AI34" i="1"/>
  <c r="AG34" i="1"/>
  <c r="AE34" i="1"/>
  <c r="AC34" i="1"/>
  <c r="AL34" i="1"/>
  <c r="AP34" i="1"/>
  <c r="AF34" i="1"/>
  <c r="AB34" i="1"/>
  <c r="AN34" i="1"/>
  <c r="AH34" i="1"/>
  <c r="AJ34" i="1"/>
  <c r="AD34" i="1"/>
  <c r="D52" i="1"/>
  <c r="D62" i="1"/>
  <c r="AI31" i="1"/>
  <c r="AG31" i="1"/>
  <c r="AE31" i="1"/>
  <c r="AC31" i="1"/>
  <c r="AD31" i="1"/>
  <c r="AL31" i="1"/>
  <c r="AA31" i="1"/>
  <c r="AP31" i="1"/>
  <c r="AF31" i="1"/>
  <c r="AO31" i="1"/>
  <c r="AN31" i="1"/>
  <c r="AK31" i="1"/>
  <c r="AM31" i="1"/>
  <c r="AB31" i="1"/>
  <c r="AJ31" i="1"/>
  <c r="AH31" i="1"/>
  <c r="D51" i="1"/>
  <c r="D53" i="1"/>
  <c r="D64" i="1"/>
  <c r="D56" i="1"/>
  <c r="AO65" i="1"/>
  <c r="AD65" i="1"/>
  <c r="AL65" i="1"/>
  <c r="AM65" i="1"/>
  <c r="AC65" i="1"/>
  <c r="AK65" i="1"/>
  <c r="AP65" i="1"/>
  <c r="AE65" i="1"/>
  <c r="AA65" i="1"/>
  <c r="AB65" i="1"/>
  <c r="AI65" i="1"/>
  <c r="AF65" i="1"/>
  <c r="AN65" i="1"/>
  <c r="AG65" i="1"/>
  <c r="AJ65" i="1"/>
  <c r="AH65" i="1"/>
  <c r="E80" i="1"/>
  <c r="AO57" i="1"/>
  <c r="AB57" i="1"/>
  <c r="AJ57" i="1"/>
  <c r="AP57" i="1"/>
  <c r="AK57" i="1"/>
  <c r="AA57" i="1"/>
  <c r="AI57" i="1"/>
  <c r="AM57" i="1"/>
  <c r="AC57" i="1"/>
  <c r="AF57" i="1"/>
  <c r="AN57" i="1"/>
  <c r="AG57" i="1"/>
  <c r="AH57" i="1"/>
  <c r="AL57" i="1"/>
  <c r="AD57" i="1"/>
  <c r="AE57" i="1"/>
  <c r="AM61" i="1"/>
  <c r="AI61" i="1"/>
  <c r="AB61" i="1"/>
  <c r="AO61" i="1"/>
  <c r="AH61" i="1"/>
  <c r="AJ61" i="1"/>
  <c r="AD61" i="1"/>
  <c r="AE61" i="1"/>
  <c r="AN61" i="1"/>
  <c r="AF61" i="1"/>
  <c r="AK61" i="1"/>
  <c r="AG61" i="1"/>
  <c r="AP61" i="1"/>
  <c r="AA61" i="1"/>
  <c r="AC61" i="1"/>
  <c r="AL61" i="1"/>
  <c r="D54" i="1"/>
  <c r="E48" i="1"/>
  <c r="D47" i="1" s="1"/>
  <c r="D69" i="1"/>
  <c r="AD63" i="1" l="1"/>
  <c r="AJ63" i="1"/>
  <c r="AH63" i="1"/>
  <c r="AM63" i="1"/>
  <c r="AK63" i="1"/>
  <c r="AG63" i="1"/>
  <c r="AC63" i="1"/>
  <c r="AP63" i="1"/>
  <c r="AA63" i="1"/>
  <c r="AI63" i="1"/>
  <c r="AO63" i="1"/>
  <c r="AN63" i="1"/>
  <c r="AF63" i="1"/>
  <c r="AE63" i="1"/>
  <c r="AP36" i="1"/>
  <c r="BJ10" i="1" s="1"/>
  <c r="AB63" i="1"/>
  <c r="AO53" i="1"/>
  <c r="AB53" i="1"/>
  <c r="AJ53" i="1"/>
  <c r="AK53" i="1"/>
  <c r="AA53" i="1"/>
  <c r="AI53" i="1"/>
  <c r="AP53" i="1"/>
  <c r="AC53" i="1"/>
  <c r="AN53" i="1"/>
  <c r="AD53" i="1"/>
  <c r="AH53" i="1"/>
  <c r="AE53" i="1"/>
  <c r="AF53" i="1"/>
  <c r="AM53" i="1"/>
  <c r="AG53" i="1"/>
  <c r="AL53" i="1"/>
  <c r="AO36" i="1"/>
  <c r="BI10" i="1" s="1"/>
  <c r="AG51" i="1"/>
  <c r="AO51" i="1"/>
  <c r="AF51" i="1"/>
  <c r="AH51" i="1"/>
  <c r="AI51" i="1"/>
  <c r="AJ51" i="1"/>
  <c r="AN51" i="1"/>
  <c r="AK51" i="1"/>
  <c r="AL51" i="1"/>
  <c r="AB51" i="1"/>
  <c r="AP51" i="1"/>
  <c r="AM51" i="1"/>
  <c r="AD51" i="1"/>
  <c r="AA51" i="1"/>
  <c r="AE51" i="1"/>
  <c r="AC51" i="1"/>
  <c r="AO47" i="1"/>
  <c r="AN47" i="1"/>
  <c r="AH47" i="1"/>
  <c r="AA47" i="1"/>
  <c r="AG47" i="1"/>
  <c r="AP47" i="1"/>
  <c r="AI47" i="1"/>
  <c r="AC47" i="1"/>
  <c r="AD47" i="1"/>
  <c r="AE47" i="1"/>
  <c r="AF47" i="1"/>
  <c r="AM47" i="1"/>
  <c r="AL47" i="1"/>
  <c r="AK47" i="1"/>
  <c r="AB47" i="1"/>
  <c r="AJ47" i="1"/>
  <c r="D45" i="1"/>
  <c r="D46" i="1"/>
  <c r="AG69" i="1"/>
  <c r="AH69" i="1"/>
  <c r="AP69" i="1"/>
  <c r="AP71" i="1" s="1"/>
  <c r="BJ15" i="1" s="1"/>
  <c r="AF69" i="1"/>
  <c r="AN69" i="1"/>
  <c r="AJ69" i="1"/>
  <c r="AD69" i="1"/>
  <c r="AK69" i="1"/>
  <c r="AO69" i="1"/>
  <c r="AO71" i="1" s="1"/>
  <c r="BI15" i="1" s="1"/>
  <c r="AM69" i="1"/>
  <c r="AL69" i="1"/>
  <c r="AC69" i="1"/>
  <c r="AB69" i="1"/>
  <c r="AA69" i="1"/>
  <c r="AE69" i="1"/>
  <c r="AI69" i="1"/>
  <c r="AF54" i="1"/>
  <c r="AO54" i="1"/>
  <c r="AN54" i="1"/>
  <c r="AE54" i="1"/>
  <c r="AG54" i="1"/>
  <c r="AC54" i="1"/>
  <c r="AP54" i="1"/>
  <c r="AD54" i="1"/>
  <c r="AK54" i="1"/>
  <c r="AH54" i="1"/>
  <c r="AI54" i="1"/>
  <c r="AA54" i="1"/>
  <c r="AL54" i="1"/>
  <c r="AM54" i="1"/>
  <c r="AB54" i="1"/>
  <c r="AJ54" i="1"/>
  <c r="AH62" i="1"/>
  <c r="AA62" i="1"/>
  <c r="AO62" i="1"/>
  <c r="AN62" i="1"/>
  <c r="AG62" i="1"/>
  <c r="AI62" i="1"/>
  <c r="AL62" i="1"/>
  <c r="AB62" i="1"/>
  <c r="AC62" i="1"/>
  <c r="AF62" i="1"/>
  <c r="AP62" i="1"/>
  <c r="AD62" i="1"/>
  <c r="AM62" i="1"/>
  <c r="AJ62" i="1"/>
  <c r="AK62" i="1"/>
  <c r="AE62" i="1"/>
  <c r="AF52" i="1"/>
  <c r="AG52" i="1"/>
  <c r="AP52" i="1"/>
  <c r="AE52" i="1"/>
  <c r="AO52" i="1"/>
  <c r="AB52" i="1"/>
  <c r="AJ52" i="1"/>
  <c r="AC52" i="1"/>
  <c r="AD52" i="1"/>
  <c r="AM52" i="1"/>
  <c r="AH52" i="1"/>
  <c r="AK52" i="1"/>
  <c r="AI52" i="1"/>
  <c r="AN52" i="1"/>
  <c r="AA52" i="1"/>
  <c r="AL52" i="1"/>
  <c r="AM56" i="1"/>
  <c r="AF56" i="1"/>
  <c r="AN56" i="1"/>
  <c r="AG56" i="1"/>
  <c r="AP56" i="1"/>
  <c r="AE56" i="1"/>
  <c r="AD56" i="1"/>
  <c r="AL56" i="1"/>
  <c r="AH56" i="1"/>
  <c r="AK56" i="1"/>
  <c r="AI56" i="1"/>
  <c r="AA56" i="1"/>
  <c r="AJ56" i="1"/>
  <c r="AB56" i="1"/>
  <c r="AC56" i="1"/>
  <c r="AO56" i="1"/>
  <c r="AH64" i="1"/>
  <c r="AI64" i="1"/>
  <c r="AP64" i="1"/>
  <c r="AG64" i="1"/>
  <c r="AN64" i="1"/>
  <c r="AA64" i="1"/>
  <c r="AM64" i="1"/>
  <c r="AB64" i="1"/>
  <c r="AC64" i="1"/>
  <c r="AD64" i="1"/>
  <c r="AF64" i="1"/>
  <c r="AE64" i="1"/>
  <c r="AJ64" i="1"/>
  <c r="AK64" i="1"/>
  <c r="AO64" i="1"/>
  <c r="AL64" i="1"/>
  <c r="AN55" i="1"/>
  <c r="AB55" i="1"/>
  <c r="AJ55" i="1"/>
  <c r="AC55" i="1"/>
  <c r="AM55" i="1"/>
  <c r="AA55" i="1"/>
  <c r="AI55" i="1"/>
  <c r="AK55" i="1"/>
  <c r="AE55" i="1"/>
  <c r="AF55" i="1"/>
  <c r="AO55" i="1"/>
  <c r="AG55" i="1"/>
  <c r="AL55" i="1"/>
  <c r="AP55" i="1"/>
  <c r="AH55" i="1"/>
  <c r="AD55" i="1"/>
  <c r="AP67" i="1" l="1"/>
  <c r="BJ14" i="1" s="1"/>
  <c r="AO67" i="1"/>
  <c r="BI14" i="1" s="1"/>
  <c r="AP59" i="1"/>
  <c r="BJ13" i="1" s="1"/>
  <c r="AD46" i="1"/>
  <c r="AL46" i="1"/>
  <c r="AM46" i="1"/>
  <c r="AP46" i="1"/>
  <c r="AN46" i="1"/>
  <c r="AC46" i="1"/>
  <c r="AK46" i="1"/>
  <c r="AE46" i="1"/>
  <c r="AO46" i="1"/>
  <c r="AA46" i="1"/>
  <c r="AB46" i="1"/>
  <c r="AI46" i="1"/>
  <c r="AF46" i="1"/>
  <c r="AH46" i="1"/>
  <c r="AG46" i="1"/>
  <c r="AJ46" i="1"/>
  <c r="AO59" i="1"/>
  <c r="BI13" i="1" s="1"/>
  <c r="AE45" i="1"/>
  <c r="AA45" i="1"/>
  <c r="AO45" i="1"/>
  <c r="AD45" i="1"/>
  <c r="AL45" i="1"/>
  <c r="AF45" i="1"/>
  <c r="AC45" i="1"/>
  <c r="AK45" i="1"/>
  <c r="AP45" i="1"/>
  <c r="AG45" i="1"/>
  <c r="AH45" i="1"/>
  <c r="AJ45" i="1"/>
  <c r="AI45" i="1"/>
  <c r="AN45" i="1"/>
  <c r="AM45" i="1"/>
  <c r="AB45" i="1"/>
  <c r="AO49" i="1" l="1"/>
  <c r="BI12" i="1" s="1"/>
  <c r="BI19" i="1" s="1"/>
  <c r="AP49" i="1"/>
  <c r="BJ12" i="1" s="1"/>
  <c r="BJ19" i="1" s="1"/>
  <c r="AN8" i="1"/>
  <c r="AN9" i="1"/>
  <c r="AN10" i="1"/>
  <c r="AN11" i="1"/>
  <c r="AN12" i="1"/>
  <c r="AN13" i="1"/>
  <c r="AN14" i="1"/>
  <c r="AN15" i="1"/>
  <c r="AN16" i="1"/>
  <c r="AN17" i="1"/>
  <c r="AN18" i="1"/>
  <c r="AN19" i="1"/>
  <c r="AN20" i="1"/>
  <c r="AN21" i="1"/>
  <c r="AN22" i="1"/>
  <c r="AN23" i="1"/>
  <c r="AN24" i="1"/>
  <c r="AN25" i="1"/>
  <c r="AN26" i="1"/>
  <c r="AN7" i="1"/>
  <c r="AM8" i="1"/>
  <c r="AM9" i="1"/>
  <c r="AM10" i="1"/>
  <c r="AM11" i="1"/>
  <c r="AM12" i="1"/>
  <c r="AM13" i="1"/>
  <c r="AM14" i="1"/>
  <c r="AM15" i="1"/>
  <c r="AM16" i="1"/>
  <c r="AM17" i="1"/>
  <c r="AM18" i="1"/>
  <c r="AM19" i="1"/>
  <c r="AM20" i="1"/>
  <c r="AM21" i="1"/>
  <c r="AM22" i="1"/>
  <c r="AM23" i="1"/>
  <c r="AM24" i="1"/>
  <c r="AM25" i="1"/>
  <c r="AM26" i="1"/>
  <c r="AM7" i="1"/>
  <c r="AL8" i="1"/>
  <c r="AL9" i="1"/>
  <c r="AL10" i="1"/>
  <c r="AL11" i="1"/>
  <c r="AL12" i="1"/>
  <c r="AL13" i="1"/>
  <c r="AL14" i="1"/>
  <c r="AL15" i="1"/>
  <c r="AL16" i="1"/>
  <c r="AL17" i="1"/>
  <c r="AL18" i="1"/>
  <c r="AL19" i="1"/>
  <c r="AL20" i="1"/>
  <c r="AL21" i="1"/>
  <c r="AL22" i="1"/>
  <c r="AL23" i="1"/>
  <c r="AL24" i="1"/>
  <c r="AL25" i="1"/>
  <c r="AL26" i="1"/>
  <c r="AL7" i="1"/>
  <c r="AK8" i="1"/>
  <c r="AK9" i="1"/>
  <c r="AK10" i="1"/>
  <c r="AK11" i="1"/>
  <c r="AK12" i="1"/>
  <c r="AK13" i="1"/>
  <c r="AK14" i="1"/>
  <c r="AK15" i="1"/>
  <c r="AK16" i="1"/>
  <c r="AK17" i="1"/>
  <c r="AK18" i="1"/>
  <c r="AK19" i="1"/>
  <c r="AK20" i="1"/>
  <c r="AK21" i="1"/>
  <c r="AK22" i="1"/>
  <c r="AK23" i="1"/>
  <c r="AK24" i="1"/>
  <c r="AK25" i="1"/>
  <c r="AK26" i="1"/>
  <c r="AK7" i="1"/>
  <c r="AJ8" i="1"/>
  <c r="AJ9" i="1"/>
  <c r="AJ10" i="1"/>
  <c r="AJ11" i="1"/>
  <c r="AJ12" i="1"/>
  <c r="AJ13" i="1"/>
  <c r="AJ14" i="1"/>
  <c r="AJ15" i="1"/>
  <c r="AJ16" i="1"/>
  <c r="AJ17" i="1"/>
  <c r="AJ18" i="1"/>
  <c r="AJ19" i="1"/>
  <c r="AJ20" i="1"/>
  <c r="AJ21" i="1"/>
  <c r="AJ22" i="1"/>
  <c r="AJ23" i="1"/>
  <c r="AJ24" i="1"/>
  <c r="AJ25" i="1"/>
  <c r="AJ26" i="1"/>
  <c r="AJ7" i="1"/>
  <c r="AI8" i="1"/>
  <c r="AI9" i="1"/>
  <c r="AI10" i="1"/>
  <c r="AI11" i="1"/>
  <c r="AI12" i="1"/>
  <c r="AI13" i="1"/>
  <c r="AI14" i="1"/>
  <c r="AI15" i="1"/>
  <c r="AI16" i="1"/>
  <c r="AI17" i="1"/>
  <c r="AI18" i="1"/>
  <c r="AI19" i="1"/>
  <c r="AI20" i="1"/>
  <c r="AI21" i="1"/>
  <c r="AI22" i="1"/>
  <c r="AI23" i="1"/>
  <c r="AI24" i="1"/>
  <c r="AI25" i="1"/>
  <c r="AI26" i="1"/>
  <c r="AI7" i="1"/>
  <c r="AH8" i="1"/>
  <c r="AH9" i="1"/>
  <c r="AH10" i="1"/>
  <c r="AH11" i="1"/>
  <c r="AH12" i="1"/>
  <c r="AH13" i="1"/>
  <c r="AH14" i="1"/>
  <c r="AH15" i="1"/>
  <c r="AH16" i="1"/>
  <c r="AH17" i="1"/>
  <c r="AH18" i="1"/>
  <c r="AH19" i="1"/>
  <c r="AH20" i="1"/>
  <c r="AH21" i="1"/>
  <c r="AH22" i="1"/>
  <c r="AH23" i="1"/>
  <c r="AH24" i="1"/>
  <c r="AH25" i="1"/>
  <c r="AH26" i="1"/>
  <c r="AH7" i="1"/>
  <c r="AG8" i="1"/>
  <c r="AG9" i="1"/>
  <c r="AG10" i="1"/>
  <c r="AG11" i="1"/>
  <c r="AG12" i="1"/>
  <c r="AG13" i="1"/>
  <c r="AG14" i="1"/>
  <c r="AG15" i="1"/>
  <c r="AG16" i="1"/>
  <c r="AG17" i="1"/>
  <c r="AG18" i="1"/>
  <c r="AG19" i="1"/>
  <c r="AG20" i="1"/>
  <c r="AG21" i="1"/>
  <c r="AG22" i="1"/>
  <c r="AG23" i="1"/>
  <c r="AG24" i="1"/>
  <c r="AG25" i="1"/>
  <c r="AG26" i="1"/>
  <c r="AG7" i="1"/>
  <c r="AF8" i="1"/>
  <c r="AF9" i="1"/>
  <c r="AF10" i="1"/>
  <c r="AF11" i="1"/>
  <c r="AF12" i="1"/>
  <c r="AF13" i="1"/>
  <c r="AF14" i="1"/>
  <c r="AF15" i="1"/>
  <c r="AF16" i="1"/>
  <c r="AF17" i="1"/>
  <c r="AF18" i="1"/>
  <c r="AF19" i="1"/>
  <c r="AF20" i="1"/>
  <c r="AF21" i="1"/>
  <c r="AF22" i="1"/>
  <c r="AF23" i="1"/>
  <c r="AF24" i="1"/>
  <c r="AF25" i="1"/>
  <c r="AF26" i="1"/>
  <c r="AF7" i="1"/>
  <c r="AE8" i="1"/>
  <c r="AE9" i="1"/>
  <c r="AE10" i="1"/>
  <c r="AE11" i="1"/>
  <c r="AE12" i="1"/>
  <c r="AE13" i="1"/>
  <c r="AE14" i="1"/>
  <c r="AE15" i="1"/>
  <c r="AE17" i="1"/>
  <c r="AE18" i="1"/>
  <c r="AE19" i="1"/>
  <c r="AE20" i="1"/>
  <c r="AE21" i="1"/>
  <c r="AE22" i="1"/>
  <c r="AE23" i="1"/>
  <c r="AE24" i="1"/>
  <c r="AE25" i="1"/>
  <c r="AE26" i="1"/>
  <c r="AD8" i="1"/>
  <c r="AD9" i="1"/>
  <c r="AD10" i="1"/>
  <c r="AD11" i="1"/>
  <c r="AD12" i="1"/>
  <c r="AD13" i="1"/>
  <c r="AD14" i="1"/>
  <c r="AD15" i="1"/>
  <c r="AD16" i="1"/>
  <c r="AD17" i="1"/>
  <c r="AD18" i="1"/>
  <c r="AD19" i="1"/>
  <c r="AD20" i="1"/>
  <c r="AD21" i="1"/>
  <c r="AD22" i="1"/>
  <c r="AD23" i="1"/>
  <c r="AD24" i="1"/>
  <c r="AD25" i="1"/>
  <c r="AD26" i="1"/>
  <c r="AD7" i="1"/>
  <c r="AC8" i="1"/>
  <c r="AC9" i="1"/>
  <c r="AC10" i="1"/>
  <c r="AC11" i="1"/>
  <c r="AC12" i="1"/>
  <c r="AC13" i="1"/>
  <c r="AC14" i="1"/>
  <c r="AC15" i="1"/>
  <c r="AC16" i="1"/>
  <c r="AC17" i="1"/>
  <c r="AC18" i="1"/>
  <c r="AC19" i="1"/>
  <c r="AC20" i="1"/>
  <c r="AC21" i="1"/>
  <c r="AC22" i="1"/>
  <c r="AC23" i="1"/>
  <c r="AC24" i="1"/>
  <c r="AC25" i="1"/>
  <c r="AC26" i="1"/>
  <c r="AC7" i="1"/>
  <c r="AA8" i="1"/>
  <c r="AA9" i="1"/>
  <c r="AA10" i="1"/>
  <c r="AA11" i="1"/>
  <c r="AA12" i="1"/>
  <c r="AA13" i="1"/>
  <c r="AA14" i="1"/>
  <c r="AA15" i="1"/>
  <c r="AA16" i="1"/>
  <c r="AA17" i="1"/>
  <c r="AA18" i="1"/>
  <c r="AA19" i="1"/>
  <c r="AA20" i="1"/>
  <c r="AA21" i="1"/>
  <c r="AA22" i="1"/>
  <c r="AA23" i="1"/>
  <c r="AA24" i="1"/>
  <c r="AA25" i="1"/>
  <c r="AA26" i="1"/>
  <c r="AB8" i="1"/>
  <c r="AB9" i="1"/>
  <c r="AB10" i="1"/>
  <c r="AB11" i="1"/>
  <c r="AB12" i="1"/>
  <c r="AB13" i="1"/>
  <c r="AB14" i="1"/>
  <c r="AB15" i="1"/>
  <c r="AB16" i="1"/>
  <c r="AB17" i="1"/>
  <c r="AB18" i="1"/>
  <c r="AB19" i="1"/>
  <c r="AB20" i="1"/>
  <c r="AB21" i="1"/>
  <c r="AB22" i="1"/>
  <c r="AB23" i="1"/>
  <c r="AB24" i="1"/>
  <c r="AB25" i="1"/>
  <c r="AB26" i="1"/>
  <c r="AB7" i="1"/>
  <c r="C27" i="1"/>
  <c r="C80" i="1" s="1"/>
  <c r="AN79" i="1"/>
  <c r="BH17" i="1" s="1"/>
  <c r="AM79" i="1"/>
  <c r="BG17" i="1" s="1"/>
  <c r="AL79" i="1"/>
  <c r="BF17" i="1" s="1"/>
  <c r="AK79" i="1"/>
  <c r="BE17" i="1" s="1"/>
  <c r="AJ79" i="1"/>
  <c r="BD17" i="1" s="1"/>
  <c r="AI79" i="1"/>
  <c r="BC17" i="1" s="1"/>
  <c r="AH79" i="1"/>
  <c r="BB17" i="1" s="1"/>
  <c r="AG79" i="1"/>
  <c r="BA17" i="1" s="1"/>
  <c r="AF79" i="1"/>
  <c r="AZ17" i="1" s="1"/>
  <c r="AE79" i="1"/>
  <c r="AY17" i="1" s="1"/>
  <c r="AD79" i="1"/>
  <c r="AX17" i="1" s="1"/>
  <c r="AC79" i="1"/>
  <c r="AW17" i="1" s="1"/>
  <c r="AB79" i="1"/>
  <c r="AV17" i="1" s="1"/>
  <c r="AA79" i="1"/>
  <c r="AU17" i="1" s="1"/>
  <c r="AN75" i="1"/>
  <c r="BH16" i="1" s="1"/>
  <c r="AM75" i="1"/>
  <c r="BG16" i="1" s="1"/>
  <c r="AL75" i="1"/>
  <c r="BF16" i="1" s="1"/>
  <c r="AK75" i="1"/>
  <c r="BE16" i="1" s="1"/>
  <c r="AJ75" i="1"/>
  <c r="BD16" i="1" s="1"/>
  <c r="AI75" i="1"/>
  <c r="BC16" i="1" s="1"/>
  <c r="AH75" i="1"/>
  <c r="BB16" i="1" s="1"/>
  <c r="AG75" i="1"/>
  <c r="BA16" i="1" s="1"/>
  <c r="AF75" i="1"/>
  <c r="AZ16" i="1" s="1"/>
  <c r="AE75" i="1"/>
  <c r="AY16" i="1" s="1"/>
  <c r="AD75" i="1"/>
  <c r="AX16" i="1" s="1"/>
  <c r="AC75" i="1"/>
  <c r="AW16" i="1" s="1"/>
  <c r="AB75" i="1"/>
  <c r="AV16" i="1" s="1"/>
  <c r="AA75" i="1"/>
  <c r="AU16" i="1" s="1"/>
  <c r="AF71" i="1"/>
  <c r="AZ15" i="1" s="1"/>
  <c r="AN71" i="1"/>
  <c r="BH15" i="1" s="1"/>
  <c r="AM71" i="1"/>
  <c r="BG15" i="1" s="1"/>
  <c r="AL71" i="1"/>
  <c r="BF15" i="1" s="1"/>
  <c r="AK71" i="1"/>
  <c r="BE15" i="1" s="1"/>
  <c r="AJ71" i="1"/>
  <c r="BD15" i="1" s="1"/>
  <c r="AI71" i="1"/>
  <c r="BC15" i="1" s="1"/>
  <c r="AH71" i="1"/>
  <c r="BB15" i="1" s="1"/>
  <c r="AG71" i="1"/>
  <c r="BA15" i="1" s="1"/>
  <c r="AE71" i="1"/>
  <c r="AY15" i="1" s="1"/>
  <c r="AD71" i="1"/>
  <c r="AX15" i="1" s="1"/>
  <c r="AC71" i="1"/>
  <c r="AW15" i="1" s="1"/>
  <c r="AB71" i="1"/>
  <c r="AV15" i="1" s="1"/>
  <c r="AA71" i="1"/>
  <c r="AU15" i="1" s="1"/>
  <c r="F66" i="1"/>
  <c r="AN67" i="1"/>
  <c r="BH14" i="1" s="1"/>
  <c r="AK67" i="1"/>
  <c r="BE14" i="1" s="1"/>
  <c r="AJ67" i="1"/>
  <c r="BD14" i="1" s="1"/>
  <c r="AI67" i="1"/>
  <c r="BC14" i="1" s="1"/>
  <c r="AH67" i="1"/>
  <c r="BB14" i="1" s="1"/>
  <c r="AG67" i="1"/>
  <c r="BA14" i="1" s="1"/>
  <c r="AF67" i="1"/>
  <c r="AZ14" i="1" s="1"/>
  <c r="AE67" i="1"/>
  <c r="AY14" i="1" s="1"/>
  <c r="AD67" i="1"/>
  <c r="AX14" i="1" s="1"/>
  <c r="AC67" i="1"/>
  <c r="AW14" i="1" s="1"/>
  <c r="AB67" i="1"/>
  <c r="AV14" i="1" s="1"/>
  <c r="AA67" i="1"/>
  <c r="AU14" i="1" s="1"/>
  <c r="F58" i="1"/>
  <c r="AN59" i="1"/>
  <c r="BH13" i="1" s="1"/>
  <c r="AF59" i="1"/>
  <c r="AZ13" i="1" s="1"/>
  <c r="AK59" i="1"/>
  <c r="BE13" i="1" s="1"/>
  <c r="AJ59" i="1"/>
  <c r="BD13" i="1" s="1"/>
  <c r="AI59" i="1"/>
  <c r="BC13" i="1" s="1"/>
  <c r="AH59" i="1"/>
  <c r="BB13" i="1" s="1"/>
  <c r="AG59" i="1"/>
  <c r="BA13" i="1" s="1"/>
  <c r="AE59" i="1"/>
  <c r="AY13" i="1" s="1"/>
  <c r="AD59" i="1"/>
  <c r="AX13" i="1" s="1"/>
  <c r="AC59" i="1"/>
  <c r="AW13" i="1" s="1"/>
  <c r="AB59" i="1"/>
  <c r="AV13" i="1" s="1"/>
  <c r="AA59" i="1"/>
  <c r="AU13" i="1" s="1"/>
  <c r="AG49" i="1"/>
  <c r="BA12" i="1" s="1"/>
  <c r="F48" i="1"/>
  <c r="AN49" i="1"/>
  <c r="BH12" i="1" s="1"/>
  <c r="AM49" i="1"/>
  <c r="BG12" i="1" s="1"/>
  <c r="AK49" i="1"/>
  <c r="BE12" i="1" s="1"/>
  <c r="AJ49" i="1"/>
  <c r="BD12" i="1" s="1"/>
  <c r="AI49" i="1"/>
  <c r="BC12" i="1" s="1"/>
  <c r="AH49" i="1"/>
  <c r="BB12" i="1" s="1"/>
  <c r="AF49" i="1"/>
  <c r="AZ12" i="1" s="1"/>
  <c r="AE49" i="1"/>
  <c r="AY12" i="1" s="1"/>
  <c r="AD49" i="1"/>
  <c r="AX12" i="1" s="1"/>
  <c r="AC49" i="1"/>
  <c r="AW12" i="1" s="1"/>
  <c r="AB49" i="1"/>
  <c r="AV12" i="1" s="1"/>
  <c r="AA49" i="1"/>
  <c r="AU12" i="1" s="1"/>
  <c r="G42" i="1"/>
  <c r="F35" i="1"/>
  <c r="AN36" i="1"/>
  <c r="BH10" i="1" s="1"/>
  <c r="AL36" i="1"/>
  <c r="BF10" i="1" s="1"/>
  <c r="AK36" i="1"/>
  <c r="BE10" i="1" s="1"/>
  <c r="AJ36" i="1"/>
  <c r="BD10" i="1" s="1"/>
  <c r="AI36" i="1"/>
  <c r="BC10" i="1" s="1"/>
  <c r="AH36" i="1"/>
  <c r="BB10" i="1" s="1"/>
  <c r="AG36" i="1"/>
  <c r="BA10" i="1" s="1"/>
  <c r="AF36" i="1"/>
  <c r="AZ10" i="1" s="1"/>
  <c r="AE36" i="1"/>
  <c r="AY10" i="1" s="1"/>
  <c r="AD36" i="1"/>
  <c r="AX10" i="1" s="1"/>
  <c r="AC36" i="1"/>
  <c r="AW10" i="1" s="1"/>
  <c r="AB36" i="1"/>
  <c r="AV10" i="1" s="1"/>
  <c r="AA36" i="1"/>
  <c r="AU10" i="1" s="1"/>
  <c r="C52" i="1" l="1"/>
  <c r="C53" i="1"/>
  <c r="C54" i="1"/>
  <c r="C55" i="1"/>
  <c r="C56" i="1"/>
  <c r="C57" i="1"/>
  <c r="C51" i="1"/>
  <c r="AL67" i="1"/>
  <c r="BF14" i="1" s="1"/>
  <c r="AM59" i="1"/>
  <c r="BG13" i="1" s="1"/>
  <c r="AL49" i="1"/>
  <c r="BF12" i="1" s="1"/>
  <c r="BF19" i="1" s="1"/>
  <c r="AM36" i="1"/>
  <c r="BG10" i="1" s="1"/>
  <c r="AN43" i="1"/>
  <c r="BH11" i="1" s="1"/>
  <c r="AM67" i="1"/>
  <c r="BG14" i="1" s="1"/>
  <c r="AG43" i="1"/>
  <c r="BA11" i="1" s="1"/>
  <c r="AF43" i="1"/>
  <c r="AZ11" i="1" s="1"/>
  <c r="AL59" i="1"/>
  <c r="BF13" i="1" s="1"/>
  <c r="AE28" i="1"/>
  <c r="AY9" i="1" s="1"/>
  <c r="AM28" i="1"/>
  <c r="BG9" i="1" s="1"/>
  <c r="BG19" i="1" s="1"/>
  <c r="AH43" i="1"/>
  <c r="BB11" i="1" s="1"/>
  <c r="AA43" i="1"/>
  <c r="AU11" i="1" s="1"/>
  <c r="AI43" i="1"/>
  <c r="BC11" i="1" s="1"/>
  <c r="AB43" i="1"/>
  <c r="AV11" i="1" s="1"/>
  <c r="AJ43" i="1"/>
  <c r="BD11" i="1" s="1"/>
  <c r="AD43" i="1"/>
  <c r="AX11" i="1" s="1"/>
  <c r="AL43" i="1"/>
  <c r="BF11" i="1" s="1"/>
  <c r="AC43" i="1"/>
  <c r="AW11" i="1" s="1"/>
  <c r="AK43" i="1"/>
  <c r="BE11" i="1" s="1"/>
  <c r="AE43" i="1"/>
  <c r="AY11" i="1" s="1"/>
  <c r="AM43" i="1"/>
  <c r="BG11" i="1" s="1"/>
  <c r="AF28" i="1"/>
  <c r="AZ9" i="1" s="1"/>
  <c r="AZ19" i="1" s="1"/>
  <c r="AN28" i="1"/>
  <c r="BH9" i="1" s="1"/>
  <c r="AB28" i="1"/>
  <c r="AV9" i="1" s="1"/>
  <c r="AV19" i="1" s="1"/>
  <c r="AJ28" i="1"/>
  <c r="BD9" i="1" s="1"/>
  <c r="BD19" i="1" s="1"/>
  <c r="AG28" i="1"/>
  <c r="BA9" i="1" s="1"/>
  <c r="BA19" i="1" s="1"/>
  <c r="AH28" i="1"/>
  <c r="BB9" i="1" s="1"/>
  <c r="BB19" i="1" s="1"/>
  <c r="AA28" i="1"/>
  <c r="AU9" i="1" s="1"/>
  <c r="AU19" i="1" s="1"/>
  <c r="AI28" i="1"/>
  <c r="BC9" i="1" s="1"/>
  <c r="BC19" i="1" s="1"/>
  <c r="AC28" i="1"/>
  <c r="AW9" i="1" s="1"/>
  <c r="AK28" i="1"/>
  <c r="BE9" i="1" s="1"/>
  <c r="BE19" i="1" s="1"/>
  <c r="AD28" i="1"/>
  <c r="AX9" i="1" s="1"/>
  <c r="AX19" i="1" s="1"/>
  <c r="AL28" i="1"/>
  <c r="BF9" i="1" s="1"/>
  <c r="BM19" i="1" l="1"/>
  <c r="AY19" i="1"/>
  <c r="BH19" i="1"/>
  <c r="AW19" i="1"/>
  <c r="E20" i="3"/>
  <c r="BN19" i="1" l="1"/>
  <c r="BH20" i="1" s="1"/>
  <c r="BM20" i="1"/>
  <c r="E21" i="3"/>
  <c r="E28" i="3" s="1"/>
  <c r="BN20" i="1" l="1"/>
  <c r="BJ20" i="1"/>
  <c r="BI20" i="1"/>
  <c r="AX20" i="1"/>
  <c r="AV20" i="1"/>
  <c r="AZ20" i="1"/>
  <c r="BF20" i="1"/>
  <c r="BC20" i="1"/>
  <c r="BE20" i="1"/>
  <c r="AU20" i="1"/>
  <c r="BB20" i="1"/>
  <c r="BA20" i="1"/>
  <c r="BG20" i="1"/>
  <c r="BD20" i="1"/>
  <c r="AY20" i="1"/>
  <c r="AW20" i="1"/>
  <c r="D37" i="3"/>
  <c r="L36" i="3"/>
  <c r="G36" i="3"/>
  <c r="J36" i="3"/>
  <c r="H36" i="3"/>
  <c r="K36" i="3"/>
  <c r="N36" i="3"/>
  <c r="M36" i="3"/>
  <c r="I36" i="3"/>
  <c r="Q36" i="3" l="1"/>
  <c r="P36" i="3"/>
  <c r="R3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tc={F897A07F-CBA3-4763-B009-E44C10B8C8CB}</author>
    <author>Ross P. Carlson</author>
    <author>tc={66C7BA17-B999-4F09-B4BB-BD2CF26A6A9B}</author>
    <author>tc={9E045A0F-C66D-499D-AFDB-30C4CC1290CB}</author>
    <author>tc={934E7923-2B6A-4E2A-B097-16580AA9A888}</author>
    <author>tc={67B42825-1FB0-4C60-B018-E9801FB409B6}</author>
    <author>tc={A7937295-AFF4-42AF-B00D-63B229DC976C}</author>
    <author>tc={4C7CE872-7E0A-4AC6-857C-BE62B8CFCD78}</author>
    <author>tc={B8E504DB-A304-453F-8682-117A518BC322}</author>
    <author>tc={C56DFFAB-1866-47B8-BA92-72EE98B7A8CD}</author>
    <author>tc={C6027214-A0EE-4E2C-8690-634E971DA556}</author>
    <author>tc={36C77BE9-A731-44BC-8A3D-FEE7E1940754}</author>
    <author>tc={A7D7BABE-EA24-44C2-A53C-181AFDF4C70F}</author>
    <author>tc={95D62E62-7D24-409A-A3BE-8D0F19CC44FE}</author>
    <author>tc={3F659907-2122-4184-B236-64A68D5157DD}</author>
    <author>tc={E842E136-17D1-47F6-BD44-0EFAC0EA2F18}</author>
    <author>tc={8605E2EF-D128-42FE-8AF9-AF74ABB0F644}</author>
  </authors>
  <commentList>
    <comment ref="D6" authorId="0" shapeId="0" xr:uid="{F897A07F-CBA3-4763-B009-E44C10B8C8CB}">
      <text>
        <t>[Threaded comment]
Your version of Excel allows you to read this threaded comment; however, any edits to it will get removed if the file is opened in a newer version of Excel. Learn more: https://go.microsoft.com/fwlink/?linkid=870924
Comment:
    assumes 1 mol biomass = 24 g</t>
      </text>
    </comment>
    <comment ref="T6" authorId="1" shapeId="0" xr:uid="{D3016AFD-7357-446A-881B-D1374E3E2840}">
      <text>
        <r>
          <rPr>
            <b/>
            <sz val="8"/>
            <color indexed="81"/>
            <rFont val="Tahoma"/>
            <family val="2"/>
          </rPr>
          <t>Ross P. Carlson:</t>
        </r>
        <r>
          <rPr>
            <sz val="8"/>
            <color indexed="81"/>
            <rFont val="Tahoma"/>
            <family val="2"/>
          </rPr>
          <t xml:space="preserve">
nitrogen incorporated into biomass via glutamate</t>
        </r>
      </text>
    </comment>
    <comment ref="V6" authorId="1" shapeId="0" xr:uid="{C83C6BF5-CB3A-4A67-B749-B1258753A6C4}">
      <text>
        <r>
          <rPr>
            <b/>
            <sz val="8"/>
            <color indexed="81"/>
            <rFont val="Tahoma"/>
            <family val="2"/>
          </rPr>
          <t>Ross P. Carlson:</t>
        </r>
        <r>
          <rPr>
            <sz val="8"/>
            <color indexed="81"/>
            <rFont val="Tahoma"/>
            <family val="2"/>
          </rPr>
          <t xml:space="preserve">
nitrogen incorporated into biomass via glutamine</t>
        </r>
      </text>
    </comment>
    <comment ref="BM6" authorId="2" shapeId="0" xr:uid="{66C7BA17-B999-4F09-B4BB-BD2CF26A6A9B}">
      <text>
        <t>[Threaded comment]
Your version of Excel allows you to read this threaded comment; however, any edits to it will get removed if the file is opened in a newer version of Excel. Learn more: https://go.microsoft.com/fwlink/?linkid=870924
Comment:
    umol/g</t>
      </text>
    </comment>
    <comment ref="F7" authorId="1" shapeId="0" xr:uid="{F81BB57D-22C0-4675-9AF6-E9E6CE89C0AC}">
      <text>
        <r>
          <rPr>
            <b/>
            <sz val="8"/>
            <color indexed="81"/>
            <rFont val="Tahoma"/>
            <family val="2"/>
          </rPr>
          <t>Ross P. Carlson:</t>
        </r>
        <r>
          <rPr>
            <sz val="8"/>
            <color indexed="81"/>
            <rFont val="Tahoma"/>
            <family val="2"/>
          </rPr>
          <t xml:space="preserve">
this column gives the ratio of the different amino acids found in the proteins of E. coli grown with a doubling time of 40 minutes</t>
        </r>
      </text>
    </comment>
    <comment ref="D31" authorId="3" shapeId="0" xr:uid="{9E045A0F-C66D-499D-AFDB-30C4CC1290CB}">
      <text>
        <t>[Threaded comment]
Your version of Excel allows you to read this threaded comment; however, any edits to it will get removed if the file is opened in a newer version of Excel. Learn more: https://go.microsoft.com/fwlink/?linkid=870924
Comment:
    ((20 grams RNA)/ (100 g biomass)) * (24 g biomass / 1 mol biomass) * (1 mol RNA / 495 grams RNA) * (.24 mol ATP / mol RNA)</t>
      </text>
    </comment>
    <comment ref="G31" authorId="4" shapeId="0" xr:uid="{934E7923-2B6A-4E2A-B097-16580AA9A888}">
      <text>
        <t>[Threaded comment]
Your version of Excel allows you to read this threaded comment; however, any edits to it will get removed if the file is opened in a newer version of Excel. Learn more: https://go.microsoft.com/fwlink/?linkid=870924
Comment:
    from counter of 16S rDNA</t>
      </text>
    </comment>
    <comment ref="C35" authorId="5" shapeId="0" xr:uid="{67B42825-1FB0-4C60-B018-E9801FB409B6}">
      <text>
        <t>[Threaded comment]
Your version of Excel allows you to read this threaded comment; however, any edits to it will get removed if the file is opened in a newer version of Excel. Learn more: https://go.microsoft.com/fwlink/?linkid=870924
Comment:
    DNA and RNA estimated at 23%. Use the ratio of DNA to RNA from E coli w 40 min doubling time from Neidhardt to estimate the ratio in OB3b
Reply:
    percent sum value of RNA</t>
      </text>
    </comment>
    <comment ref="C42" authorId="6" shapeId="0" xr:uid="{A7937295-AFF4-42AF-B00D-63B229DC976C}">
      <text>
        <t>[Threaded comment]
Your version of Excel allows you to read this threaded comment; however, any edits to it will get removed if the file is opened in a newer version of Excel. Learn more: https://go.microsoft.com/fwlink/?linkid=870924
Comment:
    DNA and RNA estimated at 23%. Use the ratio of DNA to RNA from E coli w 40 min doubling time from Neidhardt to estimate the ratio in OB3b
Reply:
    percent sum value of DNA</t>
      </text>
    </comment>
    <comment ref="D45" authorId="7" shapeId="0" xr:uid="{4C7CE872-7E0A-4AC6-857C-BE62B8CFCD78}">
      <text>
        <t>[Threaded comment]
Your version of Excel allows you to read this threaded comment; however, any edits to it will get removed if the file is opened in a newer version of Excel. Learn more: https://go.microsoft.com/fwlink/?linkid=870924
Comment:
    (fraction of lipid that is glycerol phosphate in E coli)*(fraction of biomass that is lipid in OB3b)*(24 g biomass / 1 mol biomass)*(1 mol glycerol P / 170 g glycerol P)
((2.19 g glycerol P/10.2 total lipid fraction)*(9.2 grams lipid / g OB3b biomass)*(24 g biomass / 1 mol biomass)*(1 mol glycerol P / 170.06 g glycerol P))</t>
      </text>
    </comment>
    <comment ref="C48" authorId="8" shapeId="0" xr:uid="{B8E504DB-A304-453F-8682-117A518BC322}">
      <text>
        <t>[Threaded comment]
Your version of Excel allows you to read this threaded comment; however, any edits to it will get removed if the file is opened in a newer version of Excel. Learn more: https://go.microsoft.com/fwlink/?linkid=870924
Comment:
    estimated in Yang et al</t>
      </text>
    </comment>
    <comment ref="B50" authorId="9" shapeId="0" xr:uid="{C56DFFAB-1866-47B8-BA92-72EE98B7A8CD}">
      <text>
        <t>[Threaded comment]
Your version of Excel allows you to read this threaded comment; however, any edits to it will get removed if the file is opened in a newer version of Excel. Learn more: https://go.microsoft.com/fwlink/?linkid=870924
Comment:
    assume same ratios as in E coli; overall mass percent w/w from Yang et al 2013</t>
      </text>
    </comment>
    <comment ref="D51" authorId="10" shapeId="0" xr:uid="{C6027214-A0EE-4E2C-8690-634E971DA556}">
      <text>
        <t>[Threaded comment]
Your version of Excel allows you to read this threaded comment; however, any edits to it will get removed if the file is opened in a newer version of Excel. Learn more: https://go.microsoft.com/fwlink/?linkid=870924
Comment:
    (fraction of LPS that is UDP-glucose in E coli)*(fraction of biomass in OB3b that is LPS)*(24 g biomass / mol biomass)*(1 mol UDP glucose / 564 g UDP glucose)</t>
      </text>
    </comment>
    <comment ref="C58" authorId="11" shapeId="0" xr:uid="{36C77BE9-A731-44BC-8A3D-FEE7E1940754}">
      <text>
        <t>[Threaded comment]
Your version of Excel allows you to read this threaded comment; however, any edits to it will get removed if the file is opened in a newer version of Excel. Learn more: https://go.microsoft.com/fwlink/?linkid=870924
Comment:
    LPS + PG is estimated at 7% in Yang et al 2013. As above, use the ratio of the two from Neidhardt to calculate the relative proportions of each</t>
      </text>
    </comment>
    <comment ref="D61" authorId="12" shapeId="0" xr:uid="{A7D7BABE-EA24-44C2-A53C-181AFDF4C70F}">
      <text>
        <t>[Threaded comment]
Your version of Excel allows you to read this threaded comment; however, any edits to it will get removed if the file is opened in a newer version of Excel. Learn more: https://go.microsoft.com/fwlink/?linkid=870924
Comment:
    (fraction of peptidoglycan that is glucosamine in E coli)*(fraction of biomass in OB3b that is peptidoglycan)*(24 g biomass / mol biomass)*(1 mol glucosamine / 605.34 g glucosamine)</t>
      </text>
    </comment>
    <comment ref="C66" authorId="13" shapeId="0" xr:uid="{95D62E62-7D24-409A-A3BE-8D0F19CC44FE}">
      <text>
        <t>[Threaded comment]
Your version of Excel allows you to read this threaded comment; however, any edits to it will get removed if the file is opened in a newer version of Excel. Learn more: https://go.microsoft.com/fwlink/?linkid=870924
Comment:
    LPS + PG is estimated at 7% in Yang et al 2013. As above, use the ratio of the two from Neidhardt to calculate the relative proportions of each</t>
      </text>
    </comment>
    <comment ref="C70" authorId="14" shapeId="0" xr:uid="{3F659907-2122-4184-B236-64A68D5157DD}">
      <text>
        <t>[Threaded comment]
Your version of Excel allows you to read this threaded comment; however, any edits to it will get removed if the file is opened in a newer version of Excel. Learn more: https://go.microsoft.com/fwlink/?linkid=870924
Comment:
    estimated, citation in Yang et al 2013</t>
      </text>
    </comment>
    <comment ref="C74" authorId="15" shapeId="0" xr:uid="{E842E136-17D1-47F6-BD44-0EFAC0EA2F18}">
      <text>
        <t>[Threaded comment]
Your version of Excel allows you to read this threaded comment; however, any edits to it will get removed if the file is opened in a newer version of Excel. Learn more: https://go.microsoft.com/fwlink/?linkid=870924
Comment:
    not determined by Yang et al. Assume .7% based on Neidhardt</t>
      </text>
    </comment>
    <comment ref="C78" authorId="16" shapeId="0" xr:uid="{8605E2EF-D128-42FE-8AF9-AF74ABB0F644}">
      <text>
        <t>[Threaded comment]
Your version of Excel allows you to read this threaded comment; however, any edits to it will get removed if the file is opened in a newer version of Excel. Learn more: https://go.microsoft.com/fwlink/?linkid=870924
Comment:
    not determined by Yang et al. Assume .4% based on Neidhardt</t>
      </text>
    </comment>
  </commentList>
</comments>
</file>

<file path=xl/sharedStrings.xml><?xml version="1.0" encoding="utf-8"?>
<sst xmlns="http://schemas.openxmlformats.org/spreadsheetml/2006/main" count="6959" uniqueCount="1679">
  <si>
    <t>DNA</t>
  </si>
  <si>
    <t>RNA</t>
  </si>
  <si>
    <t>glc-6-p</t>
  </si>
  <si>
    <t>rib-5-p</t>
  </si>
  <si>
    <t>ery-4-p</t>
  </si>
  <si>
    <t>pep</t>
  </si>
  <si>
    <t>pyr</t>
  </si>
  <si>
    <t>ace-coa</t>
  </si>
  <si>
    <t>akg</t>
  </si>
  <si>
    <t>oxalo</t>
  </si>
  <si>
    <t>nadh</t>
  </si>
  <si>
    <t>nadph</t>
  </si>
  <si>
    <t>CO2</t>
  </si>
  <si>
    <t>Biomass term calculation sheet:</t>
  </si>
  <si>
    <t>weighted cost</t>
  </si>
  <si>
    <t>protein</t>
  </si>
  <si>
    <t>atp</t>
  </si>
  <si>
    <t>NH4</t>
  </si>
  <si>
    <t>co2</t>
  </si>
  <si>
    <t>polymerization ATP</t>
  </si>
  <si>
    <t>*accounts for ATP required to polymerize proteins, RNA, DNA, etc.</t>
  </si>
  <si>
    <t>alanine</t>
  </si>
  <si>
    <t>arginine</t>
  </si>
  <si>
    <t>asparagine</t>
  </si>
  <si>
    <t>sumProt:</t>
  </si>
  <si>
    <t>aspartate</t>
  </si>
  <si>
    <t>sumRNA:</t>
  </si>
  <si>
    <t>cysteine</t>
  </si>
  <si>
    <t>sumDNA:</t>
  </si>
  <si>
    <t>glutamate</t>
  </si>
  <si>
    <t>sumLipd:</t>
  </si>
  <si>
    <t>glutamine</t>
  </si>
  <si>
    <t>sumLPS:</t>
  </si>
  <si>
    <t>glycine</t>
  </si>
  <si>
    <t>sumPpGl:</t>
  </si>
  <si>
    <t>histidine</t>
  </si>
  <si>
    <t>sumPSch</t>
  </si>
  <si>
    <t>isoleucine</t>
  </si>
  <si>
    <t>sumCU</t>
  </si>
  <si>
    <t>leucine</t>
  </si>
  <si>
    <t>sumPA:</t>
  </si>
  <si>
    <t>lysine</t>
  </si>
  <si>
    <t>methionine</t>
  </si>
  <si>
    <t>Sum</t>
  </si>
  <si>
    <t>phenylalanine</t>
  </si>
  <si>
    <t>proline</t>
  </si>
  <si>
    <t>serine</t>
  </si>
  <si>
    <t>threonine</t>
  </si>
  <si>
    <t>tryptophan</t>
  </si>
  <si>
    <t>tyrosine</t>
  </si>
  <si>
    <t>valine</t>
  </si>
  <si>
    <t>sum</t>
  </si>
  <si>
    <t>ATP</t>
  </si>
  <si>
    <t>GTP</t>
  </si>
  <si>
    <t>CTP</t>
  </si>
  <si>
    <t>UTP</t>
  </si>
  <si>
    <t>dATP</t>
  </si>
  <si>
    <t>dGTP</t>
  </si>
  <si>
    <t>dCTP</t>
  </si>
  <si>
    <t>dTTP</t>
  </si>
  <si>
    <t>Lipid</t>
  </si>
  <si>
    <t>Glycerol phosphate</t>
  </si>
  <si>
    <t>Serine</t>
  </si>
  <si>
    <t>Average FA</t>
  </si>
  <si>
    <t>LPS Components</t>
  </si>
  <si>
    <t>CMP</t>
  </si>
  <si>
    <t>Pedtidoglycan monomers</t>
  </si>
  <si>
    <t>diaminopimelate</t>
  </si>
  <si>
    <t>1-Carbon</t>
  </si>
  <si>
    <t>polyamines</t>
  </si>
  <si>
    <t>molecular weight (g/mol)</t>
  </si>
  <si>
    <t>percent sum</t>
  </si>
  <si>
    <t>N_GT</t>
  </si>
  <si>
    <t>N_GN</t>
  </si>
  <si>
    <t>percent cdw</t>
  </si>
  <si>
    <t>UDP-glucose</t>
  </si>
  <si>
    <t>CDP-ethanolamine</t>
  </si>
  <si>
    <t>OH-myristic acid</t>
  </si>
  <si>
    <t>fatty acid (C14:0) (tetradecanoic acid)</t>
  </si>
  <si>
    <t>NDP heptose (ADP-L-glycero-β-D-manno-heptose)</t>
  </si>
  <si>
    <t>(TDP) glucosamine (dTDP-N-acetyl-α-D-glucosamine)</t>
  </si>
  <si>
    <r>
      <t>UDP-</t>
    </r>
    <r>
      <rPr>
        <i/>
        <sz val="11"/>
        <color rgb="FF333333"/>
        <rFont val="Calibri"/>
        <family val="2"/>
        <scheme val="minor"/>
      </rPr>
      <t>N</t>
    </r>
    <r>
      <rPr>
        <sz val="11"/>
        <color rgb="FF333333"/>
        <rFont val="Calibri"/>
        <family val="2"/>
        <scheme val="minor"/>
      </rPr>
      <t>-acetyl-α-D-glucosamine</t>
    </r>
  </si>
  <si>
    <r>
      <t>UDP-</t>
    </r>
    <r>
      <rPr>
        <i/>
        <sz val="11"/>
        <color rgb="FF333333"/>
        <rFont val="Calibri"/>
        <family val="2"/>
        <scheme val="minor"/>
      </rPr>
      <t>N</t>
    </r>
    <r>
      <rPr>
        <sz val="11"/>
        <color rgb="FF333333"/>
        <rFont val="Calibri"/>
        <family val="2"/>
        <scheme val="minor"/>
      </rPr>
      <t>-acetyl-α-D-muramate</t>
    </r>
  </si>
  <si>
    <t>PHB</t>
  </si>
  <si>
    <t>polyhydroxybutyrate_produced_ext</t>
  </si>
  <si>
    <t>L-ornithine</t>
  </si>
  <si>
    <t>protein estimated at 55.1.%</t>
  </si>
  <si>
    <t>total cell dry weight accounted for in the biomass term</t>
  </si>
  <si>
    <t>% cdw (w/w) (values from Yang et al 2013)</t>
  </si>
  <si>
    <t>umol / g (from Neidhardt pg 136)</t>
  </si>
  <si>
    <t>final mol compound/ mol biomass</t>
  </si>
  <si>
    <t>calculated % cdw g/g from Neidhardt</t>
  </si>
  <si>
    <t>average molecular weight</t>
  </si>
  <si>
    <t>DNA and RNA (molar fractions) from GC content and from  16S rRNA</t>
  </si>
  <si>
    <t>polyhydroxybutyrate</t>
  </si>
  <si>
    <t>polymerization ATP mol/mol</t>
  </si>
  <si>
    <t>N_GLN</t>
  </si>
  <si>
    <t>N_GLU</t>
  </si>
  <si>
    <t>chemical formula</t>
  </si>
  <si>
    <t>charge</t>
  </si>
  <si>
    <t>C</t>
  </si>
  <si>
    <t>H</t>
  </si>
  <si>
    <t>N</t>
  </si>
  <si>
    <t>O</t>
  </si>
  <si>
    <t>P</t>
  </si>
  <si>
    <t>S</t>
  </si>
  <si>
    <t>E</t>
  </si>
  <si>
    <t xml:space="preserve">NO3- degree of reduction </t>
  </si>
  <si>
    <t xml:space="preserve">N2 degree of reduction </t>
  </si>
  <si>
    <t>mol compound in biomass term</t>
  </si>
  <si>
    <t>Compound name biomass sheet</t>
  </si>
  <si>
    <t>compound name in model</t>
  </si>
  <si>
    <t>all values are in mol/mol and are scaled to 100 mol ATP / mol biomass</t>
  </si>
  <si>
    <t>C4H7O7P</t>
  </si>
  <si>
    <t>NH4+</t>
  </si>
  <si>
    <r>
      <t>C</t>
    </r>
    <r>
      <rPr>
        <vertAlign val="subscript"/>
        <sz val="12"/>
        <rFont val="Calibri"/>
        <family val="2"/>
        <scheme val="minor"/>
      </rPr>
      <t>6</t>
    </r>
    <r>
      <rPr>
        <sz val="12"/>
        <rFont val="Calibri"/>
        <family val="2"/>
        <scheme val="minor"/>
      </rPr>
      <t>H</t>
    </r>
    <r>
      <rPr>
        <vertAlign val="subscript"/>
        <sz val="12"/>
        <rFont val="Calibri"/>
        <family val="2"/>
        <scheme val="minor"/>
      </rPr>
      <t>11</t>
    </r>
    <r>
      <rPr>
        <sz val="12"/>
        <rFont val="Calibri"/>
        <family val="2"/>
        <scheme val="minor"/>
      </rPr>
      <t>O</t>
    </r>
    <r>
      <rPr>
        <vertAlign val="subscript"/>
        <sz val="12"/>
        <rFont val="Calibri"/>
        <family val="2"/>
        <scheme val="minor"/>
      </rPr>
      <t>9</t>
    </r>
    <r>
      <rPr>
        <sz val="12"/>
        <rFont val="Calibri"/>
        <family val="2"/>
        <scheme val="minor"/>
      </rPr>
      <t>P</t>
    </r>
  </si>
  <si>
    <r>
      <t>C</t>
    </r>
    <r>
      <rPr>
        <vertAlign val="subscript"/>
        <sz val="12"/>
        <rFont val="Calibri"/>
        <family val="2"/>
        <scheme val="minor"/>
      </rPr>
      <t>5</t>
    </r>
    <r>
      <rPr>
        <sz val="12"/>
        <rFont val="Calibri"/>
        <family val="2"/>
        <scheme val="minor"/>
      </rPr>
      <t>H</t>
    </r>
    <r>
      <rPr>
        <vertAlign val="subscript"/>
        <sz val="12"/>
        <rFont val="Calibri"/>
        <family val="2"/>
        <scheme val="minor"/>
      </rPr>
      <t>9</t>
    </r>
    <r>
      <rPr>
        <sz val="12"/>
        <rFont val="Calibri"/>
        <family val="2"/>
        <scheme val="minor"/>
      </rPr>
      <t>O</t>
    </r>
    <r>
      <rPr>
        <vertAlign val="subscript"/>
        <sz val="12"/>
        <rFont val="Calibri"/>
        <family val="2"/>
        <scheme val="minor"/>
      </rPr>
      <t>8</t>
    </r>
    <r>
      <rPr>
        <sz val="12"/>
        <rFont val="Calibri"/>
        <family val="2"/>
        <scheme val="minor"/>
      </rPr>
      <t>P</t>
    </r>
  </si>
  <si>
    <r>
      <t>C</t>
    </r>
    <r>
      <rPr>
        <vertAlign val="subscript"/>
        <sz val="12"/>
        <rFont val="Calibri"/>
        <family val="2"/>
        <scheme val="minor"/>
      </rPr>
      <t>3</t>
    </r>
    <r>
      <rPr>
        <sz val="12"/>
        <rFont val="Calibri"/>
        <family val="2"/>
        <scheme val="minor"/>
      </rPr>
      <t>H</t>
    </r>
    <r>
      <rPr>
        <vertAlign val="subscript"/>
        <sz val="12"/>
        <rFont val="Calibri"/>
        <family val="2"/>
        <scheme val="minor"/>
      </rPr>
      <t>2</t>
    </r>
    <r>
      <rPr>
        <sz val="12"/>
        <rFont val="Calibri"/>
        <family val="2"/>
        <scheme val="minor"/>
      </rPr>
      <t>O</t>
    </r>
    <r>
      <rPr>
        <vertAlign val="subscript"/>
        <sz val="12"/>
        <rFont val="Calibri"/>
        <family val="2"/>
        <scheme val="minor"/>
      </rPr>
      <t>6</t>
    </r>
    <r>
      <rPr>
        <sz val="12"/>
        <rFont val="Calibri"/>
        <family val="2"/>
        <scheme val="minor"/>
      </rPr>
      <t>P</t>
    </r>
  </si>
  <si>
    <r>
      <t>C</t>
    </r>
    <r>
      <rPr>
        <vertAlign val="subscript"/>
        <sz val="12"/>
        <rFont val="Calibri"/>
        <family val="2"/>
        <scheme val="minor"/>
      </rPr>
      <t>3</t>
    </r>
    <r>
      <rPr>
        <sz val="12"/>
        <rFont val="Calibri"/>
        <family val="2"/>
        <scheme val="minor"/>
      </rPr>
      <t>H</t>
    </r>
    <r>
      <rPr>
        <vertAlign val="subscript"/>
        <sz val="12"/>
        <rFont val="Calibri"/>
        <family val="2"/>
        <scheme val="minor"/>
      </rPr>
      <t>3</t>
    </r>
    <r>
      <rPr>
        <sz val="12"/>
        <rFont val="Calibri"/>
        <family val="2"/>
        <scheme val="minor"/>
      </rPr>
      <t>O</t>
    </r>
    <r>
      <rPr>
        <vertAlign val="subscript"/>
        <sz val="12"/>
        <rFont val="Calibri"/>
        <family val="2"/>
        <scheme val="minor"/>
      </rPr>
      <t>3</t>
    </r>
  </si>
  <si>
    <r>
      <t>C</t>
    </r>
    <r>
      <rPr>
        <vertAlign val="subscript"/>
        <sz val="12"/>
        <rFont val="Calibri"/>
        <family val="2"/>
        <scheme val="minor"/>
      </rPr>
      <t>23</t>
    </r>
    <r>
      <rPr>
        <sz val="12"/>
        <rFont val="Calibri"/>
        <family val="2"/>
        <scheme val="minor"/>
      </rPr>
      <t>H</t>
    </r>
    <r>
      <rPr>
        <vertAlign val="subscript"/>
        <sz val="12"/>
        <rFont val="Calibri"/>
        <family val="2"/>
        <scheme val="minor"/>
      </rPr>
      <t>34</t>
    </r>
    <r>
      <rPr>
        <sz val="12"/>
        <rFont val="Calibri"/>
        <family val="2"/>
        <scheme val="minor"/>
      </rPr>
      <t>N</t>
    </r>
    <r>
      <rPr>
        <vertAlign val="subscript"/>
        <sz val="12"/>
        <rFont val="Calibri"/>
        <family val="2"/>
        <scheme val="minor"/>
      </rPr>
      <t>7</t>
    </r>
    <r>
      <rPr>
        <sz val="12"/>
        <rFont val="Calibri"/>
        <family val="2"/>
        <scheme val="minor"/>
      </rPr>
      <t>O</t>
    </r>
    <r>
      <rPr>
        <vertAlign val="subscript"/>
        <sz val="12"/>
        <rFont val="Calibri"/>
        <family val="2"/>
        <scheme val="minor"/>
      </rPr>
      <t>17</t>
    </r>
    <r>
      <rPr>
        <sz val="12"/>
        <rFont val="Calibri"/>
        <family val="2"/>
        <scheme val="minor"/>
      </rPr>
      <t>P</t>
    </r>
    <r>
      <rPr>
        <vertAlign val="subscript"/>
        <sz val="12"/>
        <rFont val="Calibri"/>
        <family val="2"/>
        <scheme val="minor"/>
      </rPr>
      <t>3</t>
    </r>
    <r>
      <rPr>
        <sz val="12"/>
        <rFont val="Calibri"/>
        <family val="2"/>
        <scheme val="minor"/>
      </rPr>
      <t>S</t>
    </r>
  </si>
  <si>
    <r>
      <t>C</t>
    </r>
    <r>
      <rPr>
        <vertAlign val="subscript"/>
        <sz val="12"/>
        <rFont val="Calibri"/>
        <family val="2"/>
        <scheme val="minor"/>
      </rPr>
      <t>5</t>
    </r>
    <r>
      <rPr>
        <sz val="12"/>
        <rFont val="Calibri"/>
        <family val="2"/>
        <scheme val="minor"/>
      </rPr>
      <t>H</t>
    </r>
    <r>
      <rPr>
        <vertAlign val="subscript"/>
        <sz val="12"/>
        <rFont val="Calibri"/>
        <family val="2"/>
        <scheme val="minor"/>
      </rPr>
      <t>4</t>
    </r>
    <r>
      <rPr>
        <sz val="12"/>
        <rFont val="Calibri"/>
        <family val="2"/>
        <scheme val="minor"/>
      </rPr>
      <t>O</t>
    </r>
    <r>
      <rPr>
        <vertAlign val="subscript"/>
        <sz val="12"/>
        <rFont val="Calibri"/>
        <family val="2"/>
        <scheme val="minor"/>
      </rPr>
      <t>5</t>
    </r>
  </si>
  <si>
    <r>
      <t>C</t>
    </r>
    <r>
      <rPr>
        <vertAlign val="subscript"/>
        <sz val="12"/>
        <rFont val="Calibri"/>
        <family val="2"/>
        <scheme val="minor"/>
      </rPr>
      <t>4</t>
    </r>
    <r>
      <rPr>
        <sz val="12"/>
        <rFont val="Calibri"/>
        <family val="2"/>
        <scheme val="minor"/>
      </rPr>
      <t>H</t>
    </r>
    <r>
      <rPr>
        <vertAlign val="subscript"/>
        <sz val="12"/>
        <rFont val="Calibri"/>
        <family val="2"/>
        <scheme val="minor"/>
      </rPr>
      <t>2</t>
    </r>
    <r>
      <rPr>
        <sz val="12"/>
        <rFont val="Calibri"/>
        <family val="2"/>
        <scheme val="minor"/>
      </rPr>
      <t>O</t>
    </r>
    <r>
      <rPr>
        <vertAlign val="subscript"/>
        <sz val="12"/>
        <rFont val="Calibri"/>
        <family val="2"/>
        <scheme val="minor"/>
      </rPr>
      <t>5</t>
    </r>
  </si>
  <si>
    <r>
      <t>C</t>
    </r>
    <r>
      <rPr>
        <vertAlign val="subscript"/>
        <sz val="12"/>
        <rFont val="Calibri"/>
        <family val="2"/>
        <scheme val="minor"/>
      </rPr>
      <t>10</t>
    </r>
    <r>
      <rPr>
        <sz val="12"/>
        <rFont val="Calibri"/>
        <family val="2"/>
        <scheme val="minor"/>
      </rPr>
      <t>H</t>
    </r>
    <r>
      <rPr>
        <vertAlign val="subscript"/>
        <sz val="12"/>
        <rFont val="Calibri"/>
        <family val="2"/>
        <scheme val="minor"/>
      </rPr>
      <t>12</t>
    </r>
    <r>
      <rPr>
        <sz val="12"/>
        <rFont val="Calibri"/>
        <family val="2"/>
        <scheme val="minor"/>
      </rPr>
      <t>N</t>
    </r>
    <r>
      <rPr>
        <vertAlign val="subscript"/>
        <sz val="12"/>
        <rFont val="Calibri"/>
        <family val="2"/>
        <scheme val="minor"/>
      </rPr>
      <t>5</t>
    </r>
    <r>
      <rPr>
        <sz val="12"/>
        <rFont val="Calibri"/>
        <family val="2"/>
        <scheme val="minor"/>
      </rPr>
      <t>O</t>
    </r>
    <r>
      <rPr>
        <vertAlign val="subscript"/>
        <sz val="12"/>
        <rFont val="Calibri"/>
        <family val="2"/>
        <scheme val="minor"/>
      </rPr>
      <t>13</t>
    </r>
    <r>
      <rPr>
        <sz val="12"/>
        <rFont val="Calibri"/>
        <family val="2"/>
        <scheme val="minor"/>
      </rPr>
      <t>P</t>
    </r>
    <r>
      <rPr>
        <vertAlign val="subscript"/>
        <sz val="12"/>
        <rFont val="Calibri"/>
        <family val="2"/>
        <scheme val="minor"/>
      </rPr>
      <t>3</t>
    </r>
  </si>
  <si>
    <r>
      <t>C</t>
    </r>
    <r>
      <rPr>
        <vertAlign val="subscript"/>
        <sz val="12"/>
        <rFont val="Calibri"/>
        <family val="2"/>
        <scheme val="minor"/>
      </rPr>
      <t>21</t>
    </r>
    <r>
      <rPr>
        <sz val="12"/>
        <rFont val="Calibri"/>
        <family val="2"/>
        <scheme val="minor"/>
      </rPr>
      <t>H</t>
    </r>
    <r>
      <rPr>
        <vertAlign val="subscript"/>
        <sz val="12"/>
        <rFont val="Calibri"/>
        <family val="2"/>
        <scheme val="minor"/>
      </rPr>
      <t>27</t>
    </r>
    <r>
      <rPr>
        <sz val="12"/>
        <rFont val="Calibri"/>
        <family val="2"/>
        <scheme val="minor"/>
      </rPr>
      <t>N</t>
    </r>
    <r>
      <rPr>
        <vertAlign val="subscript"/>
        <sz val="12"/>
        <rFont val="Calibri"/>
        <family val="2"/>
        <scheme val="minor"/>
      </rPr>
      <t>7</t>
    </r>
    <r>
      <rPr>
        <sz val="12"/>
        <rFont val="Calibri"/>
        <family val="2"/>
        <scheme val="minor"/>
      </rPr>
      <t>O</t>
    </r>
    <r>
      <rPr>
        <vertAlign val="subscript"/>
        <sz val="12"/>
        <rFont val="Calibri"/>
        <family val="2"/>
        <scheme val="minor"/>
      </rPr>
      <t>14</t>
    </r>
    <r>
      <rPr>
        <sz val="12"/>
        <rFont val="Calibri"/>
        <family val="2"/>
        <scheme val="minor"/>
      </rPr>
      <t>P</t>
    </r>
    <r>
      <rPr>
        <vertAlign val="subscript"/>
        <sz val="12"/>
        <rFont val="Calibri"/>
        <family val="2"/>
        <scheme val="minor"/>
      </rPr>
      <t>2</t>
    </r>
  </si>
  <si>
    <r>
      <t>C</t>
    </r>
    <r>
      <rPr>
        <vertAlign val="subscript"/>
        <sz val="12"/>
        <rFont val="Calibri"/>
        <family val="2"/>
        <scheme val="minor"/>
      </rPr>
      <t>21</t>
    </r>
    <r>
      <rPr>
        <sz val="12"/>
        <rFont val="Calibri"/>
        <family val="2"/>
        <scheme val="minor"/>
      </rPr>
      <t>H</t>
    </r>
    <r>
      <rPr>
        <vertAlign val="subscript"/>
        <sz val="12"/>
        <rFont val="Calibri"/>
        <family val="2"/>
        <scheme val="minor"/>
      </rPr>
      <t>26</t>
    </r>
    <r>
      <rPr>
        <sz val="12"/>
        <rFont val="Calibri"/>
        <family val="2"/>
        <scheme val="minor"/>
      </rPr>
      <t>N</t>
    </r>
    <r>
      <rPr>
        <vertAlign val="subscript"/>
        <sz val="12"/>
        <rFont val="Calibri"/>
        <family val="2"/>
        <scheme val="minor"/>
      </rPr>
      <t>7</t>
    </r>
    <r>
      <rPr>
        <sz val="12"/>
        <rFont val="Calibri"/>
        <family val="2"/>
        <scheme val="minor"/>
      </rPr>
      <t>O</t>
    </r>
    <r>
      <rPr>
        <vertAlign val="subscript"/>
        <sz val="12"/>
        <rFont val="Calibri"/>
        <family val="2"/>
        <scheme val="minor"/>
      </rPr>
      <t>17</t>
    </r>
    <r>
      <rPr>
        <sz val="12"/>
        <rFont val="Calibri"/>
        <family val="2"/>
        <scheme val="minor"/>
      </rPr>
      <t>P</t>
    </r>
    <r>
      <rPr>
        <vertAlign val="subscript"/>
        <sz val="12"/>
        <rFont val="Calibri"/>
        <family val="2"/>
        <scheme val="minor"/>
      </rPr>
      <t>3</t>
    </r>
  </si>
  <si>
    <r>
      <t>CO</t>
    </r>
    <r>
      <rPr>
        <vertAlign val="subscript"/>
        <sz val="12"/>
        <rFont val="Calibri"/>
        <family val="2"/>
        <scheme val="minor"/>
      </rPr>
      <t>2</t>
    </r>
  </si>
  <si>
    <r>
      <t>C</t>
    </r>
    <r>
      <rPr>
        <vertAlign val="subscript"/>
        <sz val="12"/>
        <rFont val="Calibri"/>
        <family val="2"/>
        <scheme val="minor"/>
      </rPr>
      <t>5</t>
    </r>
    <r>
      <rPr>
        <sz val="12"/>
        <rFont val="Calibri"/>
        <family val="2"/>
        <scheme val="minor"/>
      </rPr>
      <t>H</t>
    </r>
    <r>
      <rPr>
        <vertAlign val="subscript"/>
        <sz val="12"/>
        <rFont val="Calibri"/>
        <family val="2"/>
        <scheme val="minor"/>
      </rPr>
      <t>13</t>
    </r>
    <r>
      <rPr>
        <sz val="12"/>
        <rFont val="Calibri"/>
        <family val="2"/>
        <scheme val="minor"/>
      </rPr>
      <t>N</t>
    </r>
    <r>
      <rPr>
        <vertAlign val="subscript"/>
        <sz val="12"/>
        <rFont val="Calibri"/>
        <family val="2"/>
        <scheme val="minor"/>
      </rPr>
      <t>2</t>
    </r>
    <r>
      <rPr>
        <sz val="12"/>
        <rFont val="Calibri"/>
        <family val="2"/>
        <scheme val="minor"/>
      </rPr>
      <t>O</t>
    </r>
    <r>
      <rPr>
        <vertAlign val="subscript"/>
        <sz val="12"/>
        <rFont val="Calibri"/>
        <family val="2"/>
        <scheme val="minor"/>
      </rPr>
      <t>2</t>
    </r>
  </si>
  <si>
    <t>phosphate</t>
  </si>
  <si>
    <t>left side of equation</t>
  </si>
  <si>
    <t>right side of equation</t>
  </si>
  <si>
    <t>ADP</t>
  </si>
  <si>
    <t>COA</t>
  </si>
  <si>
    <t>H+</t>
  </si>
  <si>
    <t>NAD+</t>
  </si>
  <si>
    <t>NADP+</t>
  </si>
  <si>
    <r>
      <t>HO</t>
    </r>
    <r>
      <rPr>
        <vertAlign val="subscript"/>
        <sz val="10"/>
        <color rgb="FF333333"/>
        <rFont val="Arial"/>
        <family val="2"/>
      </rPr>
      <t>4</t>
    </r>
    <r>
      <rPr>
        <sz val="10"/>
        <color rgb="FF333333"/>
        <rFont val="Arial"/>
        <family val="2"/>
      </rPr>
      <t>P</t>
    </r>
  </si>
  <si>
    <r>
      <t>C</t>
    </r>
    <r>
      <rPr>
        <vertAlign val="subscript"/>
        <sz val="12"/>
        <color rgb="FF333333"/>
        <rFont val="Arial"/>
        <family val="2"/>
      </rPr>
      <t>10</t>
    </r>
    <r>
      <rPr>
        <sz val="10"/>
        <color rgb="FF333333"/>
        <rFont val="Arial"/>
        <family val="2"/>
      </rPr>
      <t>H</t>
    </r>
    <r>
      <rPr>
        <vertAlign val="subscript"/>
        <sz val="12"/>
        <color rgb="FF333333"/>
        <rFont val="Arial"/>
        <family val="2"/>
      </rPr>
      <t>12</t>
    </r>
    <r>
      <rPr>
        <sz val="10"/>
        <color rgb="FF333333"/>
        <rFont val="Arial"/>
        <family val="2"/>
      </rPr>
      <t>N</t>
    </r>
    <r>
      <rPr>
        <vertAlign val="subscript"/>
        <sz val="12"/>
        <color rgb="FF333333"/>
        <rFont val="Arial"/>
        <family val="2"/>
      </rPr>
      <t>5</t>
    </r>
    <r>
      <rPr>
        <sz val="10"/>
        <color rgb="FF333333"/>
        <rFont val="Arial"/>
        <family val="2"/>
      </rPr>
      <t>O</t>
    </r>
    <r>
      <rPr>
        <vertAlign val="subscript"/>
        <sz val="12"/>
        <color rgb="FF333333"/>
        <rFont val="Arial"/>
        <family val="2"/>
      </rPr>
      <t>10</t>
    </r>
    <r>
      <rPr>
        <sz val="10"/>
        <color rgb="FF333333"/>
        <rFont val="Arial"/>
        <family val="2"/>
      </rPr>
      <t>P</t>
    </r>
    <r>
      <rPr>
        <vertAlign val="subscript"/>
        <sz val="12"/>
        <color rgb="FF333333"/>
        <rFont val="Arial"/>
        <family val="2"/>
      </rPr>
      <t>2</t>
    </r>
  </si>
  <si>
    <r>
      <t>C</t>
    </r>
    <r>
      <rPr>
        <vertAlign val="subscript"/>
        <sz val="12"/>
        <color theme="1"/>
        <rFont val="Calibri"/>
        <family val="2"/>
        <scheme val="minor"/>
      </rPr>
      <t>21</t>
    </r>
    <r>
      <rPr>
        <sz val="11"/>
        <color theme="1"/>
        <rFont val="Calibri"/>
        <family val="2"/>
        <scheme val="minor"/>
      </rPr>
      <t>H</t>
    </r>
    <r>
      <rPr>
        <vertAlign val="subscript"/>
        <sz val="12"/>
        <color theme="1"/>
        <rFont val="Calibri"/>
        <family val="2"/>
        <scheme val="minor"/>
      </rPr>
      <t>32</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16</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</si>
  <si>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r>
      <t>C</t>
    </r>
    <r>
      <rPr>
        <vertAlign val="subscript"/>
        <sz val="12"/>
        <color theme="1"/>
        <rFont val="Calibri"/>
        <family val="2"/>
        <scheme val="minor"/>
      </rPr>
      <t>21</t>
    </r>
    <r>
      <rPr>
        <sz val="11"/>
        <color theme="1"/>
        <rFont val="Calibri"/>
        <family val="2"/>
        <scheme val="minor"/>
      </rPr>
      <t>H</t>
    </r>
    <r>
      <rPr>
        <vertAlign val="subscript"/>
        <sz val="12"/>
        <color theme="1"/>
        <rFont val="Calibri"/>
        <family val="2"/>
        <scheme val="minor"/>
      </rPr>
      <t>25</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17</t>
    </r>
    <r>
      <rPr>
        <sz val="11"/>
        <color theme="1"/>
        <rFont val="Calibri"/>
        <family val="2"/>
        <scheme val="minor"/>
      </rPr>
      <t>P</t>
    </r>
    <r>
      <rPr>
        <vertAlign val="subscript"/>
        <sz val="12"/>
        <color theme="1"/>
        <rFont val="Calibri"/>
        <family val="2"/>
        <scheme val="minor"/>
      </rPr>
      <t>3</t>
    </r>
  </si>
  <si>
    <t xml:space="preserve">NH4+ degree of reduction </t>
  </si>
  <si>
    <r>
      <t>C</t>
    </r>
    <r>
      <rPr>
        <vertAlign val="subscript"/>
        <sz val="12"/>
        <color rgb="FF333333"/>
        <rFont val="Arial"/>
        <family val="2"/>
      </rPr>
      <t>21</t>
    </r>
    <r>
      <rPr>
        <sz val="10"/>
        <color rgb="FF333333"/>
        <rFont val="Arial"/>
        <family val="2"/>
      </rPr>
      <t>H</t>
    </r>
    <r>
      <rPr>
        <vertAlign val="subscript"/>
        <sz val="12"/>
        <color rgb="FF333333"/>
        <rFont val="Arial"/>
        <family val="2"/>
      </rPr>
      <t>26</t>
    </r>
    <r>
      <rPr>
        <sz val="10"/>
        <color rgb="FF333333"/>
        <rFont val="Arial"/>
        <family val="2"/>
      </rPr>
      <t>N</t>
    </r>
    <r>
      <rPr>
        <vertAlign val="subscript"/>
        <sz val="12"/>
        <color rgb="FF333333"/>
        <rFont val="Arial"/>
        <family val="2"/>
      </rPr>
      <t>7</t>
    </r>
    <r>
      <rPr>
        <sz val="10"/>
        <color rgb="FF333333"/>
        <rFont val="Arial"/>
        <family val="2"/>
      </rPr>
      <t>O</t>
    </r>
    <r>
      <rPr>
        <vertAlign val="subscript"/>
        <sz val="12"/>
        <color rgb="FF333333"/>
        <rFont val="Arial"/>
        <family val="2"/>
      </rPr>
      <t>14</t>
    </r>
    <r>
      <rPr>
        <sz val="10"/>
        <color rgb="FF333333"/>
        <rFont val="Arial"/>
        <family val="2"/>
      </rPr>
      <t>P</t>
    </r>
    <r>
      <rPr>
        <vertAlign val="subscript"/>
        <sz val="12"/>
        <color rgb="FF333333"/>
        <rFont val="Arial"/>
        <family val="2"/>
      </rPr>
      <t>2</t>
    </r>
  </si>
  <si>
    <t>H2O</t>
  </si>
  <si>
    <t>biomass term no adjustments</t>
  </si>
  <si>
    <t>+</t>
  </si>
  <si>
    <t>*I combined the two ATP terms into one metabolite with one coefficient. But could leave them separate, would just need an additional reaction converting ATP = ATP_polymerization</t>
  </si>
  <si>
    <t xml:space="preserve"> </t>
  </si>
  <si>
    <t>*B35 is a blank space</t>
  </si>
  <si>
    <t>written out (automatic formula):</t>
  </si>
  <si>
    <t>as text (easier to read in text window):</t>
  </si>
  <si>
    <t>-</t>
  </si>
  <si>
    <t xml:space="preserve">biomass </t>
  </si>
  <si>
    <t>=</t>
  </si>
  <si>
    <t xml:space="preserve">*apostrophe in front of this one </t>
  </si>
  <si>
    <t>biomass term (degree of reduction 4.2 on NH3 basis)</t>
  </si>
  <si>
    <t>used nadph to adjust degree of reduction</t>
  </si>
  <si>
    <t>biomass term (scaled to 1 Cmol)</t>
  </si>
  <si>
    <r>
      <t>CH</t>
    </r>
    <r>
      <rPr>
        <vertAlign val="subscript"/>
        <sz val="12"/>
        <rFont val="Calibri"/>
        <family val="2"/>
        <scheme val="minor"/>
      </rPr>
      <t>2</t>
    </r>
    <r>
      <rPr>
        <sz val="12"/>
        <rFont val="Calibri"/>
        <family val="2"/>
        <scheme val="minor"/>
      </rPr>
      <t>N</t>
    </r>
    <r>
      <rPr>
        <vertAlign val="subscript"/>
        <sz val="12"/>
        <rFont val="Calibri"/>
        <family val="2"/>
        <scheme val="minor"/>
      </rPr>
      <t>0.24</t>
    </r>
    <r>
      <rPr>
        <sz val="12"/>
        <rFont val="Calibri"/>
        <family val="2"/>
        <scheme val="minor"/>
      </rPr>
      <t>O</t>
    </r>
    <r>
      <rPr>
        <vertAlign val="subscript"/>
        <sz val="12"/>
        <rFont val="Calibri"/>
        <family val="2"/>
        <scheme val="minor"/>
      </rPr>
      <t>1.21</t>
    </r>
    <r>
      <rPr>
        <sz val="12"/>
        <rFont val="Calibri"/>
        <family val="2"/>
        <scheme val="minor"/>
      </rPr>
      <t>P</t>
    </r>
    <r>
      <rPr>
        <vertAlign val="subscript"/>
        <sz val="12"/>
        <rFont val="Calibri"/>
        <family val="2"/>
        <scheme val="minor"/>
      </rPr>
      <t>0.09</t>
    </r>
  </si>
  <si>
    <t>D-glucopyranose_6-phosphate</t>
  </si>
  <si>
    <t>D-ribose_5-phosphate</t>
  </si>
  <si>
    <t>D-erythrose_4-phosphate</t>
  </si>
  <si>
    <t>phosphoenolpyruvate</t>
  </si>
  <si>
    <t>pyruvate</t>
  </si>
  <si>
    <t>acetyl-CoA</t>
  </si>
  <si>
    <t>2-oxoglutarate</t>
  </si>
  <si>
    <t>oxaloacetate</t>
  </si>
  <si>
    <t>NADPH</t>
  </si>
  <si>
    <t>NADH</t>
  </si>
  <si>
    <t>coenzyme_A</t>
  </si>
  <si>
    <t>polyhydroxybutyrate_produced</t>
  </si>
  <si>
    <t>0.33525017878437 D-glucopyranose_6-phosphate + 2.76300389571188 D-ribose_5-phosphate + 1.51166682921877 D-erythrose_4-phosphate + 8.19173319968786 phosphoenolpyruvate + 10.7835700117804 pyruvate + 10.982178036237 acetyl-CoA + 4.00765717469613 2-oxoglutarate + 5.8795500917648 oxaloacetate + 145.955146001733 ATP + 35.7164912265533 NADPH + 24.9304271663154 N_GLU + 9.84875191559127 N_GLN + 0.583182425886587 polyhydroxybutyrate_produced + 0.131727321248543 L-ornithine + 12.0640743345486 NAD+ + 145.955146001733 H2O = biomass  + 12.0640743345486 NADH + 0.894553752061566 CO2 + 145.955146001733 phosphate + 145.955146001733 ADP + 10.982178036237 coenzyme_A + 191.910292003466 H+ + 35.7164912265533 NADP+</t>
  </si>
  <si>
    <t>0.33525017878437 D-glucopyranose_6-phosphate + 2.76300389571188 D-ribose_5-phosphate + 1.51166682921877 D-erythrose_4-phosphate + 8.19173319968786 phosphoenolpyruvate + 10.7835700117804 pyruvate + 10.982178036237 acetyl-CoA + 4.00765717469613 2-oxoglutarate + 5.8795500917648 oxaloacetate + 145.955146001733 ATP + 69 NADPH + 24.9304271663154 N_GLU + 9.84875191559127 N_GLN + 0.583182425886587 polyhydroxybutyrate_produced + 0.131727321248543 L-ornithine + 12.0640743345486 NAD+ + 145.955146001733 H2O =  + 12.0640743345486 NADH + 0.894553752061566 CO2 + 145.955146001733 phosphate + 145.955146001733 ADP + 10.982178036237 coenzyme_A + 191.910292003466 H+ + 69 NADP+</t>
  </si>
  <si>
    <t>biomass term (degree of reduction 4.2 on NH3 basis, scaled to 1 Cmol)</t>
  </si>
  <si>
    <t>biomass</t>
  </si>
  <si>
    <t>original carbon moles</t>
  </si>
  <si>
    <t>ROUNDING SECTION</t>
  </si>
  <si>
    <t>glycogen_produced</t>
  </si>
  <si>
    <t>polyhydroxybutyrate_produced/glycogen_produced</t>
  </si>
  <si>
    <t>umax (d-1)</t>
  </si>
  <si>
    <t>C4H7O3</t>
  </si>
  <si>
    <t>0.00228969823022475 D-glucopyranose_6-phosphate + 0.0188708180650508 D-ribose_5-phosphate + 0.0103244116859306 D-erythrose_4-phosphate + 0.0559480596783296 phosphoenolpyruvate + 0.0736498374467966 pyruvate + 0.075006294417992 acetyl-CoA + 0.0273715753814747 2-oxoglutarate + 0.040156266250019 oxaloacetate + 0.996847311772243 ATP + 0.471257549983665 NADPH + 0.170270319223826 N_GLU + 0.0672651985237458 N_GLN + 0.00398303074227309 polyhydroxybutyrate_produced + 0.000899673835905793 L-ornithine + 0.0823954509234807 NAD+ + 0.996847311772243 H2O = biomass + 0.0823954509234807 NADH + 0.00610964071775693 CO2 + 0.996847311772243 phosphate + 0.996847311772243 ADP + 0.075006294417992 coenzyme_A + 1.31071266704642 H+ + 0.471257549983665 NADP+</t>
  </si>
  <si>
    <t>0.00229 D-glucopyranose_6-phosphate + 0.01887 D-ribose_5-phosphate + 0.01032 D-erythrose_4-phosphate + 0.05595 phosphoenolpyruvate + 0.07365 pyruvate + 0.07501 acetyl-CoA + 0.02737 2-oxoglutarate + 0.04016 oxaloacetate + 0.99685 ATP + 0.47126 NADPH + 0.17027 N_GLU + 0.06727 N_GLN + 0.00398 polyhydroxybutyrate_produced + 0.0009 L-ornithine + 0.0824 NAD+ + 0.99685 H2O = biomass + 0.0824 NADH + 0.00611 CO2 + 0.99685 phosphate + 0.99685 ADP + 0.07501 coenzyme_A + 1.31071 H+ + 0.47126 NADP+</t>
  </si>
  <si>
    <t>C6H8O4</t>
  </si>
  <si>
    <t>From Rostkowski et al., 2013:</t>
  </si>
  <si>
    <t>qmax(mmol/(Cmol x* h))</t>
  </si>
  <si>
    <t>https://doi.org/10.1007/BF02346062</t>
  </si>
  <si>
    <t>umax (h-1)</t>
  </si>
  <si>
    <t>qmax(mmol/(g cdwl x* h))</t>
  </si>
  <si>
    <t>doi.org/10.1016/j.heliyon.2019.e01950</t>
  </si>
  <si>
    <t>GAM (mmol ATP /(Cmol x h)</t>
  </si>
  <si>
    <t>qCH4</t>
  </si>
  <si>
    <t>predicted qCH4 (total)</t>
  </si>
  <si>
    <t>predicted yields</t>
  </si>
  <si>
    <t>experimental yields</t>
  </si>
  <si>
    <t>type I</t>
  </si>
  <si>
    <t>mu</t>
  </si>
  <si>
    <t>Methylococcus capsulatus (Bath)</t>
  </si>
  <si>
    <t xml:space="preserve">ORIGINAL </t>
  </si>
  <si>
    <t>CARBON MOLE ADJUSTMENT SECTION, normalizing to 1 Cmol</t>
  </si>
  <si>
    <t>DEGREE OF REDUCTION ADJUSTED SECTION, adjusting to DoR = 4.2</t>
  </si>
  <si>
    <t>growth on nitrate</t>
  </si>
  <si>
    <t>biomass yield (g/g)</t>
  </si>
  <si>
    <t>qmax (g methane/g VSS d-1)</t>
  </si>
  <si>
    <t>qmax (mol methane/g VSS d-1)</t>
  </si>
  <si>
    <t>qmax (mmol methane/Cmol biomass d-1)</t>
  </si>
  <si>
    <t xml:space="preserve">convert to moles </t>
  </si>
  <si>
    <t xml:space="preserve">convert to moles biomass </t>
  </si>
  <si>
    <t>y-axis intercept sets methane</t>
  </si>
  <si>
    <t>flux for NGAM</t>
  </si>
  <si>
    <t>Cu replete, dcMMO</t>
  </si>
  <si>
    <t>low Cu, sMMO</t>
  </si>
  <si>
    <t xml:space="preserve">Methylomicorbium alcaliphilum 20Z  </t>
  </si>
  <si>
    <t>testing NGAM and GAM parameters on Type I methanotroph data</t>
  </si>
  <si>
    <t>Metabolites::Reactions</t>
  </si>
  <si>
    <t>Reaction_Reversibilities</t>
  </si>
  <si>
    <t>_2R__ethylmalonyl_CoA</t>
  </si>
  <si>
    <t>_2R_3S__B_methylmalyl_CoA</t>
  </si>
  <si>
    <t>_2S__ethylmalonyl_CoA</t>
  </si>
  <si>
    <t>_2S__methylsuccinyl_CoA</t>
  </si>
  <si>
    <t>_3R__3_hydroxybutanoyl_CoA</t>
  </si>
  <si>
    <t>_R__lactate</t>
  </si>
  <si>
    <t>_R__lactate_ext</t>
  </si>
  <si>
    <t>_R__methylmalonyl_CoA</t>
  </si>
  <si>
    <t>_S__malate</t>
  </si>
  <si>
    <t>_S__malyl_CoA</t>
  </si>
  <si>
    <t>_S__methylmalonyl_CoA</t>
  </si>
  <si>
    <t>10_formyl_tetrahydrofolate</t>
  </si>
  <si>
    <t>2_dehydro_3_deoxy_D_gluconate_6_phosphate</t>
  </si>
  <si>
    <t>2_methylfumaryl_CoA</t>
  </si>
  <si>
    <t>2_oxoglutarate</t>
  </si>
  <si>
    <t>2_phospho_D_glycerate</t>
  </si>
  <si>
    <t>3_hydroxybutanoate</t>
  </si>
  <si>
    <t>3_phospho_D_glycerate</t>
  </si>
  <si>
    <t>3_phospho_D_glycerol_phosphate</t>
  </si>
  <si>
    <t>5_10_methenyltetrahydrofolate</t>
  </si>
  <si>
    <t>5_10_methenyltetrahydromethanopterin</t>
  </si>
  <si>
    <t>5_10_methylenetetrahydrofolate</t>
  </si>
  <si>
    <t>5_10_methylene_tetrahydromethanopterin</t>
  </si>
  <si>
    <t>5_formyl_tetrahydromethanopterin</t>
  </si>
  <si>
    <t>6_phospho_D_glucono_1_5_lactone</t>
  </si>
  <si>
    <t>acetaldehyde</t>
  </si>
  <si>
    <t>acetate</t>
  </si>
  <si>
    <t>acetate_ext</t>
  </si>
  <si>
    <t>acetoacetate</t>
  </si>
  <si>
    <t>acetoacetyl_CoA</t>
  </si>
  <si>
    <t>acetone</t>
  </si>
  <si>
    <t>acetone_ext</t>
  </si>
  <si>
    <t>acetyl_phosphate</t>
  </si>
  <si>
    <t>acetyl_CoA</t>
  </si>
  <si>
    <t>a_D_glucopyranose_1_phosphate</t>
  </si>
  <si>
    <t>ADP_a_D_glucose</t>
  </si>
  <si>
    <t>ammonia</t>
  </si>
  <si>
    <t>ammonium</t>
  </si>
  <si>
    <t>ammonium_ext</t>
  </si>
  <si>
    <t>AMP</t>
  </si>
  <si>
    <t>ATP_main</t>
  </si>
  <si>
    <t>B_D_fructofuranose_1_6_bisphosphate</t>
  </si>
  <si>
    <t>B_D_fructofuranose_6_phosphate</t>
  </si>
  <si>
    <t>biomass_1</t>
  </si>
  <si>
    <t>biomass_2</t>
  </si>
  <si>
    <t>citrate</t>
  </si>
  <si>
    <t>CO2_eq_100</t>
  </si>
  <si>
    <t>CO2_eq_20</t>
  </si>
  <si>
    <t>CO2_ext</t>
  </si>
  <si>
    <t>crotonyl_CoA</t>
  </si>
  <si>
    <t>cytc</t>
  </si>
  <si>
    <t>cytcE</t>
  </si>
  <si>
    <t>D_erythrose_4_phosphate</t>
  </si>
  <si>
    <t>D_gluconate_6_phosphate</t>
  </si>
  <si>
    <t>D_glucopyranose_6_phosphate</t>
  </si>
  <si>
    <t>D_glyceraldehyde_3_phosphate</t>
  </si>
  <si>
    <t>D_glycerate</t>
  </si>
  <si>
    <t>diphosphate</t>
  </si>
  <si>
    <t>D_ribose_5_phosphate</t>
  </si>
  <si>
    <t>D_ribulose_5_phosphate</t>
  </si>
  <si>
    <t>D_sedoheptulose_7_phosphate</t>
  </si>
  <si>
    <t>D_threo_isocitrate</t>
  </si>
  <si>
    <t>D_xylulose_5_phosphate</t>
  </si>
  <si>
    <t>ethanol</t>
  </si>
  <si>
    <t>ethanol_ext</t>
  </si>
  <si>
    <t>ferredoxin_oxidized</t>
  </si>
  <si>
    <t>ferredoxin_reduced</t>
  </si>
  <si>
    <t>formaldehyde</t>
  </si>
  <si>
    <t>formaldehyde_ext</t>
  </si>
  <si>
    <t>formate</t>
  </si>
  <si>
    <t>formate_ext</t>
  </si>
  <si>
    <t>fumarate</t>
  </si>
  <si>
    <t>g_L_glutamyl_5_phosphate</t>
  </si>
  <si>
    <t>glycerone_phosphate</t>
  </si>
  <si>
    <t>glycogen_consumed</t>
  </si>
  <si>
    <t>glycogen_consumed_ext</t>
  </si>
  <si>
    <t>glycogen_produced_ext</t>
  </si>
  <si>
    <t>glyoxylate</t>
  </si>
  <si>
    <t>GWP100</t>
  </si>
  <si>
    <t>GWP20</t>
  </si>
  <si>
    <t>H_pmf</t>
  </si>
  <si>
    <t>H_</t>
  </si>
  <si>
    <t>H__ext</t>
  </si>
  <si>
    <t>H2</t>
  </si>
  <si>
    <t>H2_ext</t>
  </si>
  <si>
    <t>H2O_ext</t>
  </si>
  <si>
    <t>hexulose_6_phosphate</t>
  </si>
  <si>
    <t>hydrogen_peroxide</t>
  </si>
  <si>
    <t>hydrogen_peroxide_ext</t>
  </si>
  <si>
    <t>hydrogencarbonate</t>
  </si>
  <si>
    <t>hydroxylamine</t>
  </si>
  <si>
    <t>hydroxypyruvate</t>
  </si>
  <si>
    <t>L_glutamate</t>
  </si>
  <si>
    <t>L_glutamate_5_semialdehyde</t>
  </si>
  <si>
    <t>L_glutamine</t>
  </si>
  <si>
    <t>L_ornithine</t>
  </si>
  <si>
    <t>L_serine</t>
  </si>
  <si>
    <t>methane</t>
  </si>
  <si>
    <t>methane_ext</t>
  </si>
  <si>
    <t>methanol</t>
  </si>
  <si>
    <t>methanol_ext</t>
  </si>
  <si>
    <t>N2</t>
  </si>
  <si>
    <t>N2_ext</t>
  </si>
  <si>
    <t>NAD_</t>
  </si>
  <si>
    <t>NADP_</t>
  </si>
  <si>
    <t>nitrate</t>
  </si>
  <si>
    <t>nitrate_ext</t>
  </si>
  <si>
    <t>nitric_oxide</t>
  </si>
  <si>
    <t>nitrite</t>
  </si>
  <si>
    <t>nitrous_oxide</t>
  </si>
  <si>
    <t>nitrous_oxide_ext</t>
  </si>
  <si>
    <t>O2</t>
  </si>
  <si>
    <t>O2_ext</t>
  </si>
  <si>
    <t>phosphate_ext</t>
  </si>
  <si>
    <t>polyhydroxybutyrate_consumed</t>
  </si>
  <si>
    <t>polyhydroxybutyrate_consumed_ext</t>
  </si>
  <si>
    <t>propanoyl_CoA</t>
  </si>
  <si>
    <t>putrescine</t>
  </si>
  <si>
    <t>putrescine_ext</t>
  </si>
  <si>
    <t>pyruvate_ext</t>
  </si>
  <si>
    <t>Q</t>
  </si>
  <si>
    <t>QH2</t>
  </si>
  <si>
    <t>succinate</t>
  </si>
  <si>
    <t>succinate_ext</t>
  </si>
  <si>
    <t>succinyl_CoA</t>
  </si>
  <si>
    <t>tetrahydrofolate</t>
  </si>
  <si>
    <t>tetrahydromethanopterin</t>
  </si>
  <si>
    <t>name in model</t>
  </si>
  <si>
    <t>E (NH3 basis)</t>
  </si>
  <si>
    <t>R1</t>
  </si>
  <si>
    <t>(2R)-ethylmalonyl-CoA</t>
  </si>
  <si>
    <r>
      <t>C</t>
    </r>
    <r>
      <rPr>
        <vertAlign val="subscript"/>
        <sz val="12"/>
        <color theme="1"/>
        <rFont val="Calibri"/>
        <family val="2"/>
        <scheme val="minor"/>
      </rPr>
      <t>26</t>
    </r>
    <r>
      <rPr>
        <sz val="11"/>
        <color theme="1"/>
        <rFont val="Calibri"/>
        <family val="2"/>
        <scheme val="minor"/>
      </rPr>
      <t>H</t>
    </r>
    <r>
      <rPr>
        <vertAlign val="subscript"/>
        <sz val="12"/>
        <color theme="1"/>
        <rFont val="Calibri"/>
        <family val="2"/>
        <scheme val="minor"/>
      </rPr>
      <t>37</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19</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</si>
  <si>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1:  R1 :</t>
  </si>
  <si>
    <t>methane + O2 + QH2 ==&gt; H2O + methanol + Q</t>
  </si>
  <si>
    <t>R2</t>
  </si>
  <si>
    <t>(2R,3S)-B-methylmalyl-CoA</t>
  </si>
  <si>
    <r>
      <t>C</t>
    </r>
    <r>
      <rPr>
        <vertAlign val="subscript"/>
        <sz val="12"/>
        <color theme="1"/>
        <rFont val="Calibri"/>
        <family val="2"/>
        <scheme val="minor"/>
      </rPr>
      <t>26</t>
    </r>
    <r>
      <rPr>
        <sz val="11"/>
        <color theme="1"/>
        <rFont val="Calibri"/>
        <family val="2"/>
        <scheme val="minor"/>
      </rPr>
      <t>H</t>
    </r>
    <r>
      <rPr>
        <vertAlign val="subscript"/>
        <sz val="12"/>
        <color theme="1"/>
        <rFont val="Calibri"/>
        <family val="2"/>
        <scheme val="minor"/>
      </rPr>
      <t>37</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20</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</si>
  <si>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2:  R2 :</t>
  </si>
  <si>
    <t>H_ + methane + NADH + O2 ==&gt; H2O + methanol + NAD_</t>
  </si>
  <si>
    <t>direct_coupling</t>
  </si>
  <si>
    <t>(2S)-ethylmalonyl-CoA</t>
  </si>
  <si>
    <t>Reaction 3:  direct_coupling :</t>
  </si>
  <si>
    <t>methane + O2 ==&gt; formaldehyde + H2O</t>
  </si>
  <si>
    <t>R3</t>
  </si>
  <si>
    <t>(2S)-methylsuccinyl-CoA</t>
  </si>
  <si>
    <t>Reaction 4:  R3 :</t>
  </si>
  <si>
    <t>2 cytc + methanol ==&gt; 2 cytcE + formaldehyde + 2 H_pmf</t>
  </si>
  <si>
    <t>R4</t>
  </si>
  <si>
    <t>(3R)-3-hydroxybutanoyl-CoA</t>
  </si>
  <si>
    <r>
      <t>C</t>
    </r>
    <r>
      <rPr>
        <vertAlign val="subscript"/>
        <sz val="12"/>
        <color theme="1"/>
        <rFont val="Calibri"/>
        <family val="2"/>
        <scheme val="minor"/>
      </rPr>
      <t>25</t>
    </r>
    <r>
      <rPr>
        <sz val="11"/>
        <color theme="1"/>
        <rFont val="Calibri"/>
        <family val="2"/>
        <scheme val="minor"/>
      </rPr>
      <t>H</t>
    </r>
    <r>
      <rPr>
        <vertAlign val="subscript"/>
        <sz val="12"/>
        <color theme="1"/>
        <rFont val="Calibri"/>
        <family val="2"/>
        <scheme val="minor"/>
      </rPr>
      <t>38</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18</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</si>
  <si>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5:  R4 :</t>
  </si>
  <si>
    <t>formaldehyde + H2O + NAD_ ==&gt; formate + 2 H_ + NADH</t>
  </si>
  <si>
    <t>R5</t>
  </si>
  <si>
    <t>(R)-lactate</t>
  </si>
  <si>
    <r>
      <t>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5</t>
    </r>
    <r>
      <rPr>
        <sz val="11"/>
        <color theme="1"/>
        <rFont val="Calibri"/>
        <family val="2"/>
        <scheme val="minor"/>
      </rPr>
      <t>O</t>
    </r>
    <r>
      <rPr>
        <vertAlign val="subscript"/>
        <sz val="11"/>
        <color theme="1"/>
        <rFont val="Calibri"/>
        <family val="2"/>
        <scheme val="minor"/>
      </rPr>
      <t>3</t>
    </r>
  </si>
  <si>
    <t>Reaction 6:  R5 :</t>
  </si>
  <si>
    <t>2 cytc + formaldehyde + H2O ==&gt; 2 cytcE + formate + 3 H_pmf</t>
  </si>
  <si>
    <t>R8</t>
  </si>
  <si>
    <t>(R)-lactate_ext</t>
  </si>
  <si>
    <t>Reaction 7:  R8 :</t>
  </si>
  <si>
    <t>formaldehyde + tetrahydromethanopterin ==&gt; 5_10_methylene_tetrahydromethanopterin + H2O</t>
  </si>
  <si>
    <t>R9</t>
  </si>
  <si>
    <t>(R)-methylmalonyl-CoA</t>
  </si>
  <si>
    <r>
      <t>C</t>
    </r>
    <r>
      <rPr>
        <vertAlign val="subscript"/>
        <sz val="12"/>
        <color theme="1"/>
        <rFont val="Calibri"/>
        <family val="2"/>
        <scheme val="minor"/>
      </rPr>
      <t>25</t>
    </r>
    <r>
      <rPr>
        <sz val="11"/>
        <color theme="1"/>
        <rFont val="Calibri"/>
        <family val="2"/>
        <scheme val="minor"/>
      </rPr>
      <t>H</t>
    </r>
    <r>
      <rPr>
        <vertAlign val="subscript"/>
        <sz val="12"/>
        <color theme="1"/>
        <rFont val="Calibri"/>
        <family val="2"/>
        <scheme val="minor"/>
      </rPr>
      <t>35</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19</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</si>
  <si>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8:  R9 :</t>
  </si>
  <si>
    <t>5_10_methylene_tetrahydromethanopterin + NAD_ ==&gt; 5_10_methenyltetrahydromethanopterin + NADH</t>
  </si>
  <si>
    <t>R10</t>
  </si>
  <si>
    <t>(S)-malate</t>
  </si>
  <si>
    <r>
      <t>C</t>
    </r>
    <r>
      <rPr>
        <vertAlign val="subscript"/>
        <sz val="12"/>
        <color theme="1"/>
        <rFont val="Calibri"/>
        <family val="2"/>
        <scheme val="minor"/>
      </rPr>
      <t>4</t>
    </r>
    <r>
      <rPr>
        <sz val="11"/>
        <color theme="1"/>
        <rFont val="Calibri"/>
        <family val="2"/>
        <scheme val="minor"/>
      </rPr>
      <t>H</t>
    </r>
    <r>
      <rPr>
        <vertAlign val="subscript"/>
        <sz val="12"/>
        <color theme="1"/>
        <rFont val="Calibri"/>
        <family val="2"/>
        <scheme val="minor"/>
      </rPr>
      <t>4</t>
    </r>
    <r>
      <rPr>
        <sz val="11"/>
        <color theme="1"/>
        <rFont val="Calibri"/>
        <family val="2"/>
        <scheme val="minor"/>
      </rPr>
      <t>O</t>
    </r>
    <r>
      <rPr>
        <vertAlign val="subscript"/>
        <sz val="12"/>
        <color theme="1"/>
        <rFont val="Calibri"/>
        <family val="2"/>
        <scheme val="minor"/>
      </rPr>
      <t>5</t>
    </r>
  </si>
  <si>
    <t>Reaction 9:  R10 :</t>
  </si>
  <si>
    <t>5_10_methylene_tetrahydromethanopterin + NADP_ ==&gt; 5_10_methenyltetrahydromethanopterin + NADPH</t>
  </si>
  <si>
    <t>R11</t>
  </si>
  <si>
    <t>(S)-malyl-CoA</t>
  </si>
  <si>
    <r>
      <t>C</t>
    </r>
    <r>
      <rPr>
        <vertAlign val="subscript"/>
        <sz val="12"/>
        <color theme="1"/>
        <rFont val="Calibri"/>
        <family val="2"/>
        <scheme val="minor"/>
      </rPr>
      <t>25</t>
    </r>
    <r>
      <rPr>
        <sz val="11"/>
        <color theme="1"/>
        <rFont val="Calibri"/>
        <family val="2"/>
        <scheme val="minor"/>
      </rPr>
      <t>H</t>
    </r>
    <r>
      <rPr>
        <vertAlign val="subscript"/>
        <sz val="12"/>
        <color theme="1"/>
        <rFont val="Calibri"/>
        <family val="2"/>
        <scheme val="minor"/>
      </rPr>
      <t>35</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20</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</si>
  <si>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10:  R11 :</t>
  </si>
  <si>
    <t>5_10_methenyltetrahydromethanopterin + H2O &lt;==&gt; 5_formyl_tetrahydromethanopterin + H_</t>
  </si>
  <si>
    <t>R12</t>
  </si>
  <si>
    <t>(S)-methylmalonyl-CoA</t>
  </si>
  <si>
    <t>Reaction 11:  R12 :</t>
  </si>
  <si>
    <t>5_formyl_tetrahydromethanopterin + H2O ==&gt; formate + H_ + tetrahydromethanopterin</t>
  </si>
  <si>
    <t>R13</t>
  </si>
  <si>
    <t>10-formyl-tetrahydrofolate</t>
  </si>
  <si>
    <r>
      <t>C</t>
    </r>
    <r>
      <rPr>
        <vertAlign val="subscript"/>
        <sz val="11"/>
        <color theme="1"/>
        <rFont val="Calibri"/>
        <family val="2"/>
        <scheme val="minor"/>
      </rPr>
      <t>20</t>
    </r>
    <r>
      <rPr>
        <sz val="11"/>
        <color theme="1"/>
        <rFont val="Calibri"/>
        <family val="2"/>
        <scheme val="minor"/>
      </rPr>
      <t>H</t>
    </r>
    <r>
      <rPr>
        <vertAlign val="subscript"/>
        <sz val="11"/>
        <color theme="1"/>
        <rFont val="Calibri"/>
        <family val="2"/>
        <scheme val="minor"/>
      </rPr>
      <t>21</t>
    </r>
    <r>
      <rPr>
        <sz val="11"/>
        <color theme="1"/>
        <rFont val="Calibri"/>
        <family val="2"/>
        <scheme val="minor"/>
      </rPr>
      <t>N</t>
    </r>
    <r>
      <rPr>
        <vertAlign val="subscript"/>
        <sz val="11"/>
        <color theme="1"/>
        <rFont val="Calibri"/>
        <family val="2"/>
        <scheme val="minor"/>
      </rPr>
      <t>7</t>
    </r>
    <r>
      <rPr>
        <sz val="11"/>
        <color theme="1"/>
        <rFont val="Calibri"/>
        <family val="2"/>
        <scheme val="minor"/>
      </rPr>
      <t>O</t>
    </r>
    <r>
      <rPr>
        <vertAlign val="subscript"/>
        <sz val="11"/>
        <color theme="1"/>
        <rFont val="Calibri"/>
        <family val="2"/>
        <scheme val="minor"/>
      </rPr>
      <t>7</t>
    </r>
  </si>
  <si>
    <t>Reaction 12:  R13 :</t>
  </si>
  <si>
    <t>formaldehyde + tetrahydrofolate ==&gt; 5_10_methylenetetrahydrofolate + H2O</t>
  </si>
  <si>
    <t>R14</t>
  </si>
  <si>
    <t>2-dehydro-3-deoxy-D-gluconate_6-phosphate</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</si>
  <si>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8</t>
    </r>
    <r>
      <rPr>
        <sz val="11"/>
        <color theme="1"/>
        <rFont val="Calibri"/>
        <family val="2"/>
        <scheme val="minor"/>
      </rPr>
      <t>O</t>
    </r>
    <r>
      <rPr>
        <vertAlign val="subscript"/>
        <sz val="11"/>
        <color theme="1"/>
        <rFont val="Calibri"/>
        <family val="2"/>
        <scheme val="minor"/>
      </rPr>
      <t>9</t>
    </r>
    <r>
      <rPr>
        <sz val="11"/>
        <color theme="1"/>
        <rFont val="Calibri"/>
        <family val="2"/>
        <scheme val="minor"/>
      </rPr>
      <t>P</t>
    </r>
  </si>
  <si>
    <t>Reaction 13:  R14 :</t>
  </si>
  <si>
    <t>5_10_methylenetetrahydrofolate + NADP_ ==&gt; 5_10_methenyltetrahydrofolate + NADPH</t>
  </si>
  <si>
    <t>R15</t>
  </si>
  <si>
    <t>2-methylfumaryl-CoA</t>
  </si>
  <si>
    <r>
      <t>C</t>
    </r>
    <r>
      <rPr>
        <vertAlign val="subscript"/>
        <sz val="12"/>
        <color theme="1"/>
        <rFont val="Calibri"/>
        <family val="2"/>
        <scheme val="minor"/>
      </rPr>
      <t>26</t>
    </r>
    <r>
      <rPr>
        <sz val="11"/>
        <color theme="1"/>
        <rFont val="Calibri"/>
        <family val="2"/>
        <scheme val="minor"/>
      </rPr>
      <t>H</t>
    </r>
    <r>
      <rPr>
        <vertAlign val="subscript"/>
        <sz val="12"/>
        <color theme="1"/>
        <rFont val="Calibri"/>
        <family val="2"/>
        <scheme val="minor"/>
      </rPr>
      <t>35</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19</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</si>
  <si>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14:  R15 :</t>
  </si>
  <si>
    <t>5_10_methenyltetrahydrofolate + H2O &lt;==&gt; 10_formyl_tetrahydrofolate + H_</t>
  </si>
  <si>
    <t>R16</t>
  </si>
  <si>
    <r>
      <t>C</t>
    </r>
    <r>
      <rPr>
        <vertAlign val="subscript"/>
        <sz val="12"/>
        <color theme="1"/>
        <rFont val="Calibri"/>
        <family val="2"/>
        <scheme val="minor"/>
      </rPr>
      <t>5</t>
    </r>
    <r>
      <rPr>
        <sz val="11"/>
        <color theme="1"/>
        <rFont val="Calibri"/>
        <family val="2"/>
        <scheme val="minor"/>
      </rPr>
      <t>H</t>
    </r>
    <r>
      <rPr>
        <vertAlign val="subscript"/>
        <sz val="12"/>
        <color theme="1"/>
        <rFont val="Calibri"/>
        <family val="2"/>
        <scheme val="minor"/>
      </rPr>
      <t>4</t>
    </r>
    <r>
      <rPr>
        <sz val="11"/>
        <color theme="1"/>
        <rFont val="Calibri"/>
        <family val="2"/>
        <scheme val="minor"/>
      </rPr>
      <t>O</t>
    </r>
    <r>
      <rPr>
        <vertAlign val="subscript"/>
        <sz val="12"/>
        <color theme="1"/>
        <rFont val="Calibri"/>
        <family val="2"/>
        <scheme val="minor"/>
      </rPr>
      <t>5</t>
    </r>
  </si>
  <si>
    <t>Reaction 15:  R16 :</t>
  </si>
  <si>
    <t>ATP + formate + tetrahydrofolate &lt;==&gt; 10_formyl_tetrahydrofolate + ADP + phosphate</t>
  </si>
  <si>
    <t>R17</t>
  </si>
  <si>
    <t>2-phospho-D-glycerate</t>
  </si>
  <si>
    <r>
      <t>C</t>
    </r>
    <r>
      <rPr>
        <vertAlign val="subscript"/>
        <sz val="12"/>
        <color rgb="FF333333"/>
        <rFont val="Arial"/>
        <family val="2"/>
      </rPr>
      <t>3</t>
    </r>
    <r>
      <rPr>
        <sz val="10"/>
        <color rgb="FF333333"/>
        <rFont val="Arial"/>
        <family val="2"/>
      </rPr>
      <t>H</t>
    </r>
    <r>
      <rPr>
        <vertAlign val="subscript"/>
        <sz val="12"/>
        <color rgb="FF333333"/>
        <rFont val="Arial"/>
        <family val="2"/>
      </rPr>
      <t>4</t>
    </r>
    <r>
      <rPr>
        <sz val="10"/>
        <color rgb="FF333333"/>
        <rFont val="Arial"/>
        <family val="2"/>
      </rPr>
      <t>O</t>
    </r>
    <r>
      <rPr>
        <vertAlign val="subscript"/>
        <sz val="12"/>
        <color rgb="FF333333"/>
        <rFont val="Arial"/>
        <family val="2"/>
      </rPr>
      <t>7</t>
    </r>
    <r>
      <rPr>
        <sz val="10"/>
        <color rgb="FF333333"/>
        <rFont val="Arial"/>
        <family val="2"/>
      </rPr>
      <t>P</t>
    </r>
  </si>
  <si>
    <t>Reaction 16:  R17 :</t>
  </si>
  <si>
    <t>formate + NAD_ ==&gt; CO2 + NADH</t>
  </si>
  <si>
    <t>R18</t>
  </si>
  <si>
    <t>3-hydroxybutanoate</t>
  </si>
  <si>
    <r>
      <t>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7</t>
    </r>
    <r>
      <rPr>
        <sz val="11"/>
        <color theme="1"/>
        <rFont val="Calibri"/>
        <family val="2"/>
        <scheme val="minor"/>
      </rPr>
      <t>O</t>
    </r>
    <r>
      <rPr>
        <vertAlign val="subscript"/>
        <sz val="11"/>
        <color theme="1"/>
        <rFont val="Calibri"/>
        <family val="2"/>
        <scheme val="minor"/>
      </rPr>
      <t>3</t>
    </r>
  </si>
  <si>
    <t>Reaction 17:  R18 :</t>
  </si>
  <si>
    <t>5_10_methylenetetrahydrofolate + glycine + H2O &lt;==&gt; L_serine + tetrahydrofolate</t>
  </si>
  <si>
    <t>R19</t>
  </si>
  <si>
    <t>3-phospho-D-glycerate</t>
  </si>
  <si>
    <t>Reaction 18:  R19 :</t>
  </si>
  <si>
    <t>glyoxylate + L_serine &lt;==&gt; glycine + hydroxypyruvate</t>
  </si>
  <si>
    <t>R20</t>
  </si>
  <si>
    <t>3-phospho-D-glycerol_phosphate</t>
  </si>
  <si>
    <r>
      <t>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10</t>
    </r>
    <r>
      <rPr>
        <sz val="11"/>
        <color theme="1"/>
        <rFont val="Calibri"/>
        <family val="2"/>
        <scheme val="minor"/>
      </rPr>
      <t>P</t>
    </r>
    <r>
      <rPr>
        <vertAlign val="subscript"/>
        <sz val="11"/>
        <color theme="1"/>
        <rFont val="Calibri"/>
        <family val="2"/>
        <scheme val="minor"/>
      </rPr>
      <t>2</t>
    </r>
  </si>
  <si>
    <t>Reaction 19:  R20 :</t>
  </si>
  <si>
    <t>H_ + hydroxypyruvate + NADH ==&gt; D_glycerate + NAD_</t>
  </si>
  <si>
    <t>R21</t>
  </si>
  <si>
    <t>5,10-methenyltetrahydrofolate</t>
  </si>
  <si>
    <r>
      <t>C</t>
    </r>
    <r>
      <rPr>
        <vertAlign val="subscript"/>
        <sz val="11"/>
        <color theme="1"/>
        <rFont val="Calibri"/>
        <family val="2"/>
        <scheme val="minor"/>
      </rPr>
      <t>20</t>
    </r>
    <r>
      <rPr>
        <sz val="11"/>
        <color theme="1"/>
        <rFont val="Calibri"/>
        <family val="2"/>
        <scheme val="minor"/>
      </rPr>
      <t>H</t>
    </r>
    <r>
      <rPr>
        <vertAlign val="subscript"/>
        <sz val="11"/>
        <color theme="1"/>
        <rFont val="Calibri"/>
        <family val="2"/>
        <scheme val="minor"/>
      </rPr>
      <t>20</t>
    </r>
    <r>
      <rPr>
        <sz val="11"/>
        <color theme="1"/>
        <rFont val="Calibri"/>
        <family val="2"/>
        <scheme val="minor"/>
      </rPr>
      <t>N</t>
    </r>
    <r>
      <rPr>
        <vertAlign val="subscript"/>
        <sz val="11"/>
        <color theme="1"/>
        <rFont val="Calibri"/>
        <family val="2"/>
        <scheme val="minor"/>
      </rPr>
      <t>7</t>
    </r>
    <r>
      <rPr>
        <sz val="11"/>
        <color theme="1"/>
        <rFont val="Calibri"/>
        <family val="2"/>
        <scheme val="minor"/>
      </rPr>
      <t>O</t>
    </r>
    <r>
      <rPr>
        <vertAlign val="subscript"/>
        <sz val="11"/>
        <color theme="1"/>
        <rFont val="Calibri"/>
        <family val="2"/>
        <scheme val="minor"/>
      </rPr>
      <t>6</t>
    </r>
  </si>
  <si>
    <t>Reaction 20:  R21 :</t>
  </si>
  <si>
    <t>H_ + hydroxypyruvate + NADPH ==&gt; D_glycerate + NADP_</t>
  </si>
  <si>
    <t>R22</t>
  </si>
  <si>
    <t>5,10-methenyltetrahydromethanopterin</t>
  </si>
  <si>
    <r>
      <t>C</t>
    </r>
    <r>
      <rPr>
        <vertAlign val="subscript"/>
        <sz val="12"/>
        <color theme="1"/>
        <rFont val="Calibri"/>
        <family val="2"/>
        <scheme val="minor"/>
      </rPr>
      <t>31</t>
    </r>
    <r>
      <rPr>
        <sz val="11"/>
        <color theme="1"/>
        <rFont val="Calibri"/>
        <family val="2"/>
        <scheme val="minor"/>
      </rPr>
      <t>H</t>
    </r>
    <r>
      <rPr>
        <vertAlign val="subscript"/>
        <sz val="12"/>
        <color theme="1"/>
        <rFont val="Calibri"/>
        <family val="2"/>
        <scheme val="minor"/>
      </rPr>
      <t>41</t>
    </r>
    <r>
      <rPr>
        <sz val="11"/>
        <color theme="1"/>
        <rFont val="Calibri"/>
        <family val="2"/>
        <scheme val="minor"/>
      </rPr>
      <t>N</t>
    </r>
    <r>
      <rPr>
        <vertAlign val="subscript"/>
        <sz val="12"/>
        <color theme="1"/>
        <rFont val="Calibri"/>
        <family val="2"/>
        <scheme val="minor"/>
      </rPr>
      <t>6</t>
    </r>
    <r>
      <rPr>
        <sz val="11"/>
        <color theme="1"/>
        <rFont val="Calibri"/>
        <family val="2"/>
        <scheme val="minor"/>
      </rPr>
      <t>O</t>
    </r>
    <r>
      <rPr>
        <vertAlign val="subscript"/>
        <sz val="12"/>
        <color theme="1"/>
        <rFont val="Calibri"/>
        <family val="2"/>
        <scheme val="minor"/>
      </rPr>
      <t>16</t>
    </r>
    <r>
      <rPr>
        <sz val="11"/>
        <color theme="1"/>
        <rFont val="Calibri"/>
        <family val="2"/>
        <scheme val="minor"/>
      </rPr>
      <t>P</t>
    </r>
  </si>
  <si>
    <t>Reaction 21:  R22 :</t>
  </si>
  <si>
    <t>ATP + D_glycerate ==&gt; 2_phospho_D_glycerate + ADP + H_</t>
  </si>
  <si>
    <t>R23</t>
  </si>
  <si>
    <t>5,10-methylenetetrahydrofolate</t>
  </si>
  <si>
    <r>
      <t>C</t>
    </r>
    <r>
      <rPr>
        <vertAlign val="subscript"/>
        <sz val="12"/>
        <color theme="1"/>
        <rFont val="Calibri"/>
        <family val="2"/>
        <scheme val="minor"/>
      </rPr>
      <t>20</t>
    </r>
    <r>
      <rPr>
        <sz val="11"/>
        <color theme="1"/>
        <rFont val="Calibri"/>
        <family val="2"/>
        <scheme val="minor"/>
      </rPr>
      <t>H</t>
    </r>
    <r>
      <rPr>
        <vertAlign val="subscript"/>
        <sz val="12"/>
        <color theme="1"/>
        <rFont val="Calibri"/>
        <family val="2"/>
        <scheme val="minor"/>
      </rPr>
      <t>21</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6</t>
    </r>
  </si>
  <si>
    <t>Reaction 22:  R23 :</t>
  </si>
  <si>
    <t>2_phospho_D_glycerate &lt;==&gt; 3_phospho_D_glycerate</t>
  </si>
  <si>
    <t>R24</t>
  </si>
  <si>
    <t>5,10-methylene-tetrahydromethanopterin</t>
  </si>
  <si>
    <r>
      <t>C</t>
    </r>
    <r>
      <rPr>
        <vertAlign val="subscript"/>
        <sz val="12"/>
        <color theme="1"/>
        <rFont val="Calibri"/>
        <family val="2"/>
        <scheme val="minor"/>
      </rPr>
      <t>31</t>
    </r>
    <r>
      <rPr>
        <sz val="11"/>
        <color theme="1"/>
        <rFont val="Calibri"/>
        <family val="2"/>
        <scheme val="minor"/>
      </rPr>
      <t>H</t>
    </r>
    <r>
      <rPr>
        <vertAlign val="subscript"/>
        <sz val="12"/>
        <color theme="1"/>
        <rFont val="Calibri"/>
        <family val="2"/>
        <scheme val="minor"/>
      </rPr>
      <t>42</t>
    </r>
    <r>
      <rPr>
        <sz val="11"/>
        <color theme="1"/>
        <rFont val="Calibri"/>
        <family val="2"/>
        <scheme val="minor"/>
      </rPr>
      <t>N</t>
    </r>
    <r>
      <rPr>
        <vertAlign val="subscript"/>
        <sz val="12"/>
        <color theme="1"/>
        <rFont val="Calibri"/>
        <family val="2"/>
        <scheme val="minor"/>
      </rPr>
      <t>6</t>
    </r>
    <r>
      <rPr>
        <sz val="11"/>
        <color theme="1"/>
        <rFont val="Calibri"/>
        <family val="2"/>
        <scheme val="minor"/>
      </rPr>
      <t>O</t>
    </r>
    <r>
      <rPr>
        <vertAlign val="subscript"/>
        <sz val="12"/>
        <color theme="1"/>
        <rFont val="Calibri"/>
        <family val="2"/>
        <scheme val="minor"/>
      </rPr>
      <t>16</t>
    </r>
    <r>
      <rPr>
        <sz val="11"/>
        <color theme="1"/>
        <rFont val="Calibri"/>
        <family val="2"/>
        <scheme val="minor"/>
      </rPr>
      <t>P</t>
    </r>
  </si>
  <si>
    <t>Reaction 23:  R24 :</t>
  </si>
  <si>
    <t>2_phospho_D_glycerate &lt;==&gt; H2O + phosphoenolpyruvate</t>
  </si>
  <si>
    <t>R25</t>
  </si>
  <si>
    <t>5-formyl-tetrahydromethanopterin</t>
  </si>
  <si>
    <r>
      <t>C</t>
    </r>
    <r>
      <rPr>
        <vertAlign val="subscript"/>
        <sz val="12"/>
        <color theme="1"/>
        <rFont val="Calibri"/>
        <family val="2"/>
        <scheme val="minor"/>
      </rPr>
      <t>31</t>
    </r>
    <r>
      <rPr>
        <sz val="11"/>
        <color theme="1"/>
        <rFont val="Calibri"/>
        <family val="2"/>
        <scheme val="minor"/>
      </rPr>
      <t>H</t>
    </r>
    <r>
      <rPr>
        <vertAlign val="subscript"/>
        <sz val="12"/>
        <color theme="1"/>
        <rFont val="Calibri"/>
        <family val="2"/>
        <scheme val="minor"/>
      </rPr>
      <t>42</t>
    </r>
    <r>
      <rPr>
        <sz val="11"/>
        <color theme="1"/>
        <rFont val="Calibri"/>
        <family val="2"/>
        <scheme val="minor"/>
      </rPr>
      <t>N</t>
    </r>
    <r>
      <rPr>
        <vertAlign val="subscript"/>
        <sz val="12"/>
        <color theme="1"/>
        <rFont val="Calibri"/>
        <family val="2"/>
        <scheme val="minor"/>
      </rPr>
      <t>6</t>
    </r>
    <r>
      <rPr>
        <sz val="11"/>
        <color theme="1"/>
        <rFont val="Calibri"/>
        <family val="2"/>
        <scheme val="minor"/>
      </rPr>
      <t>O</t>
    </r>
    <r>
      <rPr>
        <vertAlign val="subscript"/>
        <sz val="12"/>
        <color theme="1"/>
        <rFont val="Calibri"/>
        <family val="2"/>
        <scheme val="minor"/>
      </rPr>
      <t>17</t>
    </r>
    <r>
      <rPr>
        <sz val="11"/>
        <color theme="1"/>
        <rFont val="Calibri"/>
        <family val="2"/>
        <scheme val="minor"/>
      </rPr>
      <t>P</t>
    </r>
  </si>
  <si>
    <t>Reaction 24:  R25 :</t>
  </si>
  <si>
    <t>hydrogencarbonate + phosphoenolpyruvate ==&gt; oxaloacetate + phosphate</t>
  </si>
  <si>
    <t>R26</t>
  </si>
  <si>
    <t>6-phospho_D-glucono-1,5-lactone</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</si>
  <si>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9</t>
    </r>
    <r>
      <rPr>
        <sz val="11"/>
        <color theme="1"/>
        <rFont val="Calibri"/>
        <family val="2"/>
        <scheme val="minor"/>
      </rPr>
      <t>O</t>
    </r>
    <r>
      <rPr>
        <vertAlign val="subscript"/>
        <sz val="11"/>
        <color theme="1"/>
        <rFont val="Calibri"/>
        <family val="2"/>
        <scheme val="minor"/>
      </rPr>
      <t>9</t>
    </r>
    <r>
      <rPr>
        <sz val="11"/>
        <color theme="1"/>
        <rFont val="Calibri"/>
        <family val="2"/>
        <scheme val="minor"/>
      </rPr>
      <t>P</t>
    </r>
  </si>
  <si>
    <t>Reaction 25:  R26 :</t>
  </si>
  <si>
    <t>H_ + NADH + oxaloacetate &lt;==&gt; _S__malate + NAD_</t>
  </si>
  <si>
    <t>R27</t>
  </si>
  <si>
    <r>
      <t>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4</t>
    </r>
    <r>
      <rPr>
        <sz val="11"/>
        <color theme="1"/>
        <rFont val="Calibri"/>
        <family val="2"/>
        <scheme val="minor"/>
      </rPr>
      <t>O</t>
    </r>
  </si>
  <si>
    <t>Reaction 26:  R27 :</t>
  </si>
  <si>
    <t>_S__malate + ATP + coenzyme_A &lt;==&gt; _S__malyl_CoA + ADP + phosphate</t>
  </si>
  <si>
    <t>R28</t>
  </si>
  <si>
    <r>
      <t>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3</t>
    </r>
    <r>
      <rPr>
        <sz val="11"/>
        <color theme="1"/>
        <rFont val="Calibri"/>
        <family val="2"/>
        <scheme val="minor"/>
      </rPr>
      <t>O</t>
    </r>
    <r>
      <rPr>
        <vertAlign val="subscript"/>
        <sz val="11"/>
        <color theme="1"/>
        <rFont val="Calibri"/>
        <family val="2"/>
        <scheme val="minor"/>
      </rPr>
      <t>2</t>
    </r>
  </si>
  <si>
    <t>Reaction 27:  R28 :</t>
  </si>
  <si>
    <t>_S__malyl_CoA &lt;==&gt; acetyl_CoA + glyoxylate</t>
  </si>
  <si>
    <t>R29</t>
  </si>
  <si>
    <t>Reaction 28:  R29 :</t>
  </si>
  <si>
    <t>2 acetyl_CoA &lt;==&gt; acetoacetyl_CoA + coenzyme_A</t>
  </si>
  <si>
    <t>R30</t>
  </si>
  <si>
    <r>
      <t>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5</t>
    </r>
    <r>
      <rPr>
        <sz val="11"/>
        <color theme="1"/>
        <rFont val="Calibri"/>
        <family val="2"/>
        <scheme val="minor"/>
      </rPr>
      <t>O</t>
    </r>
    <r>
      <rPr>
        <vertAlign val="subscript"/>
        <sz val="11"/>
        <color theme="1"/>
        <rFont val="Calibri"/>
        <family val="2"/>
        <scheme val="minor"/>
      </rPr>
      <t>3</t>
    </r>
  </si>
  <si>
    <t>Reaction 29:  R30 :</t>
  </si>
  <si>
    <t>acetoacetyl_CoA + H_ + NADPH ==&gt; _3R__3_hydroxybutanoyl_CoA + NADP_</t>
  </si>
  <si>
    <t>R31</t>
  </si>
  <si>
    <t>acetoacetyl-CoA</t>
  </si>
  <si>
    <r>
      <t>C</t>
    </r>
    <r>
      <rPr>
        <vertAlign val="subscript"/>
        <sz val="12"/>
        <color theme="1"/>
        <rFont val="Calibri"/>
        <family val="2"/>
        <scheme val="minor"/>
      </rPr>
      <t>25</t>
    </r>
    <r>
      <rPr>
        <sz val="11"/>
        <color theme="1"/>
        <rFont val="Calibri"/>
        <family val="2"/>
        <scheme val="minor"/>
      </rPr>
      <t>H</t>
    </r>
    <r>
      <rPr>
        <vertAlign val="subscript"/>
        <sz val="12"/>
        <color theme="1"/>
        <rFont val="Calibri"/>
        <family val="2"/>
        <scheme val="minor"/>
      </rPr>
      <t>36</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18</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</si>
  <si>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30:  R31 :</t>
  </si>
  <si>
    <t>_3R__3_hydroxybutanoyl_CoA &lt;==&gt; crotonyl_CoA + H2O</t>
  </si>
  <si>
    <t>R32</t>
  </si>
  <si>
    <r>
      <t>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6</t>
    </r>
    <r>
      <rPr>
        <sz val="11"/>
        <color theme="1"/>
        <rFont val="Calibri"/>
        <family val="2"/>
        <scheme val="minor"/>
      </rPr>
      <t>O</t>
    </r>
  </si>
  <si>
    <t>Reaction 31:  R32 :</t>
  </si>
  <si>
    <t>CO2 + crotonyl_CoA + NADPH ==&gt; _2S__ethylmalonyl_CoA + NADP_</t>
  </si>
  <si>
    <t>R33</t>
  </si>
  <si>
    <t>Reaction 32:  R33 :</t>
  </si>
  <si>
    <t>_2S__ethylmalonyl_CoA ==&gt; _2R__ethylmalonyl_CoA</t>
  </si>
  <si>
    <t>R34</t>
  </si>
  <si>
    <r>
      <t>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3</t>
    </r>
    <r>
      <rPr>
        <sz val="11"/>
        <color theme="1"/>
        <rFont val="Calibri"/>
        <family val="2"/>
        <scheme val="minor"/>
      </rPr>
      <t>O</t>
    </r>
    <r>
      <rPr>
        <vertAlign val="subscript"/>
        <sz val="11"/>
        <color theme="1"/>
        <rFont val="Calibri"/>
        <family val="2"/>
        <scheme val="minor"/>
      </rPr>
      <t>5</t>
    </r>
    <r>
      <rPr>
        <sz val="11"/>
        <color theme="1"/>
        <rFont val="Calibri"/>
        <family val="2"/>
        <scheme val="minor"/>
      </rPr>
      <t>P</t>
    </r>
  </si>
  <si>
    <t>Reaction 33:  R34 :</t>
  </si>
  <si>
    <t>_2R__ethylmalonyl_CoA ==&gt; _2S__methylsuccinyl_CoA</t>
  </si>
  <si>
    <t>R35</t>
  </si>
  <si>
    <r>
      <t>C</t>
    </r>
    <r>
      <rPr>
        <vertAlign val="subscript"/>
        <sz val="12"/>
        <color theme="1"/>
        <rFont val="Calibri"/>
        <family val="2"/>
        <scheme val="minor"/>
      </rPr>
      <t>23</t>
    </r>
    <r>
      <rPr>
        <sz val="11"/>
        <color theme="1"/>
        <rFont val="Calibri"/>
        <family val="2"/>
        <scheme val="minor"/>
      </rPr>
      <t>H</t>
    </r>
    <r>
      <rPr>
        <vertAlign val="subscript"/>
        <sz val="12"/>
        <color theme="1"/>
        <rFont val="Calibri"/>
        <family val="2"/>
        <scheme val="minor"/>
      </rPr>
      <t>34</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17</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</si>
  <si>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34:  R35 :</t>
  </si>
  <si>
    <t>_2S__methylsuccinyl_CoA + Q ==&gt; 2_methylfumaryl_CoA + QH2</t>
  </si>
  <si>
    <t>R36</t>
  </si>
  <si>
    <t>a-D-glucopyranose_1-phosphate</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</si>
  <si>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11</t>
    </r>
    <r>
      <rPr>
        <sz val="11"/>
        <color theme="1"/>
        <rFont val="Calibri"/>
        <family val="2"/>
        <scheme val="minor"/>
      </rPr>
      <t>O</t>
    </r>
    <r>
      <rPr>
        <vertAlign val="subscript"/>
        <sz val="11"/>
        <color theme="1"/>
        <rFont val="Calibri"/>
        <family val="2"/>
        <scheme val="minor"/>
      </rPr>
      <t>9</t>
    </r>
    <r>
      <rPr>
        <sz val="11"/>
        <color theme="1"/>
        <rFont val="Calibri"/>
        <family val="2"/>
        <scheme val="minor"/>
      </rPr>
      <t>P</t>
    </r>
  </si>
  <si>
    <t>Reaction 35:  R36 :</t>
  </si>
  <si>
    <t>2_methylfumaryl_CoA + H2O &lt;==&gt; _2R_3S__B_methylmalyl_CoA</t>
  </si>
  <si>
    <t>R38</t>
  </si>
  <si>
    <t>Reaction 36:  R38 :</t>
  </si>
  <si>
    <t>_2R_3S__B_methylmalyl_CoA &lt;==&gt; glyoxylate + propanoyl_CoA</t>
  </si>
  <si>
    <t>R39</t>
  </si>
  <si>
    <t>ADP-a-D-glucose</t>
  </si>
  <si>
    <r>
      <t>C</t>
    </r>
    <r>
      <rPr>
        <vertAlign val="subscript"/>
        <sz val="11"/>
        <color theme="1"/>
        <rFont val="Calibri"/>
        <family val="2"/>
        <scheme val="minor"/>
      </rPr>
      <t>16</t>
    </r>
    <r>
      <rPr>
        <sz val="11"/>
        <color theme="1"/>
        <rFont val="Calibri"/>
        <family val="2"/>
        <scheme val="minor"/>
      </rPr>
      <t>H</t>
    </r>
    <r>
      <rPr>
        <vertAlign val="subscript"/>
        <sz val="11"/>
        <color theme="1"/>
        <rFont val="Calibri"/>
        <family val="2"/>
        <scheme val="minor"/>
      </rPr>
      <t>23</t>
    </r>
    <r>
      <rPr>
        <sz val="11"/>
        <color theme="1"/>
        <rFont val="Calibri"/>
        <family val="2"/>
        <scheme val="minor"/>
      </rPr>
      <t>N</t>
    </r>
    <r>
      <rPr>
        <vertAlign val="subscript"/>
        <sz val="11"/>
        <color theme="1"/>
        <rFont val="Calibri"/>
        <family val="2"/>
        <scheme val="minor"/>
      </rPr>
      <t>5</t>
    </r>
    <r>
      <rPr>
        <sz val="11"/>
        <color theme="1"/>
        <rFont val="Calibri"/>
        <family val="2"/>
        <scheme val="minor"/>
      </rPr>
      <t>O</t>
    </r>
    <r>
      <rPr>
        <vertAlign val="subscript"/>
        <sz val="11"/>
        <color theme="1"/>
        <rFont val="Calibri"/>
        <family val="2"/>
        <scheme val="minor"/>
      </rPr>
      <t>15</t>
    </r>
    <r>
      <rPr>
        <sz val="11"/>
        <color theme="1"/>
        <rFont val="Calibri"/>
        <family val="2"/>
        <scheme val="minor"/>
      </rPr>
      <t>P</t>
    </r>
    <r>
      <rPr>
        <vertAlign val="subscript"/>
        <sz val="11"/>
        <color theme="1"/>
        <rFont val="Calibri"/>
        <family val="2"/>
        <scheme val="minor"/>
      </rPr>
      <t>2</t>
    </r>
  </si>
  <si>
    <t>Reaction 37:  R39 :</t>
  </si>
  <si>
    <t>ATP + hydrogencarbonate + propanoyl_CoA &lt;==&gt; _S__methylmalonyl_CoA + ADP + H_ + phosphate</t>
  </si>
  <si>
    <t>R40</t>
  </si>
  <si>
    <r>
      <t>NH</t>
    </r>
    <r>
      <rPr>
        <vertAlign val="subscript"/>
        <sz val="11"/>
        <color theme="1"/>
        <rFont val="Calibri"/>
        <family val="2"/>
        <scheme val="minor"/>
      </rPr>
      <t>3</t>
    </r>
  </si>
  <si>
    <t>Reaction 38:  R40 :</t>
  </si>
  <si>
    <t>_S__methylmalonyl_CoA &lt;==&gt; _R__methylmalonyl_CoA</t>
  </si>
  <si>
    <t>R41</t>
  </si>
  <si>
    <r>
      <t>NH</t>
    </r>
    <r>
      <rPr>
        <vertAlign val="subscript"/>
        <sz val="11"/>
        <color theme="1"/>
        <rFont val="Calibri"/>
        <family val="2"/>
        <scheme val="minor"/>
      </rPr>
      <t>4</t>
    </r>
  </si>
  <si>
    <t>Reaction 39:  R41 :</t>
  </si>
  <si>
    <t>_R__methylmalonyl_CoA &lt;==&gt; succinyl_CoA</t>
  </si>
  <si>
    <t>R42</t>
  </si>
  <si>
    <t>Reaction 40:  R42 :</t>
  </si>
  <si>
    <t>coenzyme_A + NAD_ + pyruvate ==&gt; acetyl_CoA + CO2 + NADH</t>
  </si>
  <si>
    <t>R43</t>
  </si>
  <si>
    <r>
      <t>C</t>
    </r>
    <r>
      <rPr>
        <vertAlign val="subscript"/>
        <sz val="12"/>
        <color theme="1"/>
        <rFont val="Calibri"/>
        <family val="2"/>
        <scheme val="minor"/>
      </rPr>
      <t>10</t>
    </r>
    <r>
      <rPr>
        <sz val="11"/>
        <color theme="1"/>
        <rFont val="Calibri"/>
        <family val="2"/>
        <scheme val="minor"/>
      </rPr>
      <t>H</t>
    </r>
    <r>
      <rPr>
        <vertAlign val="subscript"/>
        <sz val="12"/>
        <color theme="1"/>
        <rFont val="Calibri"/>
        <family val="2"/>
        <scheme val="minor"/>
      </rPr>
      <t>12</t>
    </r>
    <r>
      <rPr>
        <sz val="11"/>
        <color theme="1"/>
        <rFont val="Calibri"/>
        <family val="2"/>
        <scheme val="minor"/>
      </rPr>
      <t>N</t>
    </r>
    <r>
      <rPr>
        <vertAlign val="subscript"/>
        <sz val="12"/>
        <color theme="1"/>
        <rFont val="Calibri"/>
        <family val="2"/>
        <scheme val="minor"/>
      </rPr>
      <t>5</t>
    </r>
    <r>
      <rPr>
        <sz val="11"/>
        <color theme="1"/>
        <rFont val="Calibri"/>
        <family val="2"/>
        <scheme val="minor"/>
      </rPr>
      <t>O</t>
    </r>
    <r>
      <rPr>
        <vertAlign val="subscript"/>
        <sz val="12"/>
        <color theme="1"/>
        <rFont val="Calibri"/>
        <family val="2"/>
        <scheme val="minor"/>
      </rPr>
      <t>7</t>
    </r>
    <r>
      <rPr>
        <sz val="11"/>
        <color theme="1"/>
        <rFont val="Calibri"/>
        <family val="2"/>
        <scheme val="minor"/>
      </rPr>
      <t>P</t>
    </r>
  </si>
  <si>
    <t>Reaction 41:  R43 :</t>
  </si>
  <si>
    <t>acetyl_CoA + H2O + oxaloacetate ==&gt; citrate + coenzyme_A + H_</t>
  </si>
  <si>
    <t>R44</t>
  </si>
  <si>
    <r>
      <t>C</t>
    </r>
    <r>
      <rPr>
        <vertAlign val="subscript"/>
        <sz val="12"/>
        <color rgb="FF333333"/>
        <rFont val="Arial"/>
        <family val="2"/>
      </rPr>
      <t>10</t>
    </r>
    <r>
      <rPr>
        <sz val="10"/>
        <color rgb="FF333333"/>
        <rFont val="Arial"/>
        <family val="2"/>
      </rPr>
      <t>H</t>
    </r>
    <r>
      <rPr>
        <vertAlign val="subscript"/>
        <sz val="12"/>
        <color rgb="FF333333"/>
        <rFont val="Arial"/>
        <family val="2"/>
      </rPr>
      <t>12</t>
    </r>
    <r>
      <rPr>
        <sz val="10"/>
        <color rgb="FF333333"/>
        <rFont val="Arial"/>
        <family val="2"/>
      </rPr>
      <t>N</t>
    </r>
    <r>
      <rPr>
        <vertAlign val="subscript"/>
        <sz val="12"/>
        <color rgb="FF333333"/>
        <rFont val="Arial"/>
        <family val="2"/>
      </rPr>
      <t>5</t>
    </r>
    <r>
      <rPr>
        <sz val="10"/>
        <color rgb="FF333333"/>
        <rFont val="Arial"/>
        <family val="2"/>
      </rPr>
      <t>O</t>
    </r>
    <r>
      <rPr>
        <vertAlign val="subscript"/>
        <sz val="12"/>
        <color rgb="FF333333"/>
        <rFont val="Arial"/>
        <family val="2"/>
      </rPr>
      <t>13</t>
    </r>
    <r>
      <rPr>
        <sz val="10"/>
        <color rgb="FF333333"/>
        <rFont val="Arial"/>
        <family val="2"/>
      </rPr>
      <t>P</t>
    </r>
    <r>
      <rPr>
        <vertAlign val="subscript"/>
        <sz val="12"/>
        <color rgb="FF333333"/>
        <rFont val="Arial"/>
        <family val="2"/>
      </rPr>
      <t>3</t>
    </r>
  </si>
  <si>
    <t>Reaction 42:  R44 :</t>
  </si>
  <si>
    <t>citrate &lt;==&gt; D_threo_isocitrate</t>
  </si>
  <si>
    <t>R45</t>
  </si>
  <si>
    <t>N/A</t>
  </si>
  <si>
    <t>Reaction 43:  R45 :</t>
  </si>
  <si>
    <t>D_threo_isocitrate + NADP_ ==&gt; 2_oxoglutarate + CO2 + NADPH</t>
  </si>
  <si>
    <t>R46</t>
  </si>
  <si>
    <t>B-D-fructofuranose_1,6-bisphosphate</t>
  </si>
  <si>
    <r>
      <t>C</t>
    </r>
    <r>
      <rPr>
        <vertAlign val="subscript"/>
        <sz val="12"/>
        <color theme="1"/>
        <rFont val="Calibri"/>
        <family val="2"/>
        <scheme val="minor"/>
      </rPr>
      <t>6</t>
    </r>
    <r>
      <rPr>
        <sz val="11"/>
        <color theme="1"/>
        <rFont val="Calibri"/>
        <family val="2"/>
        <scheme val="minor"/>
      </rPr>
      <t>H</t>
    </r>
    <r>
      <rPr>
        <vertAlign val="subscript"/>
        <sz val="12"/>
        <color theme="1"/>
        <rFont val="Calibri"/>
        <family val="2"/>
        <scheme val="minor"/>
      </rPr>
      <t>10</t>
    </r>
    <r>
      <rPr>
        <sz val="11"/>
        <color theme="1"/>
        <rFont val="Calibri"/>
        <family val="2"/>
        <scheme val="minor"/>
      </rPr>
      <t>O</t>
    </r>
    <r>
      <rPr>
        <vertAlign val="subscript"/>
        <sz val="12"/>
        <color theme="1"/>
        <rFont val="Calibri"/>
        <family val="2"/>
        <scheme val="minor"/>
      </rPr>
      <t>12</t>
    </r>
    <r>
      <rPr>
        <sz val="11"/>
        <color theme="1"/>
        <rFont val="Calibri"/>
        <family val="2"/>
        <scheme val="minor"/>
      </rPr>
      <t>P</t>
    </r>
    <r>
      <rPr>
        <vertAlign val="subscript"/>
        <sz val="12"/>
        <color theme="1"/>
        <rFont val="Calibri"/>
        <family val="2"/>
        <scheme val="minor"/>
      </rPr>
      <t>2</t>
    </r>
  </si>
  <si>
    <t>Reaction 44:  R46 :</t>
  </si>
  <si>
    <t>D_threo_isocitrate + NAD_ ==&gt; 2_oxoglutarate + CO2 + NADH</t>
  </si>
  <si>
    <t>R47</t>
  </si>
  <si>
    <t>B-D-fructofuranose_6-phosphate</t>
  </si>
  <si>
    <r>
      <t>C</t>
    </r>
    <r>
      <rPr>
        <vertAlign val="subscript"/>
        <sz val="12"/>
        <color theme="1"/>
        <rFont val="Calibri"/>
        <family val="2"/>
        <scheme val="minor"/>
      </rPr>
      <t>6</t>
    </r>
    <r>
      <rPr>
        <sz val="11"/>
        <color theme="1"/>
        <rFont val="Calibri"/>
        <family val="2"/>
        <scheme val="minor"/>
      </rPr>
      <t>H</t>
    </r>
    <r>
      <rPr>
        <vertAlign val="subscript"/>
        <sz val="12"/>
        <color theme="1"/>
        <rFont val="Calibri"/>
        <family val="2"/>
        <scheme val="minor"/>
      </rPr>
      <t>11</t>
    </r>
    <r>
      <rPr>
        <sz val="11"/>
        <color theme="1"/>
        <rFont val="Calibri"/>
        <family val="2"/>
        <scheme val="minor"/>
      </rPr>
      <t>O</t>
    </r>
    <r>
      <rPr>
        <vertAlign val="subscript"/>
        <sz val="12"/>
        <color theme="1"/>
        <rFont val="Calibri"/>
        <family val="2"/>
        <scheme val="minor"/>
      </rPr>
      <t>9</t>
    </r>
    <r>
      <rPr>
        <sz val="11"/>
        <color theme="1"/>
        <rFont val="Calibri"/>
        <family val="2"/>
        <scheme val="minor"/>
      </rPr>
      <t>P</t>
    </r>
  </si>
  <si>
    <t>Reaction 45:  R47 :</t>
  </si>
  <si>
    <t>2_oxoglutarate + coenzyme_A + NAD_ ==&gt; CO2 + NADH + succinyl_CoA</t>
  </si>
  <si>
    <t>R48</t>
  </si>
  <si>
    <t>Reaction 46:  R48 :</t>
  </si>
  <si>
    <t>ADP + phosphate + succinyl_CoA &lt;==&gt; ATP + coenzyme_A + succinate</t>
  </si>
  <si>
    <t>R49</t>
  </si>
  <si>
    <t>Reaction 47:  R49 :</t>
  </si>
  <si>
    <t>Q + succinate &lt;==&gt; fumarate + QH2</t>
  </si>
  <si>
    <t>R50</t>
  </si>
  <si>
    <r>
      <t>C</t>
    </r>
    <r>
      <rPr>
        <vertAlign val="subscript"/>
        <sz val="12"/>
        <color theme="1"/>
        <rFont val="Calibri"/>
        <family val="2"/>
        <scheme val="minor"/>
      </rPr>
      <t>6</t>
    </r>
    <r>
      <rPr>
        <sz val="11"/>
        <color theme="1"/>
        <rFont val="Calibri"/>
        <family val="2"/>
        <scheme val="minor"/>
      </rPr>
      <t>H</t>
    </r>
    <r>
      <rPr>
        <vertAlign val="subscript"/>
        <sz val="12"/>
        <color theme="1"/>
        <rFont val="Calibri"/>
        <family val="2"/>
        <scheme val="minor"/>
      </rPr>
      <t>5</t>
    </r>
    <r>
      <rPr>
        <sz val="11"/>
        <color theme="1"/>
        <rFont val="Calibri"/>
        <family val="2"/>
        <scheme val="minor"/>
      </rPr>
      <t>O</t>
    </r>
    <r>
      <rPr>
        <vertAlign val="subscript"/>
        <sz val="12"/>
        <color theme="1"/>
        <rFont val="Calibri"/>
        <family val="2"/>
        <scheme val="minor"/>
      </rPr>
      <t>7</t>
    </r>
  </si>
  <si>
    <t>Reaction 48:  R50 :</t>
  </si>
  <si>
    <t>fumarate + H2O &lt;==&gt; _S__malate</t>
  </si>
  <si>
    <t>R51</t>
  </si>
  <si>
    <t xml:space="preserve">CO2 </t>
  </si>
  <si>
    <r>
      <t>CO</t>
    </r>
    <r>
      <rPr>
        <vertAlign val="subscript"/>
        <sz val="12"/>
        <color theme="1"/>
        <rFont val="Calibri"/>
        <family val="2"/>
        <scheme val="minor"/>
      </rPr>
      <t>2</t>
    </r>
  </si>
  <si>
    <t>Reaction 49:  R51 :</t>
  </si>
  <si>
    <t>_S__malate + NADP_ ==&gt; CO2 + NADPH + pyruvate</t>
  </si>
  <si>
    <t>R52</t>
  </si>
  <si>
    <t>Reaction 50:  R52 :</t>
  </si>
  <si>
    <t>_S__malate + NAD_ ==&gt; CO2 + NADH + pyruvate</t>
  </si>
  <si>
    <t>R53</t>
  </si>
  <si>
    <t>Reaction 51:  R53 :</t>
  </si>
  <si>
    <t>ATP + hydrogencarbonate + pyruvate ==&gt; ADP + H_ + oxaloacetate + phosphate</t>
  </si>
  <si>
    <t>R54</t>
  </si>
  <si>
    <t>Reaction 52:  R54 :</t>
  </si>
  <si>
    <t>B_D_fructofuranose_6_phosphate ==&gt; D_glucopyranose_6_phosphate</t>
  </si>
  <si>
    <t>R55</t>
  </si>
  <si>
    <t>Reaction 53:  R55 :</t>
  </si>
  <si>
    <t>B_D_fructofuranose_1_6_bisphosphate + H_ + phosphate &lt;==&gt; B_D_fructofuranose_6_phosphate + diphosphate</t>
  </si>
  <si>
    <t>R56</t>
  </si>
  <si>
    <t>crotonyl-CoA</t>
  </si>
  <si>
    <r>
      <t>C</t>
    </r>
    <r>
      <rPr>
        <vertAlign val="subscript"/>
        <sz val="12"/>
        <color theme="1"/>
        <rFont val="Calibri"/>
        <family val="2"/>
        <scheme val="minor"/>
      </rPr>
      <t>25</t>
    </r>
    <r>
      <rPr>
        <sz val="11"/>
        <color theme="1"/>
        <rFont val="Calibri"/>
        <family val="2"/>
        <scheme val="minor"/>
      </rPr>
      <t>H</t>
    </r>
    <r>
      <rPr>
        <vertAlign val="subscript"/>
        <sz val="12"/>
        <color theme="1"/>
        <rFont val="Calibri"/>
        <family val="2"/>
        <scheme val="minor"/>
      </rPr>
      <t>36</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17</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</si>
  <si>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t>Reaction 54:  R56 :</t>
  </si>
  <si>
    <t>D_glyceraldehyde_3_phosphate + glycerone_phosphate &lt;==&gt; B_D_fructofuranose_1_6_bisphosphate</t>
  </si>
  <si>
    <t>R57</t>
  </si>
  <si>
    <t>Reaction 55:  R57 :</t>
  </si>
  <si>
    <t>D_glyceraldehyde_3_phosphate &lt;==&gt; glycerone_phosphate</t>
  </si>
  <si>
    <t>R58</t>
  </si>
  <si>
    <t>Reaction 56:  R58 :</t>
  </si>
  <si>
    <t>3_phospho_D_glycerol_phosphate + H_ + NADH &lt;==&gt; D_glyceraldehyde_3_phosphate + NAD_ + phosphate</t>
  </si>
  <si>
    <t>R59</t>
  </si>
  <si>
    <r>
      <t>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7</t>
    </r>
    <r>
      <rPr>
        <sz val="11"/>
        <color theme="1"/>
        <rFont val="Calibri"/>
        <family val="2"/>
        <scheme val="minor"/>
      </rPr>
      <t>O</t>
    </r>
    <r>
      <rPr>
        <vertAlign val="subscript"/>
        <sz val="11"/>
        <color theme="1"/>
        <rFont val="Calibri"/>
        <family val="2"/>
        <scheme val="minor"/>
      </rPr>
      <t>7</t>
    </r>
    <r>
      <rPr>
        <sz val="11"/>
        <color theme="1"/>
        <rFont val="Calibri"/>
        <family val="2"/>
        <scheme val="minor"/>
      </rPr>
      <t>P</t>
    </r>
  </si>
  <si>
    <t>Reaction 57:  R59 :</t>
  </si>
  <si>
    <t>3_phospho_D_glycerate + ATP &lt;==&gt; 3_phospho_D_glycerol_phosphate + ADP</t>
  </si>
  <si>
    <t>R60</t>
  </si>
  <si>
    <t>D-gluconate_6-phosphate</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</si>
  <si>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10</t>
    </r>
    <r>
      <rPr>
        <sz val="11"/>
        <color theme="1"/>
        <rFont val="Calibri"/>
        <family val="2"/>
        <scheme val="minor"/>
      </rPr>
      <t>O</t>
    </r>
    <r>
      <rPr>
        <vertAlign val="subscript"/>
        <sz val="11"/>
        <color theme="1"/>
        <rFont val="Calibri"/>
        <family val="2"/>
        <scheme val="minor"/>
      </rPr>
      <t>10</t>
    </r>
    <r>
      <rPr>
        <sz val="11"/>
        <color theme="1"/>
        <rFont val="Calibri"/>
        <family val="2"/>
        <scheme val="minor"/>
      </rPr>
      <t>P</t>
    </r>
  </si>
  <si>
    <t>Reaction 58:  R60 :</t>
  </si>
  <si>
    <t>AMP + diphosphate + H_ + phosphoenolpyruvate &lt;==&gt; ATP + phosphate + pyruvate</t>
  </si>
  <si>
    <t>R69</t>
  </si>
  <si>
    <t>Reaction 59:  R69 :</t>
  </si>
  <si>
    <t>D_ribose_5_phosphate + D_xylulose_5_phosphate &lt;==&gt; D_glyceraldehyde_3_phosphate + D_sedoheptulose_7_phosphate</t>
  </si>
  <si>
    <t>R70</t>
  </si>
  <si>
    <t>D-glyceraldehyde_3-phosphate</t>
  </si>
  <si>
    <r>
      <t>C</t>
    </r>
    <r>
      <rPr>
        <vertAlign val="subscript"/>
        <sz val="12"/>
        <color rgb="FF333333"/>
        <rFont val="Arial"/>
        <family val="2"/>
      </rPr>
      <t>3</t>
    </r>
    <r>
      <rPr>
        <sz val="10"/>
        <color rgb="FF333333"/>
        <rFont val="Arial"/>
        <family val="2"/>
      </rPr>
      <t>H</t>
    </r>
    <r>
      <rPr>
        <vertAlign val="subscript"/>
        <sz val="12"/>
        <color rgb="FF333333"/>
        <rFont val="Arial"/>
        <family val="2"/>
      </rPr>
      <t>5</t>
    </r>
    <r>
      <rPr>
        <sz val="10"/>
        <color rgb="FF333333"/>
        <rFont val="Arial"/>
        <family val="2"/>
      </rPr>
      <t>O</t>
    </r>
    <r>
      <rPr>
        <vertAlign val="subscript"/>
        <sz val="12"/>
        <color rgb="FF333333"/>
        <rFont val="Arial"/>
        <family val="2"/>
      </rPr>
      <t>6</t>
    </r>
    <r>
      <rPr>
        <sz val="10"/>
        <color rgb="FF333333"/>
        <rFont val="Arial"/>
        <family val="2"/>
      </rPr>
      <t>P</t>
    </r>
  </si>
  <si>
    <t>Reaction 60:  R70 :</t>
  </si>
  <si>
    <t>D_erythrose_4_phosphate + D_xylulose_5_phosphate &lt;==&gt; B_D_fructofuranose_6_phosphate + D_glyceraldehyde_3_phosphate</t>
  </si>
  <si>
    <t>R71</t>
  </si>
  <si>
    <t>D-glycerate</t>
  </si>
  <si>
    <r>
      <t>C</t>
    </r>
    <r>
      <rPr>
        <vertAlign val="subscript"/>
        <sz val="12"/>
        <color theme="1"/>
        <rFont val="Calibri"/>
        <family val="2"/>
        <scheme val="minor"/>
      </rPr>
      <t>3</t>
    </r>
    <r>
      <rPr>
        <sz val="11"/>
        <color theme="1"/>
        <rFont val="Calibri"/>
        <family val="2"/>
        <scheme val="minor"/>
      </rPr>
      <t>H</t>
    </r>
    <r>
      <rPr>
        <vertAlign val="subscript"/>
        <sz val="12"/>
        <color theme="1"/>
        <rFont val="Calibri"/>
        <family val="2"/>
        <scheme val="minor"/>
      </rPr>
      <t>5</t>
    </r>
    <r>
      <rPr>
        <sz val="11"/>
        <color theme="1"/>
        <rFont val="Calibri"/>
        <family val="2"/>
        <scheme val="minor"/>
      </rPr>
      <t>O</t>
    </r>
    <r>
      <rPr>
        <vertAlign val="subscript"/>
        <sz val="12"/>
        <color theme="1"/>
        <rFont val="Calibri"/>
        <family val="2"/>
        <scheme val="minor"/>
      </rPr>
      <t>4</t>
    </r>
  </si>
  <si>
    <t>Reaction 61:  R71 :</t>
  </si>
  <si>
    <t>D_ribulose_5_phosphate &lt;==&gt; D_xylulose_5_phosphate</t>
  </si>
  <si>
    <t>R72</t>
  </si>
  <si>
    <r>
      <t>HO</t>
    </r>
    <r>
      <rPr>
        <vertAlign val="subscript"/>
        <sz val="12"/>
        <color rgb="FF333333"/>
        <rFont val="Arial"/>
        <family val="2"/>
      </rPr>
      <t>7</t>
    </r>
    <r>
      <rPr>
        <sz val="10"/>
        <color rgb="FF333333"/>
        <rFont val="Arial"/>
        <family val="2"/>
      </rPr>
      <t>P</t>
    </r>
    <r>
      <rPr>
        <vertAlign val="subscript"/>
        <sz val="12"/>
        <color rgb="FF333333"/>
        <rFont val="Arial"/>
        <family val="2"/>
      </rPr>
      <t>2</t>
    </r>
  </si>
  <si>
    <t>Reaction 62:  R72 :</t>
  </si>
  <si>
    <t>D_ribose_5_phosphate &lt;==&gt; D_ribulose_5_phosphate</t>
  </si>
  <si>
    <t>R73</t>
  </si>
  <si>
    <r>
      <t>C</t>
    </r>
    <r>
      <rPr>
        <vertAlign val="subscript"/>
        <sz val="11"/>
        <color theme="1"/>
        <rFont val="Calibri"/>
        <family val="2"/>
        <scheme val="minor"/>
      </rPr>
      <t>5</t>
    </r>
    <r>
      <rPr>
        <sz val="11"/>
        <color theme="1"/>
        <rFont val="Calibri"/>
        <family val="2"/>
        <scheme val="minor"/>
      </rPr>
      <t>H</t>
    </r>
    <r>
      <rPr>
        <vertAlign val="subscript"/>
        <sz val="11"/>
        <color theme="1"/>
        <rFont val="Calibri"/>
        <family val="2"/>
        <scheme val="minor"/>
      </rPr>
      <t>9</t>
    </r>
    <r>
      <rPr>
        <sz val="11"/>
        <color theme="1"/>
        <rFont val="Calibri"/>
        <family val="2"/>
        <scheme val="minor"/>
      </rPr>
      <t>O</t>
    </r>
    <r>
      <rPr>
        <vertAlign val="subscript"/>
        <sz val="11"/>
        <color theme="1"/>
        <rFont val="Calibri"/>
        <family val="2"/>
        <scheme val="minor"/>
      </rPr>
      <t>8</t>
    </r>
    <r>
      <rPr>
        <sz val="11"/>
        <color theme="1"/>
        <rFont val="Calibri"/>
        <family val="2"/>
        <scheme val="minor"/>
      </rPr>
      <t>P</t>
    </r>
  </si>
  <si>
    <t>Reaction 63:  R73 :</t>
  </si>
  <si>
    <t>D_glyceraldehyde_3_phosphate + D_sedoheptulose_7_phosphate &lt;==&gt; B_D_fructofuranose_6_phosphate + D_erythrose_4_phosphate</t>
  </si>
  <si>
    <t>R74</t>
  </si>
  <si>
    <t>D-ribulose_5-phosphate</t>
  </si>
  <si>
    <t>Reaction 64:  R74 :</t>
  </si>
  <si>
    <t>_3R__3_hydroxybutanoyl_CoA + H2O ==&gt; coenzyme_A + H_ + polyhydroxybutyrate_produced</t>
  </si>
  <si>
    <t>R75</t>
  </si>
  <si>
    <t>D-sedoheptulose_7-phosphate</t>
  </si>
  <si>
    <r>
      <t>C</t>
    </r>
    <r>
      <rPr>
        <vertAlign val="subscript"/>
        <sz val="12"/>
        <color theme="1"/>
        <rFont val="Calibri"/>
        <family val="2"/>
        <scheme val="minor"/>
      </rPr>
      <t>7</t>
    </r>
    <r>
      <rPr>
        <sz val="11"/>
        <color theme="1"/>
        <rFont val="Calibri"/>
        <family val="2"/>
        <scheme val="minor"/>
      </rPr>
      <t>H</t>
    </r>
    <r>
      <rPr>
        <vertAlign val="subscript"/>
        <sz val="12"/>
        <color theme="1"/>
        <rFont val="Calibri"/>
        <family val="2"/>
        <scheme val="minor"/>
      </rPr>
      <t>13</t>
    </r>
    <r>
      <rPr>
        <sz val="11"/>
        <color theme="1"/>
        <rFont val="Calibri"/>
        <family val="2"/>
        <scheme val="minor"/>
      </rPr>
      <t>O</t>
    </r>
    <r>
      <rPr>
        <vertAlign val="subscript"/>
        <sz val="12"/>
        <color theme="1"/>
        <rFont val="Calibri"/>
        <family val="2"/>
        <scheme val="minor"/>
      </rPr>
      <t>10</t>
    </r>
    <r>
      <rPr>
        <sz val="11"/>
        <color theme="1"/>
        <rFont val="Calibri"/>
        <family val="2"/>
        <scheme val="minor"/>
      </rPr>
      <t>P</t>
    </r>
  </si>
  <si>
    <t>Reaction 65:  R75 :</t>
  </si>
  <si>
    <t>polyhydroxybutyrate_consumed ==&gt; 3_hydroxybutanoate</t>
  </si>
  <si>
    <t>R76</t>
  </si>
  <si>
    <t>D-threo-isocitrate</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</si>
  <si>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5</t>
    </r>
    <r>
      <rPr>
        <sz val="11"/>
        <color theme="1"/>
        <rFont val="Calibri"/>
        <family val="2"/>
        <scheme val="minor"/>
      </rPr>
      <t>O</t>
    </r>
    <r>
      <rPr>
        <vertAlign val="subscript"/>
        <sz val="11"/>
        <color theme="1"/>
        <rFont val="Calibri"/>
        <family val="2"/>
        <scheme val="minor"/>
      </rPr>
      <t>7</t>
    </r>
  </si>
  <si>
    <t>Reaction 66:  R76 :</t>
  </si>
  <si>
    <t>3_hydroxybutanoate + NAD_ &lt;==&gt; acetoacetate + H_ + NADH</t>
  </si>
  <si>
    <t>R77</t>
  </si>
  <si>
    <t>D-xylulose_5-phosphate</t>
  </si>
  <si>
    <t>Reaction 67:  R77 :</t>
  </si>
  <si>
    <t>acetoacetate + ATP + coenzyme_A ==&gt; acetoacetyl_CoA + AMP + diphosphate</t>
  </si>
  <si>
    <t>R78</t>
  </si>
  <si>
    <r>
      <t>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6</t>
    </r>
    <r>
      <rPr>
        <sz val="11"/>
        <color theme="1"/>
        <rFont val="Calibri"/>
        <family val="2"/>
        <scheme val="minor"/>
      </rPr>
      <t>O</t>
    </r>
  </si>
  <si>
    <t>Reaction 68:  R78 :</t>
  </si>
  <si>
    <t>polyhydroxybutyrate_consumed ==&gt; polyhydroxybutyrate_produced</t>
  </si>
  <si>
    <t>R79</t>
  </si>
  <si>
    <t>Reaction 69:  R79 :</t>
  </si>
  <si>
    <t>H_ + hydrogencarbonate &lt;==&gt; CO2 + H2O</t>
  </si>
  <si>
    <t>R80</t>
  </si>
  <si>
    <t>Reaction 70:  R80 :</t>
  </si>
  <si>
    <t>ammonium ==&gt; ammonia + H_</t>
  </si>
  <si>
    <t>R81</t>
  </si>
  <si>
    <t>Reaction 71:  R81 :</t>
  </si>
  <si>
    <t>ammonium + ATP + L_glutamate ==&gt; ADP + H_ + L_glutamine + phosphate</t>
  </si>
  <si>
    <t>R82</t>
  </si>
  <si>
    <r>
      <t>CH</t>
    </r>
    <r>
      <rPr>
        <vertAlign val="subscript"/>
        <sz val="12"/>
        <color theme="1"/>
        <rFont val="Calibri"/>
        <family val="2"/>
        <scheme val="minor"/>
      </rPr>
      <t>2</t>
    </r>
    <r>
      <rPr>
        <sz val="11"/>
        <color theme="1"/>
        <rFont val="Calibri"/>
        <family val="2"/>
        <scheme val="minor"/>
      </rPr>
      <t>O</t>
    </r>
  </si>
  <si>
    <t>Reaction 72:  R82 :</t>
  </si>
  <si>
    <t>2_oxoglutarate + H_ + L_glutamine + NADPH ==&gt; 2 L_glutamate + NADP_</t>
  </si>
  <si>
    <t>R83</t>
  </si>
  <si>
    <t>Reaction 73:  R83 :</t>
  </si>
  <si>
    <t>16 ATP + 8 ferredoxin_reduced + 16 H2O + N2 ==&gt; 16 ADP + 2 ammonium + 8 ferredoxin_oxidized + 6 H_ + H2 + 16 phosphate</t>
  </si>
  <si>
    <t>R84</t>
  </si>
  <si>
    <t>CHO2</t>
  </si>
  <si>
    <t>Reaction 74:  R84 :</t>
  </si>
  <si>
    <t>2 ferredoxin_oxidized + NADH ==&gt; 2 ferredoxin_reduced + H_ + NAD_</t>
  </si>
  <si>
    <t>R85</t>
  </si>
  <si>
    <t>Reaction 75:  R85 :</t>
  </si>
  <si>
    <t>H_ + NADH + nitrate ==&gt; H2O + NAD_ + nitrite</t>
  </si>
  <si>
    <t>R86</t>
  </si>
  <si>
    <r>
      <t>C</t>
    </r>
    <r>
      <rPr>
        <vertAlign val="subscript"/>
        <sz val="12"/>
        <color theme="1"/>
        <rFont val="Calibri"/>
        <family val="2"/>
        <scheme val="minor"/>
      </rPr>
      <t>4</t>
    </r>
    <r>
      <rPr>
        <sz val="11"/>
        <color theme="1"/>
        <rFont val="Calibri"/>
        <family val="2"/>
        <scheme val="minor"/>
      </rPr>
      <t>H</t>
    </r>
    <r>
      <rPr>
        <vertAlign val="subscript"/>
        <sz val="12"/>
        <color theme="1"/>
        <rFont val="Calibri"/>
        <family val="2"/>
        <scheme val="minor"/>
      </rPr>
      <t>2</t>
    </r>
    <r>
      <rPr>
        <sz val="11"/>
        <color theme="1"/>
        <rFont val="Calibri"/>
        <family val="2"/>
        <scheme val="minor"/>
      </rPr>
      <t>O</t>
    </r>
    <r>
      <rPr>
        <vertAlign val="subscript"/>
        <sz val="12"/>
        <color theme="1"/>
        <rFont val="Calibri"/>
        <family val="2"/>
        <scheme val="minor"/>
      </rPr>
      <t>4</t>
    </r>
  </si>
  <si>
    <t>Reaction 76:  R86 :</t>
  </si>
  <si>
    <t>5 H_ + 3 NADH + nitrite ==&gt; ammonium + 2 H2O + 3 NAD_</t>
  </si>
  <si>
    <t>R88</t>
  </si>
  <si>
    <t>g-L-glutamyl_5-phosphate</t>
  </si>
  <si>
    <r>
      <t>C</t>
    </r>
    <r>
      <rPr>
        <vertAlign val="subscript"/>
        <sz val="11"/>
        <color rgb="FF333333"/>
        <rFont val="Calibri"/>
        <family val="2"/>
      </rPr>
      <t>5</t>
    </r>
    <r>
      <rPr>
        <sz val="11"/>
        <color rgb="FF333333"/>
        <rFont val="Calibri"/>
        <family val="2"/>
      </rPr>
      <t>H</t>
    </r>
    <r>
      <rPr>
        <vertAlign val="subscript"/>
        <sz val="11"/>
        <color rgb="FF333333"/>
        <rFont val="Calibri"/>
        <family val="2"/>
      </rPr>
      <t>8</t>
    </r>
    <r>
      <rPr>
        <sz val="11"/>
        <color rgb="FF333333"/>
        <rFont val="Calibri"/>
        <family val="2"/>
      </rPr>
      <t>NO</t>
    </r>
    <r>
      <rPr>
        <vertAlign val="subscript"/>
        <sz val="11"/>
        <color rgb="FF333333"/>
        <rFont val="Calibri"/>
        <family val="2"/>
      </rPr>
      <t>7</t>
    </r>
    <r>
      <rPr>
        <sz val="11"/>
        <color rgb="FF333333"/>
        <rFont val="Calibri"/>
        <family val="2"/>
      </rPr>
      <t>P</t>
    </r>
  </si>
  <si>
    <t>Reaction 77:  R88 :</t>
  </si>
  <si>
    <t>4 cytc + H2O + hydroxylamine ==&gt; 4 cytcE + 5 H_ + nitrite</t>
  </si>
  <si>
    <t>R89</t>
  </si>
  <si>
    <t>Reaction 78:  R89 :</t>
  </si>
  <si>
    <t>cytcE + 2 H_ + nitrite ==&gt; cytc + H2O + nitric_oxide</t>
  </si>
  <si>
    <t>R90</t>
  </si>
  <si>
    <r>
      <t>C</t>
    </r>
    <r>
      <rPr>
        <vertAlign val="subscript"/>
        <sz val="12"/>
        <color theme="1"/>
        <rFont val="Calibri"/>
        <family val="2"/>
        <scheme val="minor"/>
      </rPr>
      <t>2</t>
    </r>
    <r>
      <rPr>
        <sz val="11"/>
        <color theme="1"/>
        <rFont val="Calibri"/>
        <family val="2"/>
        <scheme val="minor"/>
      </rPr>
      <t>H</t>
    </r>
    <r>
      <rPr>
        <vertAlign val="subscript"/>
        <sz val="12"/>
        <color theme="1"/>
        <rFont val="Calibri"/>
        <family val="2"/>
        <scheme val="minor"/>
      </rPr>
      <t>5</t>
    </r>
    <r>
      <rPr>
        <sz val="11"/>
        <color theme="1"/>
        <rFont val="Calibri"/>
        <family val="2"/>
        <scheme val="minor"/>
      </rPr>
      <t>NO</t>
    </r>
    <r>
      <rPr>
        <vertAlign val="subscript"/>
        <sz val="12"/>
        <color theme="1"/>
        <rFont val="Calibri"/>
        <family val="2"/>
        <scheme val="minor"/>
      </rPr>
      <t>2</t>
    </r>
  </si>
  <si>
    <t>Reaction 79:  R90 :</t>
  </si>
  <si>
    <t>2 cytcE + 2 H_pmf + 2 nitric_oxide &lt;==&gt; 2 cytc + H2O + nitrous_oxide</t>
  </si>
  <si>
    <t>R91</t>
  </si>
  <si>
    <r>
      <t>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8</t>
    </r>
    <r>
      <rPr>
        <sz val="11"/>
        <color theme="1"/>
        <rFont val="Calibri"/>
        <family val="2"/>
        <scheme val="minor"/>
      </rPr>
      <t>O</t>
    </r>
    <r>
      <rPr>
        <vertAlign val="subscript"/>
        <sz val="11"/>
        <color theme="1"/>
        <rFont val="Calibri"/>
        <family val="2"/>
        <scheme val="minor"/>
      </rPr>
      <t>4</t>
    </r>
  </si>
  <si>
    <t>Reaction 80:  R91 :</t>
  </si>
  <si>
    <t>ATP + L_glutamate ==&gt; ADP + g_L_glutamyl_5_phosphate</t>
  </si>
  <si>
    <t>R92</t>
  </si>
  <si>
    <t>Reaction 81:  R92 :</t>
  </si>
  <si>
    <t>g_L_glutamyl_5_phosphate + H_ + NADPH ==&gt; L_glutamate_5_semialdehyde + NADP_ + phosphate</t>
  </si>
  <si>
    <t>R93</t>
  </si>
  <si>
    <t>Reaction 82:  R93 :</t>
  </si>
  <si>
    <t>L_glutamate + L_glutamate_5_semialdehyde &lt;==&gt; 2_oxoglutarate + L_ornithine</t>
  </si>
  <si>
    <t>R94</t>
  </si>
  <si>
    <t>Reaction 83:  R94 :</t>
  </si>
  <si>
    <t>H_ + L_ornithine ==&gt; CO2 + putrescine</t>
  </si>
  <si>
    <t>R95</t>
  </si>
  <si>
    <r>
      <t>C</t>
    </r>
    <r>
      <rPr>
        <vertAlign val="subscript"/>
        <sz val="12"/>
        <color theme="1"/>
        <rFont val="Calibri"/>
        <family val="2"/>
        <scheme val="minor"/>
      </rPr>
      <t>2</t>
    </r>
    <r>
      <rPr>
        <sz val="11"/>
        <color theme="1"/>
        <rFont val="Calibri"/>
        <family val="2"/>
        <scheme val="minor"/>
      </rPr>
      <t>HO</t>
    </r>
    <r>
      <rPr>
        <vertAlign val="subscript"/>
        <sz val="12"/>
        <color theme="1"/>
        <rFont val="Calibri"/>
        <family val="2"/>
        <scheme val="minor"/>
      </rPr>
      <t>3</t>
    </r>
  </si>
  <si>
    <t>Reaction 84:  R95 :</t>
  </si>
  <si>
    <t>5 H_ + NADH + Q &lt;==&gt; 4 H_pmf + NAD_ + QH2</t>
  </si>
  <si>
    <t>R96</t>
  </si>
  <si>
    <t>Reaction 85:  R96 :</t>
  </si>
  <si>
    <t>2 cytc + 2 H_ + QH2 ==&gt; 2 cytcE + 4 H_pmf + Q</t>
  </si>
  <si>
    <t>R97</t>
  </si>
  <si>
    <t>Reaction 86:  R97 :</t>
  </si>
  <si>
    <t>4 cytcE + 8 H_ + O2 ==&gt; 4 cytc + 4 H_pmf + 2 H2O</t>
  </si>
  <si>
    <t>R98</t>
  </si>
  <si>
    <t>Reaction 87:  R98 :</t>
  </si>
  <si>
    <t>4 H_ + O2 + 2 QH2 ==&gt; 4 H_pmf + 2 H2O + 2 Q</t>
  </si>
  <si>
    <t>R99</t>
  </si>
  <si>
    <t>Reaction 88:  R99 :</t>
  </si>
  <si>
    <t>8 H_ + O2 + 2 QH2 ==&gt; 8 H_pmf + 2 H2O + 2 Q</t>
  </si>
  <si>
    <t>R100</t>
  </si>
  <si>
    <t>H+_ext</t>
  </si>
  <si>
    <t>Reaction 89:  R100 :</t>
  </si>
  <si>
    <t>diphosphate + H2O ==&gt; H_pmf + 2 phosphate</t>
  </si>
  <si>
    <t>R101</t>
  </si>
  <si>
    <r>
      <t>H</t>
    </r>
    <r>
      <rPr>
        <vertAlign val="subscript"/>
        <sz val="11"/>
        <color theme="1"/>
        <rFont val="Calibri"/>
        <family val="2"/>
        <scheme val="minor"/>
      </rPr>
      <t>2</t>
    </r>
  </si>
  <si>
    <t>Reaction 90:  R101 :</t>
  </si>
  <si>
    <t>ATP + H2O ==&gt; AMP + diphosphate + H_</t>
  </si>
  <si>
    <t>R102</t>
  </si>
  <si>
    <t>Reaction 91:  R102 :</t>
  </si>
  <si>
    <t>ADP + 4 H_pmf + phosphate &lt;==&gt; ATP + 3 H_ + H2O</t>
  </si>
  <si>
    <t>R103</t>
  </si>
  <si>
    <r>
      <t>H</t>
    </r>
    <r>
      <rPr>
        <vertAlign val="subscript"/>
        <sz val="11"/>
        <color theme="1"/>
        <rFont val="Calibri"/>
        <family val="2"/>
        <scheme val="minor"/>
      </rPr>
      <t>2</t>
    </r>
    <r>
      <rPr>
        <sz val="11"/>
        <color theme="1"/>
        <rFont val="Calibri"/>
        <family val="2"/>
        <scheme val="minor"/>
      </rPr>
      <t>O</t>
    </r>
  </si>
  <si>
    <t>Reaction 92:  R103 :</t>
  </si>
  <si>
    <t>AMP + ATP ==&gt; 2 ADP</t>
  </si>
  <si>
    <t>Reaction 93:  ATP_main :</t>
  </si>
  <si>
    <t>ATP + H2O ==&gt; ADP + ATP_main + H_ + phosphate</t>
  </si>
  <si>
    <t>R104</t>
  </si>
  <si>
    <t>hexulose_6-phosphate</t>
  </si>
  <si>
    <t>Reaction 94:  R104 :</t>
  </si>
  <si>
    <t>NAD_ + NADPH ==&gt; NADH + NADP_</t>
  </si>
  <si>
    <t>R105</t>
  </si>
  <si>
    <r>
      <t>H</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2</t>
    </r>
  </si>
  <si>
    <t>Reaction 95:  R105 :</t>
  </si>
  <si>
    <t>H2 + NAD_ ==&gt; H_ + NADH</t>
  </si>
  <si>
    <t>R106</t>
  </si>
  <si>
    <t>Reaction 96:  R106 :</t>
  </si>
  <si>
    <t>acetyl_CoA + phosphate &lt;==&gt; acetyl_phosphate + coenzyme_A</t>
  </si>
  <si>
    <t>R107</t>
  </si>
  <si>
    <r>
      <t>CHO</t>
    </r>
    <r>
      <rPr>
        <vertAlign val="subscript"/>
        <sz val="12"/>
        <color theme="1"/>
        <rFont val="Calibri"/>
        <family val="2"/>
        <scheme val="minor"/>
      </rPr>
      <t>3</t>
    </r>
  </si>
  <si>
    <t>Reaction 97:  R107 :</t>
  </si>
  <si>
    <t>acetyl_phosphate + ADP ==&gt; acetate + ATP</t>
  </si>
  <si>
    <t>R108</t>
  </si>
  <si>
    <r>
      <t>H</t>
    </r>
    <r>
      <rPr>
        <vertAlign val="subscript"/>
        <sz val="11"/>
        <color theme="1"/>
        <rFont val="Calibri"/>
        <family val="2"/>
        <scheme val="minor"/>
      </rPr>
      <t>3</t>
    </r>
    <r>
      <rPr>
        <sz val="11"/>
        <color theme="1"/>
        <rFont val="Calibri"/>
        <family val="2"/>
        <scheme val="minor"/>
      </rPr>
      <t>NO</t>
    </r>
  </si>
  <si>
    <t>Reaction 98:  R108 :</t>
  </si>
  <si>
    <t>acetyl_CoA + H_ + NADH ==&gt; acetaldehyde + coenzyme_A + NAD_</t>
  </si>
  <si>
    <t>R109</t>
  </si>
  <si>
    <r>
      <t>C</t>
    </r>
    <r>
      <rPr>
        <vertAlign val="subscript"/>
        <sz val="12"/>
        <color theme="1"/>
        <rFont val="Calibri"/>
        <family val="2"/>
        <scheme val="minor"/>
      </rPr>
      <t>3</t>
    </r>
    <r>
      <rPr>
        <sz val="11"/>
        <color theme="1"/>
        <rFont val="Calibri"/>
        <family val="2"/>
        <scheme val="minor"/>
      </rPr>
      <t>H</t>
    </r>
    <r>
      <rPr>
        <vertAlign val="subscript"/>
        <sz val="12"/>
        <color theme="1"/>
        <rFont val="Calibri"/>
        <family val="2"/>
        <scheme val="minor"/>
      </rPr>
      <t>3</t>
    </r>
    <r>
      <rPr>
        <sz val="11"/>
        <color theme="1"/>
        <rFont val="Calibri"/>
        <family val="2"/>
        <scheme val="minor"/>
      </rPr>
      <t>O</t>
    </r>
    <r>
      <rPr>
        <vertAlign val="subscript"/>
        <sz val="12"/>
        <color theme="1"/>
        <rFont val="Calibri"/>
        <family val="2"/>
        <scheme val="minor"/>
      </rPr>
      <t>4</t>
    </r>
  </si>
  <si>
    <t>Reaction 99:  R109 :</t>
  </si>
  <si>
    <t>acetaldehyde + H_ + NADH ==&gt; ethanol + NAD_</t>
  </si>
  <si>
    <t>R110</t>
  </si>
  <si>
    <t>L-glutamate</t>
  </si>
  <si>
    <r>
      <t>C</t>
    </r>
    <r>
      <rPr>
        <vertAlign val="subscript"/>
        <sz val="11"/>
        <color theme="1"/>
        <rFont val="Calibri"/>
        <family val="2"/>
        <scheme val="minor"/>
      </rPr>
      <t>5</t>
    </r>
    <r>
      <rPr>
        <sz val="11"/>
        <color theme="1"/>
        <rFont val="Calibri"/>
        <family val="2"/>
        <scheme val="minor"/>
      </rPr>
      <t>H</t>
    </r>
    <r>
      <rPr>
        <vertAlign val="subscript"/>
        <sz val="11"/>
        <color theme="1"/>
        <rFont val="Calibri"/>
        <family val="2"/>
        <scheme val="minor"/>
      </rPr>
      <t>8</t>
    </r>
    <r>
      <rPr>
        <sz val="11"/>
        <color theme="1"/>
        <rFont val="Calibri"/>
        <family val="2"/>
        <scheme val="minor"/>
      </rPr>
      <t>NO</t>
    </r>
    <r>
      <rPr>
        <vertAlign val="subscript"/>
        <sz val="11"/>
        <color theme="1"/>
        <rFont val="Calibri"/>
        <family val="2"/>
        <scheme val="minor"/>
      </rPr>
      <t>4</t>
    </r>
  </si>
  <si>
    <t>Reaction 100:  R110 :</t>
  </si>
  <si>
    <t>acetoacetate + H_ ==&gt; acetone + CO2</t>
  </si>
  <si>
    <t>R111</t>
  </si>
  <si>
    <t>L-glutamate-5-semialdehyde</t>
  </si>
  <si>
    <r>
      <t>C</t>
    </r>
    <r>
      <rPr>
        <vertAlign val="subscript"/>
        <sz val="11"/>
        <color rgb="FF333333"/>
        <rFont val="Calibri"/>
        <family val="2"/>
      </rPr>
      <t>5</t>
    </r>
    <r>
      <rPr>
        <sz val="11"/>
        <color rgb="FF333333"/>
        <rFont val="Calibri"/>
        <family val="2"/>
      </rPr>
      <t>H</t>
    </r>
    <r>
      <rPr>
        <vertAlign val="subscript"/>
        <sz val="11"/>
        <color rgb="FF333333"/>
        <rFont val="Calibri"/>
        <family val="2"/>
      </rPr>
      <t>9</t>
    </r>
    <r>
      <rPr>
        <sz val="11"/>
        <color rgb="FF333333"/>
        <rFont val="Calibri"/>
        <family val="2"/>
      </rPr>
      <t>NO</t>
    </r>
    <r>
      <rPr>
        <vertAlign val="subscript"/>
        <sz val="11"/>
        <color rgb="FF333333"/>
        <rFont val="Calibri"/>
        <family val="2"/>
      </rPr>
      <t>3</t>
    </r>
  </si>
  <si>
    <t>Reaction 101:  R111 :</t>
  </si>
  <si>
    <t>H_ + NADH + pyruvate ==&gt; _R__lactate + NAD_</t>
  </si>
  <si>
    <t>T1</t>
  </si>
  <si>
    <t>L-glutamine</t>
  </si>
  <si>
    <r>
      <t>C</t>
    </r>
    <r>
      <rPr>
        <vertAlign val="subscript"/>
        <sz val="11"/>
        <color theme="1"/>
        <rFont val="Calibri"/>
        <family val="2"/>
        <scheme val="minor"/>
      </rPr>
      <t>5</t>
    </r>
    <r>
      <rPr>
        <sz val="11"/>
        <color theme="1"/>
        <rFont val="Calibri"/>
        <family val="2"/>
        <scheme val="minor"/>
      </rPr>
      <t>H</t>
    </r>
    <r>
      <rPr>
        <vertAlign val="subscript"/>
        <sz val="11"/>
        <color theme="1"/>
        <rFont val="Calibri"/>
        <family val="2"/>
        <scheme val="minor"/>
      </rPr>
      <t>10</t>
    </r>
    <r>
      <rPr>
        <sz val="11"/>
        <color theme="1"/>
        <rFont val="Calibri"/>
        <family val="2"/>
        <scheme val="minor"/>
      </rPr>
      <t>N</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3</t>
    </r>
  </si>
  <si>
    <t>Reaction 102:  T1 :</t>
  </si>
  <si>
    <t>9.84 CO2_eq_100 + 29.04 CO2_eq_20 + methane_ext ==&gt; methane</t>
  </si>
  <si>
    <t>T2</t>
  </si>
  <si>
    <r>
      <t>C</t>
    </r>
    <r>
      <rPr>
        <vertAlign val="subscript"/>
        <sz val="11"/>
        <color rgb="FF333333"/>
        <rFont val="Calibri"/>
        <family val="2"/>
      </rPr>
      <t>5</t>
    </r>
    <r>
      <rPr>
        <sz val="11"/>
        <color rgb="FF333333"/>
        <rFont val="Calibri"/>
        <family val="2"/>
      </rPr>
      <t>H</t>
    </r>
    <r>
      <rPr>
        <vertAlign val="subscript"/>
        <sz val="11"/>
        <color rgb="FF333333"/>
        <rFont val="Calibri"/>
        <family val="2"/>
      </rPr>
      <t>13</t>
    </r>
    <r>
      <rPr>
        <sz val="11"/>
        <color rgb="FF333333"/>
        <rFont val="Calibri"/>
        <family val="2"/>
      </rPr>
      <t>N</t>
    </r>
    <r>
      <rPr>
        <vertAlign val="subscript"/>
        <sz val="11"/>
        <color rgb="FF333333"/>
        <rFont val="Calibri"/>
        <family val="2"/>
      </rPr>
      <t>2</t>
    </r>
    <r>
      <rPr>
        <sz val="11"/>
        <color rgb="FF333333"/>
        <rFont val="Calibri"/>
        <family val="2"/>
      </rPr>
      <t>O</t>
    </r>
    <r>
      <rPr>
        <vertAlign val="subscript"/>
        <sz val="11"/>
        <color rgb="FF333333"/>
        <rFont val="Calibri"/>
        <family val="2"/>
      </rPr>
      <t>2</t>
    </r>
  </si>
  <si>
    <t>Reaction 103:  T2 :</t>
  </si>
  <si>
    <t>H2O_ext &lt;==&gt; H2O</t>
  </si>
  <si>
    <t>T3</t>
  </si>
  <si>
    <t>L-serine</t>
  </si>
  <si>
    <r>
      <t>C</t>
    </r>
    <r>
      <rPr>
        <vertAlign val="subscript"/>
        <sz val="12"/>
        <color theme="1"/>
        <rFont val="Calibri"/>
        <family val="2"/>
        <scheme val="minor"/>
      </rPr>
      <t>3</t>
    </r>
    <r>
      <rPr>
        <sz val="11"/>
        <color theme="1"/>
        <rFont val="Calibri"/>
        <family val="2"/>
        <scheme val="minor"/>
      </rPr>
      <t>H</t>
    </r>
    <r>
      <rPr>
        <vertAlign val="subscript"/>
        <sz val="12"/>
        <color theme="1"/>
        <rFont val="Calibri"/>
        <family val="2"/>
        <scheme val="minor"/>
      </rPr>
      <t>7</t>
    </r>
    <r>
      <rPr>
        <sz val="11"/>
        <color theme="1"/>
        <rFont val="Calibri"/>
        <family val="2"/>
        <scheme val="minor"/>
      </rPr>
      <t>NO</t>
    </r>
    <r>
      <rPr>
        <vertAlign val="subscript"/>
        <sz val="12"/>
        <color theme="1"/>
        <rFont val="Calibri"/>
        <family val="2"/>
        <scheme val="minor"/>
      </rPr>
      <t>3</t>
    </r>
  </si>
  <si>
    <t>Reaction 104:  T3 :</t>
  </si>
  <si>
    <t>H__ext &lt;==&gt; H_</t>
  </si>
  <si>
    <t>T4</t>
  </si>
  <si>
    <t xml:space="preserve">methane </t>
  </si>
  <si>
    <r>
      <t>CH</t>
    </r>
    <r>
      <rPr>
        <vertAlign val="subscript"/>
        <sz val="11"/>
        <color theme="1"/>
        <rFont val="Calibri"/>
        <family val="2"/>
        <scheme val="minor"/>
      </rPr>
      <t>4</t>
    </r>
  </si>
  <si>
    <t>Reaction 105:  T4 :</t>
  </si>
  <si>
    <t>O2_ext ==&gt; O2</t>
  </si>
  <si>
    <t>T5</t>
  </si>
  <si>
    <r>
      <t>CH</t>
    </r>
    <r>
      <rPr>
        <vertAlign val="subscript"/>
        <sz val="11"/>
        <color theme="1"/>
        <rFont val="Calibri"/>
        <family val="2"/>
        <scheme val="minor"/>
      </rPr>
      <t>5</t>
    </r>
    <r>
      <rPr>
        <sz val="11"/>
        <color theme="1"/>
        <rFont val="Calibri"/>
        <family val="2"/>
        <scheme val="minor"/>
      </rPr>
      <t/>
    </r>
  </si>
  <si>
    <t>Reaction 106:  T5 :</t>
  </si>
  <si>
    <t>methanol ==&gt; methanol_ext</t>
  </si>
  <si>
    <t>T6</t>
  </si>
  <si>
    <r>
      <t>CH</t>
    </r>
    <r>
      <rPr>
        <vertAlign val="subscript"/>
        <sz val="11"/>
        <color theme="1"/>
        <rFont val="Calibri"/>
        <family val="2"/>
        <scheme val="minor"/>
      </rPr>
      <t>4</t>
    </r>
    <r>
      <rPr>
        <sz val="11"/>
        <color theme="1"/>
        <rFont val="Calibri"/>
        <family val="2"/>
        <scheme val="minor"/>
      </rPr>
      <t>O</t>
    </r>
  </si>
  <si>
    <t>Reaction 107:  T6 :</t>
  </si>
  <si>
    <t>formate ==&gt; formate_ext</t>
  </si>
  <si>
    <t>T7</t>
  </si>
  <si>
    <t>Reaction 108:  T7 :</t>
  </si>
  <si>
    <t>ATP + H2O + phosphate_ext ==&gt; ADP + H_ + 2 phosphate</t>
  </si>
  <si>
    <t>T8</t>
  </si>
  <si>
    <r>
      <t>NH</t>
    </r>
    <r>
      <rPr>
        <vertAlign val="subscript"/>
        <sz val="11"/>
        <color theme="1"/>
        <rFont val="Calibri"/>
        <family val="2"/>
        <scheme val="minor"/>
      </rPr>
      <t>4</t>
    </r>
    <r>
      <rPr>
        <sz val="11"/>
        <color theme="1"/>
        <rFont val="Calibri"/>
        <family val="2"/>
        <scheme val="minor"/>
      </rPr>
      <t>+</t>
    </r>
  </si>
  <si>
    <t>Reaction 109:  T8 :</t>
  </si>
  <si>
    <t>H2 ==&gt; H2_ext</t>
  </si>
  <si>
    <t>T9</t>
  </si>
  <si>
    <t>Reaction 110:  T9 :</t>
  </si>
  <si>
    <t>hydrogen_peroxide_ext ==&gt; hydrogen_peroxide</t>
  </si>
  <si>
    <t>T10</t>
  </si>
  <si>
    <r>
      <t>N</t>
    </r>
    <r>
      <rPr>
        <vertAlign val="subscript"/>
        <sz val="11"/>
        <color theme="1"/>
        <rFont val="Calibri"/>
        <family val="2"/>
        <scheme val="minor"/>
      </rPr>
      <t>2</t>
    </r>
  </si>
  <si>
    <t>Reaction 111:  T10 :</t>
  </si>
  <si>
    <t>ATP + H2O + nitrate_ext ==&gt; ADP + H_ + nitrate + phosphate</t>
  </si>
  <si>
    <t>T11</t>
  </si>
  <si>
    <t>Reaction 112:  T11 :</t>
  </si>
  <si>
    <t>N2_ext ==&gt; N2</t>
  </si>
  <si>
    <t>T12</t>
  </si>
  <si>
    <t>Reaction 113:  T12 :</t>
  </si>
  <si>
    <t>ammonium_ext ==&gt; ammonium</t>
  </si>
  <si>
    <t>T13</t>
  </si>
  <si>
    <r>
      <t>C</t>
    </r>
    <r>
      <rPr>
        <vertAlign val="subscript"/>
        <sz val="10"/>
        <color rgb="FF333333"/>
        <rFont val="Arial"/>
        <family val="2"/>
      </rPr>
      <t>21</t>
    </r>
    <r>
      <rPr>
        <sz val="10"/>
        <color rgb="FF333333"/>
        <rFont val="Arial"/>
        <family val="2"/>
      </rPr>
      <t>H</t>
    </r>
    <r>
      <rPr>
        <vertAlign val="subscript"/>
        <sz val="10"/>
        <color rgb="FF333333"/>
        <rFont val="Arial"/>
        <family val="2"/>
      </rPr>
      <t>27</t>
    </r>
    <r>
      <rPr>
        <sz val="10"/>
        <color rgb="FF333333"/>
        <rFont val="Arial"/>
        <family val="2"/>
      </rPr>
      <t>N</t>
    </r>
    <r>
      <rPr>
        <vertAlign val="subscript"/>
        <sz val="10"/>
        <color rgb="FF333333"/>
        <rFont val="Arial"/>
        <family val="2"/>
      </rPr>
      <t>7</t>
    </r>
    <r>
      <rPr>
        <sz val="10"/>
        <color rgb="FF333333"/>
        <rFont val="Arial"/>
        <family val="2"/>
      </rPr>
      <t>O</t>
    </r>
    <r>
      <rPr>
        <vertAlign val="subscript"/>
        <sz val="10"/>
        <color rgb="FF333333"/>
        <rFont val="Arial"/>
        <family val="2"/>
      </rPr>
      <t>14</t>
    </r>
    <r>
      <rPr>
        <sz val="10"/>
        <color rgb="FF333333"/>
        <rFont val="Arial"/>
        <family val="2"/>
      </rPr>
      <t>P</t>
    </r>
    <r>
      <rPr>
        <vertAlign val="subscript"/>
        <sz val="10"/>
        <color rgb="FF333333"/>
        <rFont val="Arial"/>
        <family val="2"/>
      </rPr>
      <t>2</t>
    </r>
  </si>
  <si>
    <t>Reaction 114:  T13 :</t>
  </si>
  <si>
    <t>H_ + putrescine ==&gt; H_pmf + putrescine_ext</t>
  </si>
  <si>
    <t>T14</t>
  </si>
  <si>
    <t>Reaction 115:  T14 :</t>
  </si>
  <si>
    <t>formaldehyde ==&gt; formaldehyde_ext</t>
  </si>
  <si>
    <t>T15</t>
  </si>
  <si>
    <r>
      <t>C</t>
    </r>
    <r>
      <rPr>
        <vertAlign val="subscript"/>
        <sz val="12"/>
        <color theme="1"/>
        <rFont val="Calibri"/>
        <family val="2"/>
        <scheme val="minor"/>
      </rPr>
      <t>21</t>
    </r>
    <r>
      <rPr>
        <sz val="11"/>
        <color theme="1"/>
        <rFont val="Calibri"/>
        <family val="2"/>
        <scheme val="minor"/>
      </rPr>
      <t>H</t>
    </r>
    <r>
      <rPr>
        <vertAlign val="subscript"/>
        <sz val="12"/>
        <color theme="1"/>
        <rFont val="Calibri"/>
        <family val="2"/>
        <scheme val="minor"/>
      </rPr>
      <t>26</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17</t>
    </r>
    <r>
      <rPr>
        <sz val="11"/>
        <color theme="1"/>
        <rFont val="Calibri"/>
        <family val="2"/>
        <scheme val="minor"/>
      </rPr>
      <t>P</t>
    </r>
    <r>
      <rPr>
        <vertAlign val="subscript"/>
        <sz val="12"/>
        <color theme="1"/>
        <rFont val="Calibri"/>
        <family val="2"/>
        <scheme val="minor"/>
      </rPr>
      <t>3</t>
    </r>
  </si>
  <si>
    <t>Reaction 116:  T15 :</t>
  </si>
  <si>
    <t>acetate + H_ ==&gt; acetate_ext + H_pmf</t>
  </si>
  <si>
    <t>T16</t>
  </si>
  <si>
    <r>
      <t>NO</t>
    </r>
    <r>
      <rPr>
        <vertAlign val="subscript"/>
        <sz val="11"/>
        <color theme="1"/>
        <rFont val="Calibri"/>
        <family val="2"/>
        <scheme val="minor"/>
      </rPr>
      <t>3</t>
    </r>
  </si>
  <si>
    <t>Reaction 117:  T16 :</t>
  </si>
  <si>
    <t>_R__lactate + H_ ==&gt; _R__lactate_ext + H_pmf</t>
  </si>
  <si>
    <t>T17</t>
  </si>
  <si>
    <t>Reaction 118:  T17 :</t>
  </si>
  <si>
    <t>acetone ==&gt; acetone_ext</t>
  </si>
  <si>
    <t>T18</t>
  </si>
  <si>
    <t>NO* (free radical)</t>
  </si>
  <si>
    <t>Reaction 119:  T18 :</t>
  </si>
  <si>
    <t>ethanol ==&gt; ethanol_ext</t>
  </si>
  <si>
    <t>T19</t>
  </si>
  <si>
    <t xml:space="preserve">nitrite </t>
  </si>
  <si>
    <r>
      <t>NO</t>
    </r>
    <r>
      <rPr>
        <vertAlign val="subscript"/>
        <sz val="11"/>
        <color theme="1"/>
        <rFont val="Calibri"/>
        <family val="2"/>
        <scheme val="minor"/>
      </rPr>
      <t>2</t>
    </r>
  </si>
  <si>
    <t>Reaction 120:  T19 :</t>
  </si>
  <si>
    <t>pyruvate ==&gt; pyruvate_ext</t>
  </si>
  <si>
    <t>T20</t>
  </si>
  <si>
    <r>
      <t>N</t>
    </r>
    <r>
      <rPr>
        <vertAlign val="subscript"/>
        <sz val="11"/>
        <color theme="1"/>
        <rFont val="Calibri"/>
        <family val="2"/>
        <scheme val="minor"/>
      </rPr>
      <t>2</t>
    </r>
    <r>
      <rPr>
        <sz val="11"/>
        <color theme="1"/>
        <rFont val="Calibri"/>
        <family val="2"/>
        <scheme val="minor"/>
      </rPr>
      <t>O</t>
    </r>
  </si>
  <si>
    <t>Reaction 121:  T20 :</t>
  </si>
  <si>
    <t>2 H_ + succinate ==&gt; 2 H_pmf + succinate_ext</t>
  </si>
  <si>
    <t>T23</t>
  </si>
  <si>
    <t>Reaction 122:  T23 :</t>
  </si>
  <si>
    <t>polyhydroxybutyrate_produced ==&gt; polyhydroxybutyrate_produced_ext</t>
  </si>
  <si>
    <t>T24</t>
  </si>
  <si>
    <t xml:space="preserve">O2 </t>
  </si>
  <si>
    <r>
      <t>O</t>
    </r>
    <r>
      <rPr>
        <vertAlign val="subscript"/>
        <sz val="11"/>
        <color theme="1"/>
        <rFont val="Calibri"/>
        <family val="2"/>
        <scheme val="minor"/>
      </rPr>
      <t>2</t>
    </r>
  </si>
  <si>
    <t>Reaction 123:  T24 :</t>
  </si>
  <si>
    <t>49.2 CO2_eq_100 + 145 CO2_eq_20 + polyhydroxybutyrate_consumed_ext ==&gt; polyhydroxybutyrate_consumed</t>
  </si>
  <si>
    <t>T25</t>
  </si>
  <si>
    <t>Reaction 124:  T25 :</t>
  </si>
  <si>
    <t>nitrous_oxide ==&gt; 273 CO2_eq_100 + 273 CO2_eq_20 + nitrous_oxide_ext</t>
  </si>
  <si>
    <t>T26</t>
  </si>
  <si>
    <r>
      <t>C</t>
    </r>
    <r>
      <rPr>
        <vertAlign val="subscript"/>
        <sz val="12"/>
        <color theme="1"/>
        <rFont val="Calibri"/>
        <family val="2"/>
        <scheme val="minor"/>
      </rPr>
      <t>4</t>
    </r>
    <r>
      <rPr>
        <sz val="11"/>
        <color theme="1"/>
        <rFont val="Calibri"/>
        <family val="2"/>
        <scheme val="minor"/>
      </rPr>
      <t>H</t>
    </r>
    <r>
      <rPr>
        <vertAlign val="subscript"/>
        <sz val="12"/>
        <color theme="1"/>
        <rFont val="Calibri"/>
        <family val="2"/>
        <scheme val="minor"/>
      </rPr>
      <t>2</t>
    </r>
    <r>
      <rPr>
        <sz val="11"/>
        <color theme="1"/>
        <rFont val="Calibri"/>
        <family val="2"/>
        <scheme val="minor"/>
      </rPr>
      <t>O</t>
    </r>
    <r>
      <rPr>
        <vertAlign val="subscript"/>
        <sz val="12"/>
        <color theme="1"/>
        <rFont val="Calibri"/>
        <family val="2"/>
        <scheme val="minor"/>
      </rPr>
      <t>5</t>
    </r>
  </si>
  <si>
    <t>Reaction 125:  T26 :</t>
  </si>
  <si>
    <t>CO2 &lt;==&gt; CO2_eq_100 + CO2_eq_20 + CO2_ext</t>
  </si>
  <si>
    <t>R116</t>
  </si>
  <si>
    <t>Reaction 126:  R116 :</t>
  </si>
  <si>
    <t>H2O + L_glutamine ==&gt; L_glutamate + N_GLN</t>
  </si>
  <si>
    <t>R117</t>
  </si>
  <si>
    <t>Reaction 127:  R117 :</t>
  </si>
  <si>
    <t>H2O + L_glutamate + NADP_ ==&gt; 2_oxoglutarate + H_ + N_GLU + NADPH</t>
  </si>
  <si>
    <t>biomass_typeII</t>
  </si>
  <si>
    <r>
      <t>C</t>
    </r>
    <r>
      <rPr>
        <vertAlign val="subscript"/>
        <sz val="12"/>
        <color rgb="FF333333"/>
        <rFont val="Arial"/>
        <family val="2"/>
      </rPr>
      <t>3</t>
    </r>
    <r>
      <rPr>
        <sz val="10"/>
        <color rgb="FF333333"/>
        <rFont val="Arial"/>
        <family val="2"/>
      </rPr>
      <t>H</t>
    </r>
    <r>
      <rPr>
        <vertAlign val="subscript"/>
        <sz val="12"/>
        <color rgb="FF333333"/>
        <rFont val="Arial"/>
        <family val="2"/>
      </rPr>
      <t>2</t>
    </r>
    <r>
      <rPr>
        <sz val="10"/>
        <color rgb="FF333333"/>
        <rFont val="Arial"/>
        <family val="2"/>
      </rPr>
      <t>O</t>
    </r>
    <r>
      <rPr>
        <vertAlign val="subscript"/>
        <sz val="12"/>
        <color rgb="FF333333"/>
        <rFont val="Arial"/>
        <family val="2"/>
      </rPr>
      <t>6</t>
    </r>
    <r>
      <rPr>
        <sz val="10"/>
        <color rgb="FF333333"/>
        <rFont val="Arial"/>
        <family val="2"/>
      </rPr>
      <t>P</t>
    </r>
  </si>
  <si>
    <t>Reaction 128:  biomass_typeII :</t>
  </si>
  <si>
    <t>0.02737 2_oxoglutarate + 0.07501 acetyl_CoA + 3.369 ATP + 0.01032 D_erythrose_4_phosphate + 0.00229 D_glucopyranose_6_phosphate + 0.01887 D_ribose_5_phosphate + 3.369 H2O + 0.0009 L_ornithine + 0.06727 N_GLN + 0.17027 N_GLU + 0.0824 NAD_ + 0.47126 NADPH + 0.04016 oxaloacetate + 0.05595 phosphoenolpyruvate + 0.00398 polyhydroxybutyrate_produced + 0.07365 pyruvate ==&gt; 3.369 ADP + biomass_2 + 0.00611 CO2 + 0.07501 coenzyme_A + 3.6829 H_ + 0.0824 NADH + 0.47126 NADP_ + 3.369 phosphate</t>
  </si>
  <si>
    <t>Reaction 129:  GWP100 :</t>
  </si>
  <si>
    <t>CO2_eq_100 &lt;==&gt; GWP100</t>
  </si>
  <si>
    <r>
      <t>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7</t>
    </r>
    <r>
      <rPr>
        <sz val="11"/>
        <color theme="1"/>
        <rFont val="Calibri"/>
        <family val="2"/>
        <scheme val="minor"/>
      </rPr>
      <t>O</t>
    </r>
    <r>
      <rPr>
        <vertAlign val="subscript"/>
        <sz val="11"/>
        <color theme="1"/>
        <rFont val="Calibri"/>
        <family val="2"/>
        <scheme val="minor"/>
      </rPr>
      <t>4</t>
    </r>
    <r>
      <rPr>
        <sz val="11"/>
        <color theme="1"/>
        <rFont val="Calibri"/>
        <family val="2"/>
        <scheme val="minor"/>
      </rPr>
      <t/>
    </r>
  </si>
  <si>
    <t>Reaction 130:  GWP20 :</t>
  </si>
  <si>
    <t>CO2_eq_20 &lt;==&gt; GWP20</t>
  </si>
  <si>
    <r>
      <t>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7</t>
    </r>
    <r>
      <rPr>
        <sz val="11"/>
        <color theme="1"/>
        <rFont val="Calibri"/>
        <family val="2"/>
        <scheme val="minor"/>
      </rPr>
      <t>O</t>
    </r>
    <r>
      <rPr>
        <vertAlign val="subscript"/>
        <sz val="11"/>
        <color theme="1"/>
        <rFont val="Calibri"/>
        <family val="2"/>
        <scheme val="minor"/>
      </rPr>
      <t>5</t>
    </r>
    <r>
      <rPr>
        <sz val="11"/>
        <color theme="1"/>
        <rFont val="Calibri"/>
        <family val="2"/>
        <scheme val="minor"/>
      </rPr>
      <t/>
    </r>
  </si>
  <si>
    <r>
      <t>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7</t>
    </r>
    <r>
      <rPr>
        <sz val="11"/>
        <color theme="1"/>
        <rFont val="Calibri"/>
        <family val="2"/>
        <scheme val="minor"/>
      </rPr>
      <t>O</t>
    </r>
    <r>
      <rPr>
        <vertAlign val="subscript"/>
        <sz val="11"/>
        <color theme="1"/>
        <rFont val="Calibri"/>
        <family val="2"/>
        <scheme val="minor"/>
      </rPr>
      <t>6</t>
    </r>
    <r>
      <rPr>
        <sz val="11"/>
        <color theme="1"/>
        <rFont val="Calibri"/>
        <family val="2"/>
        <scheme val="minor"/>
      </rPr>
      <t/>
    </r>
  </si>
  <si>
    <t>propanoyl-CoA</t>
  </si>
  <si>
    <r>
      <t>C</t>
    </r>
    <r>
      <rPr>
        <vertAlign val="subscript"/>
        <sz val="12"/>
        <color theme="1"/>
        <rFont val="Calibri"/>
        <family val="2"/>
        <scheme val="minor"/>
      </rPr>
      <t>24</t>
    </r>
    <r>
      <rPr>
        <sz val="11"/>
        <color theme="1"/>
        <rFont val="Calibri"/>
        <family val="2"/>
        <scheme val="minor"/>
      </rPr>
      <t>H</t>
    </r>
    <r>
      <rPr>
        <vertAlign val="subscript"/>
        <sz val="12"/>
        <color theme="1"/>
        <rFont val="Calibri"/>
        <family val="2"/>
        <scheme val="minor"/>
      </rPr>
      <t>36</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17</t>
    </r>
    <r>
      <rPr>
        <sz val="11"/>
        <color theme="1"/>
        <rFont val="Calibri"/>
        <family val="2"/>
        <scheme val="minor"/>
      </rPr>
      <t>P</t>
    </r>
    <r>
      <rPr>
        <vertAlign val="subscript"/>
        <sz val="12"/>
        <color theme="1"/>
        <rFont val="Calibri"/>
        <family val="2"/>
        <scheme val="minor"/>
      </rPr>
      <t>3</t>
    </r>
    <r>
      <rPr>
        <sz val="11"/>
        <color theme="1"/>
        <rFont val="Calibri"/>
        <family val="2"/>
        <scheme val="minor"/>
      </rPr>
      <t>S</t>
    </r>
  </si>
  <si>
    <r>
      <t>C</t>
    </r>
    <r>
      <rPr>
        <vertAlign val="subscript"/>
        <sz val="11"/>
        <color rgb="FF333333"/>
        <rFont val="Calibri"/>
        <family val="2"/>
      </rPr>
      <t>4</t>
    </r>
    <r>
      <rPr>
        <sz val="11"/>
        <color rgb="FF333333"/>
        <rFont val="Calibri"/>
        <family val="2"/>
      </rPr>
      <t>H</t>
    </r>
    <r>
      <rPr>
        <vertAlign val="subscript"/>
        <sz val="11"/>
        <color rgb="FF333333"/>
        <rFont val="Calibri"/>
        <family val="2"/>
      </rPr>
      <t>14</t>
    </r>
    <r>
      <rPr>
        <sz val="11"/>
        <color rgb="FF333333"/>
        <rFont val="Calibri"/>
        <family val="2"/>
      </rPr>
      <t>N</t>
    </r>
    <r>
      <rPr>
        <vertAlign val="subscript"/>
        <sz val="11"/>
        <color rgb="FF333333"/>
        <rFont val="Calibri"/>
        <family val="2"/>
      </rPr>
      <t>2</t>
    </r>
  </si>
  <si>
    <r>
      <t>C</t>
    </r>
    <r>
      <rPr>
        <vertAlign val="subscript"/>
        <sz val="12"/>
        <color rgb="FF333333"/>
        <rFont val="Arial"/>
        <family val="2"/>
      </rPr>
      <t>3</t>
    </r>
    <r>
      <rPr>
        <sz val="10"/>
        <color rgb="FF333333"/>
        <rFont val="Arial"/>
        <family val="2"/>
      </rPr>
      <t>H</t>
    </r>
    <r>
      <rPr>
        <vertAlign val="subscript"/>
        <sz val="12"/>
        <color rgb="FF333333"/>
        <rFont val="Arial"/>
        <family val="2"/>
      </rPr>
      <t>3</t>
    </r>
    <r>
      <rPr>
        <sz val="10"/>
        <color rgb="FF333333"/>
        <rFont val="Arial"/>
        <family val="2"/>
      </rPr>
      <t>O</t>
    </r>
    <r>
      <rPr>
        <vertAlign val="subscript"/>
        <sz val="12"/>
        <color rgb="FF333333"/>
        <rFont val="Arial"/>
        <family val="2"/>
      </rPr>
      <t>3</t>
    </r>
  </si>
  <si>
    <r>
      <t>C</t>
    </r>
    <r>
      <rPr>
        <vertAlign val="subscript"/>
        <sz val="12"/>
        <color theme="1"/>
        <rFont val="Calibri"/>
        <family val="2"/>
        <scheme val="minor"/>
      </rPr>
      <t>4</t>
    </r>
    <r>
      <rPr>
        <sz val="11"/>
        <color theme="1"/>
        <rFont val="Calibri"/>
        <family val="2"/>
        <scheme val="minor"/>
      </rPr>
      <t>H</t>
    </r>
    <r>
      <rPr>
        <vertAlign val="subscript"/>
        <sz val="12"/>
        <color theme="1"/>
        <rFont val="Calibri"/>
        <family val="2"/>
        <scheme val="minor"/>
      </rPr>
      <t>4</t>
    </r>
    <r>
      <rPr>
        <sz val="11"/>
        <color theme="1"/>
        <rFont val="Calibri"/>
        <family val="2"/>
        <scheme val="minor"/>
      </rPr>
      <t>O</t>
    </r>
    <r>
      <rPr>
        <vertAlign val="subscript"/>
        <sz val="12"/>
        <color theme="1"/>
        <rFont val="Calibri"/>
        <family val="2"/>
        <scheme val="minor"/>
      </rPr>
      <t>4</t>
    </r>
  </si>
  <si>
    <t>succinyl-CoA</t>
  </si>
  <si>
    <t xml:space="preserve">tetrahydrofolate </t>
  </si>
  <si>
    <r>
      <t>C</t>
    </r>
    <r>
      <rPr>
        <vertAlign val="subscript"/>
        <sz val="12"/>
        <color theme="1"/>
        <rFont val="Calibri"/>
        <family val="2"/>
        <scheme val="minor"/>
      </rPr>
      <t>19</t>
    </r>
    <r>
      <rPr>
        <sz val="11"/>
        <color theme="1"/>
        <rFont val="Calibri"/>
        <family val="2"/>
        <scheme val="minor"/>
      </rPr>
      <t>H</t>
    </r>
    <r>
      <rPr>
        <vertAlign val="subscript"/>
        <sz val="12"/>
        <color theme="1"/>
        <rFont val="Calibri"/>
        <family val="2"/>
        <scheme val="minor"/>
      </rPr>
      <t>21</t>
    </r>
    <r>
      <rPr>
        <sz val="11"/>
        <color theme="1"/>
        <rFont val="Calibri"/>
        <family val="2"/>
        <scheme val="minor"/>
      </rPr>
      <t>N</t>
    </r>
    <r>
      <rPr>
        <vertAlign val="subscript"/>
        <sz val="12"/>
        <color theme="1"/>
        <rFont val="Calibri"/>
        <family val="2"/>
        <scheme val="minor"/>
      </rPr>
      <t>7</t>
    </r>
    <r>
      <rPr>
        <sz val="11"/>
        <color theme="1"/>
        <rFont val="Calibri"/>
        <family val="2"/>
        <scheme val="minor"/>
      </rPr>
      <t>O</t>
    </r>
    <r>
      <rPr>
        <vertAlign val="subscript"/>
        <sz val="12"/>
        <color theme="1"/>
        <rFont val="Calibri"/>
        <family val="2"/>
        <scheme val="minor"/>
      </rPr>
      <t>6</t>
    </r>
  </si>
  <si>
    <r>
      <t>C</t>
    </r>
    <r>
      <rPr>
        <vertAlign val="subscript"/>
        <sz val="12"/>
        <color theme="1"/>
        <rFont val="Calibri"/>
        <family val="2"/>
        <scheme val="minor"/>
      </rPr>
      <t>30</t>
    </r>
    <r>
      <rPr>
        <sz val="11"/>
        <color theme="1"/>
        <rFont val="Calibri"/>
        <family val="2"/>
        <scheme val="minor"/>
      </rPr>
      <t>H</t>
    </r>
    <r>
      <rPr>
        <vertAlign val="subscript"/>
        <sz val="12"/>
        <color theme="1"/>
        <rFont val="Calibri"/>
        <family val="2"/>
        <scheme val="minor"/>
      </rPr>
      <t>42</t>
    </r>
    <r>
      <rPr>
        <sz val="11"/>
        <color theme="1"/>
        <rFont val="Calibri"/>
        <family val="2"/>
        <scheme val="minor"/>
      </rPr>
      <t>N</t>
    </r>
    <r>
      <rPr>
        <vertAlign val="subscript"/>
        <sz val="12"/>
        <color theme="1"/>
        <rFont val="Calibri"/>
        <family val="2"/>
        <scheme val="minor"/>
      </rPr>
      <t>6</t>
    </r>
    <r>
      <rPr>
        <sz val="11"/>
        <color theme="1"/>
        <rFont val="Calibri"/>
        <family val="2"/>
        <scheme val="minor"/>
      </rPr>
      <t>O</t>
    </r>
    <r>
      <rPr>
        <vertAlign val="subscript"/>
        <sz val="12"/>
        <color theme="1"/>
        <rFont val="Calibri"/>
        <family val="2"/>
        <scheme val="minor"/>
      </rPr>
      <t>16</t>
    </r>
    <r>
      <rPr>
        <sz val="11"/>
        <color theme="1"/>
        <rFont val="Calibri"/>
        <family val="2"/>
        <scheme val="minor"/>
      </rPr>
      <t>P</t>
    </r>
  </si>
  <si>
    <t>pMMO</t>
  </si>
  <si>
    <t>sMMO</t>
  </si>
  <si>
    <t>dcMMO</t>
  </si>
  <si>
    <t>mu (1/h)</t>
  </si>
  <si>
    <t>pMMO, mmol CH4/(Cmol x h)</t>
  </si>
  <si>
    <t>sMMO, mmol CH4/(Cmol x h)</t>
  </si>
  <si>
    <t>dcMMO, mmol CH4/(Cmol x h)</t>
  </si>
  <si>
    <t>(orange data points)</t>
  </si>
  <si>
    <t>(gray data points)</t>
  </si>
  <si>
    <t>(yellow data points)</t>
  </si>
  <si>
    <t>FBA biomass simulations, methane consumption, biomass reaction only only accounts for macromolecule polymerization ATP, no maintenance energy</t>
  </si>
  <si>
    <t>determining GAM</t>
  </si>
  <si>
    <t>experimental (growth +NGAM+GAM)</t>
  </si>
  <si>
    <t>methane consumptions (mmol / (Cmol x h)</t>
  </si>
  <si>
    <t>biomass macromolecules only</t>
  </si>
  <si>
    <t>qCH4 for NGAM+GAM</t>
  </si>
  <si>
    <t>qCH4 for GAM only</t>
  </si>
  <si>
    <t>FBA output dcMMO 42GAM, predicted methane consumption with growth rate accounting for biomass+GAM+NGAM</t>
  </si>
  <si>
    <t>mol methane/ (Cmol x h)</t>
  </si>
  <si>
    <t>mmol methane/ (Cmol x h)</t>
  </si>
  <si>
    <t>alternative growth reactions considering different biomass degrees of reduction and growth associated maintenance energy</t>
  </si>
  <si>
    <t>first number in designator is biomass degree of reduction and second number is GAM in ATP per Cmol biomass</t>
  </si>
  <si>
    <t>Type II biomass</t>
  </si>
  <si>
    <t>biomass_typeII 4.2 1 ATP</t>
  </si>
  <si>
    <t>0.00229 D-glucopyranose_6-phosphate + 0.01887 D-ribose_5-phosphate + 0.01032 D-erythrose_4-phosphate + 0.05595 phosphoenolpyruvate + 0.07365 pyruvate + 0.07501 acetyl-CoA + 0.02737 2-oxoglutarate + 0.04016 oxaloacetate + 0.99685 ATP + 0.47126 NADPH + 0.17027 N_GLU + 0.06727 N_GLN + 0.00398 polyhydroxybutyrate_produced + 0.0009 L-ornithine + 0.0824 NAD+ + 0.99685 H2O = biomass_2 + 0.0824 NADH + 0.00611 CO2 + 0.99685 phosphate + 0.99685 ADP + 0.07501 coenzyme_A + 1.31071 H+ + 0.47126 NADP+</t>
  </si>
  <si>
    <t>biomass_typeII 4.2GAM</t>
  </si>
  <si>
    <t>0.00229 D-glucopyranose_6-phosphate + 0.01887 D-ribose_5-phosphate + 0.01032 D-erythrose_4-phosphate + 0.05595 phosphoenolpyruvate + 0.07365 pyruvate + 0.07501 acetyl-CoA + 0.02737 2-oxoglutarate + 0.04016 oxaloacetate + 1.51345 ATP + 0.47126 NADPH + 0.17027 N_GLU + 0.06727 N_GLN + 0.00398 polyhydroxybutyrate_produced + 0.0009 L-ornithine + 0.0824 NAD+ + 1.51345 H2O = biomass_2 + 0.0824 NADH + 0.00611 CO2 + 1.51345 phosphate + 1.51345 ADP + 0.07501 coenzyme_A + 1.82731 H+ + 0.47126 NADP+</t>
  </si>
  <si>
    <t>biomass typeII 4.4 GAM</t>
  </si>
  <si>
    <t>0.00229 D-glucopyranose_6-phosphate + 0.01887 D-ribose_5-phosphate + 0.01032 D-erythrose_4-phosphate + 0.05595 phosphoenolpyruvate + 0.07365 pyruvate + 0.07501 acetyl-CoA + 0.02737 2-oxoglutarate + 0.04016 oxaloacetate + 1.51345 ATP + 0.57029 NADPH + 0.17027 N_GLU + 0.06727 N_GLN + 0.00398 polyhydroxybutyrate_produced + 0.0009 L-ornithine + 0.0824 NAD+ + 1.51345 H2O = biomass_2 + 0.0824 NADH + 0.00611 CO2 + 1.51345 phosphate + 1.51345 ADP + 0.07501 coenzyme_A + 1.82731 H+ + 0.57029 NADP+</t>
  </si>
  <si>
    <t>biomass typeII 4.6 GAM</t>
  </si>
  <si>
    <t>0.00229 D-glucopyranose_6-phosphate + 0.01887 D-ribose_5-phosphate + 0.01032 D-erythrose_4-phosphate + 0.05595 phosphoenolpyruvate + 0.07365 pyruvate + 0.07501 acetyl-CoA + 0.02737 2-oxoglutarate + 0.04016 oxaloacetate + 1.51345 ATP + 0.67001 NADPH + 0.17027 N_GLU + 0.06727 N_GLN + 0.00398 polyhydroxybutyrate_produced + 0.0009 L-ornithine + 0.0824 NAD+ + 1.51345 H2O = biomass_2 + 0.0824 NADH + 0.00611 CO2 + 1.51345 phosphate + 1.51345 ADP + 0.07501 coenzyme_A + 1.82731 H+ + 0.67001 NADP+</t>
  </si>
  <si>
    <t>biomass typeII 4.8 GAM</t>
  </si>
  <si>
    <t>0.00229 D-glucopyranose_6-phosphate + 0.01887 D-ribose_5-phosphate + 0.01032 D-erythrose_4-phosphate + 0.05595 phosphoenolpyruvate + 0.07365 pyruvate + 0.07501 acetyl-CoA + 0.02737 2-oxoglutarate + 0.04016 oxaloacetate + 1.51345 ATP + 0.7704 NADPH + 0.17027 N_GLU + 0.06727 N_GLN + 0.00398 polyhydroxybutyrate_produced + 0.0009 L-ornithine + 0.0824 NAD+ + 1.51345 H2O = biomass_2 + 0.0824 NADH + 0.00611 CO2 + 1.51345 phosphate + 1.51345 ADP + 0.07501 coenzyme_A + 1.82731 H+ + 0.7704 NADP+</t>
  </si>
  <si>
    <t>biomass DoR 4.4 1 ATP</t>
  </si>
  <si>
    <t>0.00229 D-glucopyranose_6-phosphate + 0.01887 D-ribose_5-phosphate + 0.01032 D-erythrose_4-phosphate + 0.05595 phosphoenolpyruvate + 0.07365 pyruvate + 0.07501 acetyl-CoA + 0.02737 2-oxoglutarate + 0.04016 oxaloacetate + 0.99685 ATP + 0.57029 NADPH + 0.17027 N_GLU + 0.06727 N_GLN + 0.00398 polyhydroxybutyrate_produced + 0.0009 L-ornithine + 0.0824 NAD+ + 0.99685 H2O = biomass_2 + 0.0824 NADH + 0.00611 CO2 + 0.99685 phosphate + 0.99685 ADP + 0.07501 coenzyme_A + 1.31071 H+ + 0.57029 NADP+</t>
  </si>
  <si>
    <t>biomass DoR 4.4 3 ATP</t>
  </si>
  <si>
    <t>0.00229 D-glucopyranose_6-phosphate + 0.01887 D-ribose_5-phosphate + 0.01032 D-erythrose_4-phosphate + 0.05595 phosphoenolpyruvate + 0.07365 pyruvate + 0.07501 acetyl-CoA + 0.02737 2-oxoglutarate + 0.04016 oxaloacetate + 3 ATP + 0.57029 NADPH + 0.17027 N_GLU + 0.06727 N_GLN + 0.00398 polyhydroxybutyrate_produced + 0.0009 L-ornithine + 0.0824 NAD+ + 3 H2O = biomass_2 + 0.0824 NADH + 0.00611 CO2 + 3 phosphate + 3 ADP +  0.07501 coenzyme_A + 3.31386 H+ + 0.57029 NADP+</t>
  </si>
  <si>
    <t>biomass DoR 4.4 5 ATP</t>
  </si>
  <si>
    <t>0.00229 D-glucopyranose_6-phosphate + 0.01887 D-ribose_5-phosphate + 0.01032 D-erythrose_4-phosphate + 0.05595 phosphoenolpyruvate + 0.07365 pyruvate + 0.07501 acetyl-CoA + 0.02737 2-oxoglutarate + 0.04016 oxaloacetate + 5 ATP + 0.57029 NADPH + 0.17027 N_GLU + 0.06727 N_GLN + 0.00398 polyhydroxybutyrate_produced + 0.0009 L-ornithine + 0.0824 NAD+ + 5 H2O = biomass_2 + 0.0824 NADH + 0.00611 CO2 + 5 phosphate + 5 ADP + 0.07501 coenzyme_A + 5.31386 H+ + 0.57029 NADP+</t>
  </si>
  <si>
    <t>biomass DoR 4.6 1 ATP</t>
  </si>
  <si>
    <t>0.00229 D-glucopyranose_6-phosphate + 0.01887 D-ribose_5-phosphate + 0.01032 D-erythrose_4-phosphate + 0.05595 phosphoenolpyruvate + 0.07365 pyruvate + 0.07501 acetyl-CoA + 0.02737 2-oxoglutarate + 0.04016 oxaloacetate + 0.99685 ATP + 0.67001 NADPH + 0.17027 N_GLU + 0.06727 N_GLN + 0.00398 polyhydroxybutyrate_produced + 0.0009 L-ornithine + 0.0824 NAD+ + 0.99685 H2O = biomass_2 + 0.0824 NADH + 0.00611 CO2 + 0.99685 phosphate + 0.99685 ADP + 0.07501 coenzyme_A + 1.31071 H+ + 0.67001 NADP+</t>
  </si>
  <si>
    <t>biomass DoR 4.6 3 ATP</t>
  </si>
  <si>
    <t>0.00229 D-glucopyranose_6-phosphate + 0.01887 D-ribose_5-phosphate + 0.01032 D-erythrose_4-phosphate + 0.05595 phosphoenolpyruvate + 0.07365 pyruvate + 0.07501 acetyl-CoA + 0.02737 2-oxoglutarate + 0.04016 oxaloacetate + 3 ATP + 0.67001 NADPH + 0.17027 N_GLU + 0.06727 N_GLN + 0.00398 polyhydroxybutyrate_produced + 0.0009 L-ornithine + 0.0824 NAD+ + 3 H2O = biomass_2 + 0.0824 NADH + 0.00611 CO2 + 3 phosphate + 3 ADP +  0.07501 coenzyme_A + 3.31386 H+ + 0.67001 NADP+</t>
  </si>
  <si>
    <t>biomass DoR 4.6 5 ATP</t>
  </si>
  <si>
    <t>0.00229 D-glucopyranose_6-phosphate + 0.01887 D-ribose_5-phosphate + 0.01032 D-erythrose_4-phosphate + 0.05595 phosphoenolpyruvate + 0.07365 pyruvate + 0.07501 acetyl-CoA + 0.02737 2-oxoglutarate + 0.04016 oxaloacetate + 5 ATP + 0.67001 NADPH + 0.17027 N_GLU + 0.06727 N_GLN + 0.00398 polyhydroxybutyrate_produced + 0.0009 L-ornithine + 0.0824 NAD+ + 5 H2O = biomass_2 + 0.0824 NADH + 0.00611 CO2 + 5 phosphate + 5 ADP + 0.07501 coenzyme_A + 5.31386 H+ + 0.67001 NADP+</t>
  </si>
  <si>
    <t>biomass DoR 4.8 1 ATP</t>
  </si>
  <si>
    <t>0.00229 D-glucopyranose_6-phosphate + 0.01887 D-ribose_5-phosphate + 0.01032 D-erythrose_4-phosphate + 0.05595 phosphoenolpyruvate + 0.07365 pyruvate + 0.07501 acetyl-CoA + 0.02737 2-oxoglutarate + 0.04016 oxaloacetate + 0.99685 ATP + 0.7704 NADPH + 0.17027 N_GLU + 0.06727 N_GLN + 0.00398 polyhydroxybutyrate_produced + 0.0009 L-ornithine + 0.0824 NAD+ + 0.99685 H2O = biomass_2 + 0.0824 NADH + 0.00611 CO2 + 0.99685 phosphate + 0.99685 ADP + 0.07501 coenzyme_A + 1.31071 H+ + 0.7704 NADP+</t>
  </si>
  <si>
    <t>biomass DoR 4.8 3 ATP</t>
  </si>
  <si>
    <t>0.00229 D-glucopyranose_6-phosphate + 0.01887 D-ribose_5-phosphate + 0.01032 D-erythrose_4-phosphate + 0.05595 phosphoenolpyruvate + 0.07365 pyruvate + 0.07501 acetyl-CoA + 0.02737 2-oxoglutarate + 0.04016 oxaloacetate + 3 ATP + 0.7704 NADPH + 0.17027 N_GLU + 0.06727 N_GLN + 0.00398 polyhydroxybutyrate_produced + 0.0009 L-ornithine + 0.0824 NAD+ + 3 H2O = biomass_2 + 0.0824 NADH + 0.00611 CO2 + 3 phosphate + 3 ADP +  0.07501 coenzyme_A + 3.31386 H+ + 0.7704 NADP+</t>
  </si>
  <si>
    <t>biomass DoR 4.8 5 ATP</t>
  </si>
  <si>
    <t>0.00229 D-glucopyranose_6-phosphate + 0.01887 D-ribose_5-phosphate + 0.01032 D-erythrose_4-phosphate + 0.05595 phosphoenolpyruvate + 0.07365 pyruvate + 0.07501 acetyl-CoA + 0.02737 2-oxoglutarate + 0.04016 oxaloacetate + 5 ATP + 0.7704 NADPH + 0.17027 N_GLU + 0.06727 N_GLN + 0.00398 polyhydroxybutyrate_produced + 0.0009 L-ornithine + 0.0824 NAD+ + 5 H2O = biomass_2 + 0.0824 NADH + 0.00611 CO2 + 5 phosphate + 5 ADP + 0.07501 coenzyme_A + 5.31386 H+ + 0.7704 NADP+</t>
  </si>
  <si>
    <t>Type I biomass</t>
  </si>
  <si>
    <t>typeI4.2GAM</t>
  </si>
  <si>
    <t>0.00229 D-glucopyranose_6-phosphate + 0.01885 D-ribose_5-phosphate + 0.01031 D-erythrose_4-phosphate + 0.05587 phosphoenolpyruvate + 0.07355 pyruvate + 0.07491 acetyl-CoA + 0.02734 2-oxoglutarate + 0.0401 oxaloacetate + 1.51345 ATP + 0.47472 NADPH + 0.17004 N_GLU + 0.06718 N_GLN + 0.00287 glycogen_produced + 0.0009 L-ornithine + 0.08229 NAD+ + 1.51345 H2O = biomass_1 + 0.08229 NADH + 0.0061 CO2 + 1.51345 phosphate + 1.51345 ADP + 0.07491 coenzyme_A + 1.8189 H+ + 0.47472 NADP+</t>
  </si>
  <si>
    <t xml:space="preserve">name </t>
  </si>
  <si>
    <t>internal (0), external (1)</t>
  </si>
  <si>
    <t>C20H21N7O7</t>
  </si>
  <si>
    <t>C20H20N7O6</t>
  </si>
  <si>
    <t>NH3</t>
  </si>
  <si>
    <t>C5H9O8P</t>
  </si>
  <si>
    <t>CH4</t>
  </si>
  <si>
    <t>CH4O</t>
  </si>
  <si>
    <t>N2O</t>
  </si>
  <si>
    <t>equivalent metabolite names, Type I and Type II models</t>
  </si>
  <si>
    <t>ribulose-5-phosphate</t>
  </si>
  <si>
    <t>xylulose-5-phosphate</t>
  </si>
  <si>
    <t>sedoheptulose-7-phosphate</t>
  </si>
  <si>
    <t>ribose-5-phosphate</t>
  </si>
  <si>
    <t>alphaketoglutarate</t>
  </si>
  <si>
    <t>malyl-coa</t>
  </si>
  <si>
    <t>3-hydroxybutanoyl-coa</t>
  </si>
  <si>
    <t>acetoacetyl-coa</t>
  </si>
  <si>
    <t>acetyl-coa</t>
  </si>
  <si>
    <t>S_ethylmalonyl-coa</t>
  </si>
  <si>
    <t>S_methylmalonyl-coa</t>
  </si>
  <si>
    <t>R_methylmalonyl-coa</t>
  </si>
  <si>
    <t>R_ethylmalonyl-coa</t>
  </si>
  <si>
    <t>succinyl-coa</t>
  </si>
  <si>
    <t>propanoyl-coa</t>
  </si>
  <si>
    <t>methylfumaryl-coa</t>
  </si>
  <si>
    <t>methylmalyl-coa</t>
  </si>
  <si>
    <t>methylsuccinyl-coa</t>
  </si>
  <si>
    <t>HCO3</t>
  </si>
  <si>
    <t>fructose16bisphosphate</t>
  </si>
  <si>
    <t>fructose6phosphate</t>
  </si>
  <si>
    <t>glucose6phosphate</t>
  </si>
  <si>
    <t>glyceraldehyde3phosphate</t>
  </si>
  <si>
    <t>erythrose-4-phosphate</t>
  </si>
  <si>
    <t>malate</t>
  </si>
  <si>
    <t>formyltetrahydrofolate</t>
  </si>
  <si>
    <t>2-phosphoglycerate</t>
  </si>
  <si>
    <t>3-phosphoglycerate</t>
  </si>
  <si>
    <t>methenyltetrahydrofolate</t>
  </si>
  <si>
    <t>methenyltetrahydromethanopterin</t>
  </si>
  <si>
    <t>methylenetetrahydrofolate</t>
  </si>
  <si>
    <t>methylene-tetrahydromethanopterin</t>
  </si>
  <si>
    <t>glycerate</t>
  </si>
  <si>
    <t>isocitrate</t>
  </si>
  <si>
    <t>crotonyl-coa</t>
  </si>
  <si>
    <t>pyrophosphate</t>
  </si>
  <si>
    <t>H+_pmf</t>
  </si>
  <si>
    <t>type I or type II?</t>
  </si>
  <si>
    <t>rxn number</t>
  </si>
  <si>
    <t>pathway</t>
  </si>
  <si>
    <t>reaction</t>
  </si>
  <si>
    <t>reaction from metacyc</t>
  </si>
  <si>
    <t>reverse</t>
  </si>
  <si>
    <t>forward</t>
  </si>
  <si>
    <t>compartment</t>
  </si>
  <si>
    <t>EC number</t>
  </si>
  <si>
    <t>full name</t>
  </si>
  <si>
    <t>type I example gene</t>
  </si>
  <si>
    <t>type II example gene</t>
  </si>
  <si>
    <t>copper cost</t>
  </si>
  <si>
    <t>citation</t>
  </si>
  <si>
    <t>both</t>
  </si>
  <si>
    <t>methane metabolism</t>
  </si>
  <si>
    <t>methane + QH2 + O2 = methanol + Q + H2O</t>
  </si>
  <si>
    <t>methane + an electron-transfer quinol + dioxygen → methanol + an electron-transfer quinone + H2O</t>
  </si>
  <si>
    <t>membrane bound</t>
  </si>
  <si>
    <t>1.14.18.3 </t>
  </si>
  <si>
    <t>methane monooxygenase (particulate)</t>
  </si>
  <si>
    <t>methane + NADH + H+ + O2 = methanol + NAD+ + H2O</t>
  </si>
  <si>
    <t>methane + NAD(P)H + dioxygen + H+ → methanol + NAD(P)+ + H2O</t>
  </si>
  <si>
    <t>cytoplasm</t>
  </si>
  <si>
    <t>1.14.13.25</t>
  </si>
  <si>
    <t>methane monooxygenase (soluble)</t>
  </si>
  <si>
    <t>methane + O2 = formaldehyde + H2O</t>
  </si>
  <si>
    <t>direct coupling</t>
  </si>
  <si>
    <t xml:space="preserve">methanol + 2 cytc = formaldehyde + 2 cytcE + 2 H_pmf </t>
  </si>
  <si>
    <t xml:space="preserve">methanol + 2 an oxidized cytochrome cL → formaldehyde + 2 a reduced cytochrome cL + 2 H+ </t>
  </si>
  <si>
    <t>periplasmic space</t>
  </si>
  <si>
    <t>1.1.2.7</t>
  </si>
  <si>
    <t>cytochrome c methanol dehydrogenase</t>
  </si>
  <si>
    <t>formaldehyde oxidation</t>
  </si>
  <si>
    <t>formaldehyde + NAD+ + H2O = formate + NADH + 2 H+</t>
  </si>
  <si>
    <t>formaldehyde + NAD+ + H2O → formate + NADH + 2 H+</t>
  </si>
  <si>
    <t>1.2.1.46</t>
  </si>
  <si>
    <t>formaldehyde dehydrogenase</t>
  </si>
  <si>
    <t>formaldehyde + 2 cytc + H2O = formate + 2 cytcE + 3 H_pmf</t>
  </si>
  <si>
    <t xml:space="preserve">formaldehyde + 2 ferricytochrome b559/569 + H2O = formate + 2 ferrocytochrome b559/569 + 2 H+ </t>
  </si>
  <si>
    <t>membrane</t>
  </si>
  <si>
    <t>1.2.2.B1</t>
  </si>
  <si>
    <t>quinoprotein formaldehyde dehydrogenase (cytochrome b559/569)</t>
  </si>
  <si>
    <t>I</t>
  </si>
  <si>
    <t>R6</t>
  </si>
  <si>
    <t>ribulose monophosphate pathway (RuMP)</t>
  </si>
  <si>
    <t>D-ribulose_5-phosphate + formaldehyde = hexulose_6-phosphate</t>
  </si>
  <si>
    <t>hexulose 6-phosphate ↔ D-ribulose 5-phosphate + formaldehyde</t>
  </si>
  <si>
    <t>4.1.2.43</t>
  </si>
  <si>
    <t>3-hexulose-6-phosphate synthase</t>
  </si>
  <si>
    <t>R7</t>
  </si>
  <si>
    <t>hexulose_6-phosphate = B-D-fructofuranose_6-phosphate</t>
  </si>
  <si>
    <t>hexulose 6-phosphate ↔ β-D-fructofuranose 6-phosphate</t>
  </si>
  <si>
    <t>5.3.1.27</t>
  </si>
  <si>
    <t>6-phospho-3-hexuloisomerase</t>
  </si>
  <si>
    <t>formaldehyde oxidation (H4MPT) pathway</t>
  </si>
  <si>
    <t>formaldehyde + tetrahydromethanopterin = H2O + 5,10-methylene-tetrahydromethanopterin</t>
  </si>
  <si>
    <t>5,10-methylene-tetrahydromethanopterin + H2O ← formaldehyde + tetrahydromethanopterin</t>
  </si>
  <si>
    <t>4.2.1.147</t>
  </si>
  <si>
    <t>5,6,7,8-tetrahydromethanopterin hydro-lyase</t>
  </si>
  <si>
    <t>5,10-methylene-tetrahydromethanopterin + NAD+ = 5,10-methenyltetrahydromethanopterin + NADH</t>
  </si>
  <si>
    <t>5,10-methylene-tetrahydromethanopterin + NAD(P)+ ↔ 5,10-methenyltetrahydromethanopterin + NAD(P)H</t>
  </si>
  <si>
    <t>1.5.1.-</t>
  </si>
  <si>
    <t>NAD(P)-dependent methylene H4MPT dehydrogenase</t>
  </si>
  <si>
    <t>5,10-methylene-tetrahydromethanopterin + NADP+ = 5,10-methenyltetrahydromethanopterin + NADPH</t>
  </si>
  <si>
    <t>5,10-methenyltetrahydromethanopterin + H2O = 5-formyl-tetrahydromethanopterin + H+</t>
  </si>
  <si>
    <t>5,10-methenyltetrahydromethanopterin + H2O → 5-formyl-tetrahydromethanopterin + H+</t>
  </si>
  <si>
    <t>3.5.4.27</t>
  </si>
  <si>
    <t>methenyltetrahydropterin cyclohydrolase</t>
  </si>
  <si>
    <t>5-formyl-tetrahydromethanopterin + H2O = formate + tetrahydromethanopterin + H+</t>
  </si>
  <si>
    <t xml:space="preserve">5-formyl-tetrahydromethanopterin + H2O → formate + tetrahydromethanopterin + H+ </t>
  </si>
  <si>
    <t>formyltransferase/hydrolase complex</t>
  </si>
  <si>
    <t>formaldehyde oxidation (THF) pathway</t>
  </si>
  <si>
    <t>formaldehyde + tetrahydrofolate = 5,10-methylenetetrahydrofolate + H2O</t>
  </si>
  <si>
    <t>spontaneous</t>
  </si>
  <si>
    <t>5,10-methylenetetrahydrofolate + NADP+ = 5,10-methenyltetrahydrofolate + NADPH</t>
  </si>
  <si>
    <t>5,10-methylenetetrahydrofolate + NADP+ → 5,10-methenyltetrahydrofolate + NADPH</t>
  </si>
  <si>
    <t>1.5.1.5.</t>
  </si>
  <si>
    <t>methylenetetrahydrofolate dehydrogenase (NADP+)</t>
  </si>
  <si>
    <t>type II</t>
  </si>
  <si>
    <t>5,10-methenyltetrahydrofolate + H2O = 10-formyl-tetrahydrofolate + H+</t>
  </si>
  <si>
    <t>5,10-methenyltetrahydrofolate + H2O ↔ 10-formyl-tetrahydrofolate + H+</t>
  </si>
  <si>
    <t>3.5.4.9</t>
  </si>
  <si>
    <t>methenyl tetrahydrofolate cyclohydrolase</t>
  </si>
  <si>
    <t>ATP + formate + tetrahydrofolate = ADP + 10-formyl-tetrahydrofolate + phosphate</t>
  </si>
  <si>
    <t>ATP + formate + tetrahydrofolate ↔ ADP + 10-formyl-tetrahydrofolate + phosphate</t>
  </si>
  <si>
    <t>6.3.4.3</t>
  </si>
  <si>
    <t>formate-tetrahydrofolate ligase</t>
  </si>
  <si>
    <t>formate dehydrogenase</t>
  </si>
  <si>
    <t>formate + NAD+ = NADH + CO2</t>
  </si>
  <si>
    <t>formate + NAD+ ⇄ CO2 + NADH</t>
  </si>
  <si>
    <t>1.17.1.9</t>
  </si>
  <si>
    <t>other functionality in type I methanotrophs But et al 2019</t>
  </si>
  <si>
    <t>serine cycle</t>
  </si>
  <si>
    <t>glycine + 5,10-methylenetetrahydrofolate + H2O = L-serine + tetrahydrofolate</t>
  </si>
  <si>
    <t>L-serine + a tetrahydrofolate ↔ glycine + a 5,10-methylenetetrahydrofolate + H2O</t>
  </si>
  <si>
    <t>2.1.2.1</t>
  </si>
  <si>
    <t>glycine hydroxymethyltransferase (serine hydroxymethyltransferase)</t>
  </si>
  <si>
    <t>also annotated as alanine, check But et al 2019</t>
  </si>
  <si>
    <t>glyoxylate + L-serine = glycine + hydroxypyruvate</t>
  </si>
  <si>
    <t>glyoxylate + L-serine ↔ hydroxypyruvate + glycine</t>
  </si>
  <si>
    <t>2.6.1.45</t>
  </si>
  <si>
    <t>serine-glyoxylate aminotransferase</t>
  </si>
  <si>
    <t>But et al 2017, need both NADH and NADPH versions of this. Also it's tetrameric in OB3b but dimeric in methanotrophs w the RuMP pathway. Also, for type I or type X methanotrophs, plays a role in interconversion of glyoxylate and glycolate--less important for type II, consider whether to add it in (But et al 2017). Irreversible in methanotrophs both for glycerate to hydroxypyruvate and for glycolate oxidation</t>
  </si>
  <si>
    <t>hydroxypyruvate + NADH + H+ = D-glycerate + NAD+</t>
  </si>
  <si>
    <t>D-glycerate + NAD(P)+ ↔ hydroxypyruvate + NAD(P)H + H+</t>
  </si>
  <si>
    <t>1.1.1.81</t>
  </si>
  <si>
    <t>hydroxypyruvate reductase</t>
  </si>
  <si>
    <t>But et al 2017</t>
  </si>
  <si>
    <t>hydroxypyruvate + NADPH + H+ = D-glycerate + NADP+</t>
  </si>
  <si>
    <t>D-glycerate + ATP = 2-phospho-D-glycerate + ADP + H+</t>
  </si>
  <si>
    <t>D-glycerate + ATP → 2-phospho-D-glycerate + ADP + H+</t>
  </si>
  <si>
    <t>2.7.1.165</t>
  </si>
  <si>
    <t>glycerate kinase</t>
  </si>
  <si>
    <t>serine cycle to gluconeogenesis</t>
  </si>
  <si>
    <t>2-phospho-D-glycerate = 3-phospho-D-glycerate</t>
  </si>
  <si>
    <t>2-phospho-D-glycerate ↔ 3-phospho-D-glycerate</t>
  </si>
  <si>
    <t>5.4.2.12</t>
  </si>
  <si>
    <t>2,3-bisphosphoglycerate-independent phosphoglycerate mutase</t>
  </si>
  <si>
    <t>2-phospho-D-glycerate = phosphoenolpyruvate + 1 H2O</t>
  </si>
  <si>
    <t>2-phospho-D-glycerate ↔ phosphoenolpyruvate + H2O</t>
  </si>
  <si>
    <t>4.2.1.11</t>
  </si>
  <si>
    <t>enolase</t>
  </si>
  <si>
    <t>OAA reduction is favored vs malate oxidation in OB3b, Rozova 2015</t>
  </si>
  <si>
    <t>II</t>
  </si>
  <si>
    <t>phosphoenolpyruvate + hydrogencarbonate = oxaloacetate + phosphate</t>
  </si>
  <si>
    <t>oxaloacetate + phosphate ← phosphoenolpyruvate + hydrogencarbonate</t>
  </si>
  <si>
    <t>4.1.1.31</t>
  </si>
  <si>
    <t>phosphoenolpyruvate carboxylase</t>
  </si>
  <si>
    <t>serine cycle to TCA</t>
  </si>
  <si>
    <t>oxaloacetate + NADH + H+ = (S)-malate + NAD+</t>
  </si>
  <si>
    <t>(S)-malate + NAD+ ↔ oxaloacetate + NADH + H+</t>
  </si>
  <si>
    <t>1.1.1.37</t>
  </si>
  <si>
    <t>malate dehydrogenase (NAD+)</t>
  </si>
  <si>
    <t>(S)-malate + ATP + coenzyme_A = (S)-malyl-CoA + ADP + phosphate</t>
  </si>
  <si>
    <t>(S)-malate + ATP + coenzyme A ↔ (S)-malyl-CoA + ADP + phosphate</t>
  </si>
  <si>
    <t>6.2.1.9</t>
  </si>
  <si>
    <t>malate thiokinase (malate-CoA ligase)</t>
  </si>
  <si>
    <t>made irreversible to prevent loops. This means the EMC pathway can only be used to provide glyoxylate for the serine pathway, so glyoxylate cannot be converted to malate (without the addition of a 1C donor)</t>
  </si>
  <si>
    <t>serine cycle/EMC pathway</t>
  </si>
  <si>
    <t>(S)-malyl-CoA = acetyl-CoA + glyoxylate</t>
  </si>
  <si>
    <t>(S)-malyl-CoA ↔ glyoxylate + acetyl-CoA</t>
  </si>
  <si>
    <t>4.1.3.24</t>
  </si>
  <si>
    <t>malyl coenzyme A lyase</t>
  </si>
  <si>
    <t>EMC pathway/ PHB biosynthesis</t>
  </si>
  <si>
    <t>2 acetyl-CoA = acetoacetyl-CoA + coenzyme_A</t>
  </si>
  <si>
    <t>2 acetyl-CoA ↔ acetoacetyl-CoA + coenzyme A</t>
  </si>
  <si>
    <t>2.3.1.9</t>
  </si>
  <si>
    <t>acetyl-CoA acetyltransferase</t>
  </si>
  <si>
    <t>acetoacetyl-CoA + NADPH + H+ = (3R)-3-hydroxybutanoyl-CoA + NADP+</t>
  </si>
  <si>
    <t>(3R)-3-hydroxybutanoyl-CoA + NADP+ ← acetoacetyl-CoA + NADPH + H+</t>
  </si>
  <si>
    <t>1.1.1.36</t>
  </si>
  <si>
    <t>acetoacetyl-CoA reductase</t>
  </si>
  <si>
    <t>EMC pathway</t>
  </si>
  <si>
    <t>(3R)-3-hydroxybutanoyl-CoA = crotonyl-CoA + H2O</t>
  </si>
  <si>
    <t>(3R)-3-hydroxybutanoyl-CoA ↔ crotonyl-CoA + H2O</t>
  </si>
  <si>
    <t>4.2.1.55</t>
  </si>
  <si>
    <t>3-hydroxybutyryl-CoA dehydratase (crotonase)</t>
  </si>
  <si>
    <t>crotonyl-CoA + CO2 + NADPH = NADP+ + (2S)-ethylmalonyl-CoA</t>
  </si>
  <si>
    <t>(2S)-ethylmalonyl-CoA + NADP+ ← crotonyl-CoA + CO2 + NADPH</t>
  </si>
  <si>
    <t>1.3.1.85</t>
  </si>
  <si>
    <t>crotonyl-CoA carboxylase/reductase</t>
  </si>
  <si>
    <t>(2S)-ethylmalonyl-CoA = (2R)-ethylmalonyl-CoA</t>
  </si>
  <si>
    <t>(2S)-ethylmalonyl-CoA → (2R)-ethylmalonyl-CoA</t>
  </si>
  <si>
    <t>5.1.99.1</t>
  </si>
  <si>
    <t>ethylmalonyl-CoA/methylmalonyl-CoA epimerase</t>
  </si>
  <si>
    <t>(2R)-ethylmalonyl-CoA = (2S)-methylsuccinyl-CoA</t>
  </si>
  <si>
    <t>(2R)-ethylmalonyl-CoA → (2S)-methylsuccinyl-CoA</t>
  </si>
  <si>
    <t>5.4.99.63</t>
  </si>
  <si>
    <t>(2R)-ethylmalonyl-CoA mutase</t>
  </si>
  <si>
    <t>flavoprotein converted to quinol for purposes of this model</t>
  </si>
  <si>
    <t>(2S)-methylsuccinyl-CoA + Q = QH2 + 2-methylfumaryl-CoA</t>
  </si>
  <si>
    <t>(2S)-methylsuccinyl-CoA + an oxidized electron-transfer flavoprotein + H+ → 2-methylfumaryl-CoA + a reduced electron-transfer flavoprotein</t>
  </si>
  <si>
    <t>1.3.8.12</t>
  </si>
  <si>
    <t>(2S)-methylsuccinyl-CoA dehydrogenase</t>
  </si>
  <si>
    <t xml:space="preserve">EMC pathway </t>
  </si>
  <si>
    <t>2-methylfumaryl-CoA + H2O = (2R,3S)-B-methylmalyl-CoA</t>
  </si>
  <si>
    <t>(2R,3S)-β-methylmalyl-CoA ↔ 2-methylfumaryl-CoA + H2O</t>
  </si>
  <si>
    <t>4.2.1.148</t>
  </si>
  <si>
    <t>mesaconyl-CoA hydratase</t>
  </si>
  <si>
    <t>EMC pathway to propanoyl CoA degradation</t>
  </si>
  <si>
    <t>(2R,3S)-B-methylmalyl-CoA = glyoxylate + propanoyl-CoA</t>
  </si>
  <si>
    <t>(2R,3S)-β-methylmalyl-CoA ↔ glyoxylate + propanoyl-CoA</t>
  </si>
  <si>
    <t>malyl-CoA lyase</t>
  </si>
  <si>
    <t>propanoyl CoA degradation</t>
  </si>
  <si>
    <t>ATP + propanoyl-CoA + hydrogencarbonate = (S)-methylmalonyl-CoA + ADP + phosphate + H+</t>
  </si>
  <si>
    <t>ATP + propanoyl-CoA + hydrogencarbonate ↔ (S)-methylmalonyl-CoA + ADP + phosphate + H+</t>
  </si>
  <si>
    <t>6.4.1.3</t>
  </si>
  <si>
    <t>propanoyl-CoA carboxylase</t>
  </si>
  <si>
    <t xml:space="preserve">(S)-methylmalonyl-CoA = (R)-methylmalonyl-CoA  </t>
  </si>
  <si>
    <t>(R)-methylmalonyl-CoA ↔ (S)-methylmalonyl-CoA</t>
  </si>
  <si>
    <t>(R)-methylmalonyl-CoA = succinyl-CoA</t>
  </si>
  <si>
    <t>(R)-methylmalonyl-CoA ↔ succinyl-CoA</t>
  </si>
  <si>
    <t>5.4.99.2</t>
  </si>
  <si>
    <t>methylmalonyl-CoA mutase</t>
  </si>
  <si>
    <t>TCA</t>
  </si>
  <si>
    <t>pyruvate + coenzyme_A + NAD+ = acetyl-CoA + CO2 + NADH</t>
  </si>
  <si>
    <t>pyruvate + coenzyme A + NAD+ → acetyl-CoA + CO2 + NADH</t>
  </si>
  <si>
    <t>1.2.1.104</t>
  </si>
  <si>
    <t>pyruvate dehydrogenase system (PDH)</t>
  </si>
  <si>
    <t>*this is correct as irreversible</t>
  </si>
  <si>
    <t>acetyl-CoA + oxaloacetate + H2O = citrate + coenzyme_A + H+</t>
  </si>
  <si>
    <t>acetyl-CoA + oxaloacetate + H2O ↔ citrate + coenzyme A + H+</t>
  </si>
  <si>
    <t>2.3.3.1, 2.3.3.16</t>
  </si>
  <si>
    <t>citrate synthase</t>
  </si>
  <si>
    <t>citrate = D-threo-isocitrate</t>
  </si>
  <si>
    <t>citrate ↔ D-threo-isocitrate</t>
  </si>
  <si>
    <t>4.2.1.3</t>
  </si>
  <si>
    <t>aconitate hydratase</t>
  </si>
  <si>
    <t>*irreversible to prevent loops</t>
  </si>
  <si>
    <t>D-threo-isocitrate + NADP+ = 2-oxoglutarate + CO2 + NADPH</t>
  </si>
  <si>
    <t>D-threo-isocitrate + NADP+ ↔ 2-oxoglutarate + CO2 + NADPH</t>
  </si>
  <si>
    <t>1.1.1.42</t>
  </si>
  <si>
    <r>
      <t>isocitrate dehydrogenase (NADP</t>
    </r>
    <r>
      <rPr>
        <vertAlign val="superscript"/>
        <sz val="7.5"/>
        <color theme="1"/>
        <rFont val="Calibri"/>
        <family val="2"/>
        <scheme val="minor"/>
      </rPr>
      <t>+</t>
    </r>
    <r>
      <rPr>
        <sz val="11"/>
        <color theme="1"/>
        <rFont val="Calibri"/>
        <family val="2"/>
        <scheme val="minor"/>
      </rPr>
      <t>)</t>
    </r>
  </si>
  <si>
    <t>D-threo-isocitrate + NAD+ = 2-oxoglutarate + CO2 + NADH</t>
  </si>
  <si>
    <t>D-threo-isocitrate + NAD+ → 2-oxoglutarate + CO2 + NADH</t>
  </si>
  <si>
    <t>1.1.1.41</t>
  </si>
  <si>
    <r>
      <t>isocitrate dehydrogenase (NAD</t>
    </r>
    <r>
      <rPr>
        <vertAlign val="superscript"/>
        <sz val="7.5"/>
        <color theme="1"/>
        <rFont val="Calibri"/>
        <family val="2"/>
        <scheme val="minor"/>
      </rPr>
      <t>+</t>
    </r>
    <r>
      <rPr>
        <sz val="11"/>
        <color theme="1"/>
        <rFont val="Calibri"/>
        <family val="2"/>
        <scheme val="minor"/>
      </rPr>
      <t>)</t>
    </r>
  </si>
  <si>
    <t>2-oxoglutarate + coenzyme_A + NAD+ = succinyl-CoA + NADH + CO2</t>
  </si>
  <si>
    <t>2-oxoglutarate + coenzyme A + NAD+ → succinyl-CoA + CO2 + NADH (2-oxoglutarate dehydrogenase complex)</t>
  </si>
  <si>
    <t>1.2.1.105</t>
  </si>
  <si>
    <t>2-oxoglutarate dehydrogenase system</t>
  </si>
  <si>
    <t>ADP + phosphate + succinyl-CoA = ATP + succinate + coenzyme_A</t>
  </si>
  <si>
    <t>succinate + ATP + coenzyme A ↔ succinyl-CoA + ADP + phosphate</t>
  </si>
  <si>
    <t>6.2.1.5</t>
  </si>
  <si>
    <t>succinate—CoA ligase (ADP-forming)</t>
  </si>
  <si>
    <t>succinate dehydrogenase reaction combined with fumarate reductase to prevent loop. Pay attention to this when calculating investment</t>
  </si>
  <si>
    <t>succinate + Q = fumarate + QH2</t>
  </si>
  <si>
    <t>succinate[in] + a ubiquinone[membrane] → fumarate[in] + a ubiquinol[membrane]</t>
  </si>
  <si>
    <t>1.3.5.1</t>
  </si>
  <si>
    <t>succinate dehydrogenase</t>
  </si>
  <si>
    <t xml:space="preserve">fumarate + H2O = (S)-malate </t>
  </si>
  <si>
    <t>(S)-malate ↔ fumarate + H2O</t>
  </si>
  <si>
    <t>4.2.1.2</t>
  </si>
  <si>
    <t>fumarate hydratase</t>
  </si>
  <si>
    <t>Rosova et al</t>
  </si>
  <si>
    <t>TCA to glycolysis</t>
  </si>
  <si>
    <t>(S)-malate + NADP+ = pyruvate + CO2 + NADPH</t>
  </si>
  <si>
    <t>(S)-malate + NADP+ → pyruvate + CO2 + NADPH</t>
  </si>
  <si>
    <t>1.1.1.40</t>
  </si>
  <si>
    <t>NADP+ dependent malic enzyme</t>
  </si>
  <si>
    <t>(S)-malate + NAD+ = pyruvate + CO2 + NADH</t>
  </si>
  <si>
    <t>(S)-malate + NAD+ → pyruvate + CO2 + NADH</t>
  </si>
  <si>
    <t>1.1.1.38</t>
  </si>
  <si>
    <t>NAD+ dependent malic enzyme</t>
  </si>
  <si>
    <t>Matsen et al 2013 (OB3b) and in KEGG annotation for Methylomonas koyamae LM6</t>
  </si>
  <si>
    <t>pyruvate + hydrogencarbonate + ATP = oxaloacetate + ADP + phosphate + H+</t>
  </si>
  <si>
    <t>pyruvate + hydrogencarbonate + ATP → oxaloacetate + ADP + phosphate + H+</t>
  </si>
  <si>
    <t>6.4.1.1</t>
  </si>
  <si>
    <t>pyruvate carboxylase</t>
  </si>
  <si>
    <t>*made irreversible for gluconeogenesis to prevent loops in type II</t>
  </si>
  <si>
    <t>D-glucopyranose_6-phosphate = B-D-fructofuranose_6-phosphate</t>
  </si>
  <si>
    <t>glycolysis</t>
  </si>
  <si>
    <t>D-glucopyranose 6-phosphate ↔ β-D-fructofuranose 6-phosphate</t>
  </si>
  <si>
    <t>5.3.1.9</t>
  </si>
  <si>
    <t>glucose-6-phosphate isomerase</t>
  </si>
  <si>
    <t>B-D-fructofuranose_6-phosphate + diphosphate = B-D-fructofuranose_1,6-bisphosphate + phosphate + H+</t>
  </si>
  <si>
    <t>β-D-fructofuranose 6-phosphate + diphosphate ↔ β-D-fructofuranose 1,6-bisphosphate + phosphate + H+</t>
  </si>
  <si>
    <t>2.7.1.90</t>
  </si>
  <si>
    <t>pyrophosphate dependent phosphofructokinase</t>
  </si>
  <si>
    <t>B-D-fructofuranose_1,6-bisphosphate = glycerone_phosphate + D-glyceraldehyde_3-phosphate</t>
  </si>
  <si>
    <t>gluconeogenesis/glycolysis</t>
  </si>
  <si>
    <t>β-D-fructofuranose 1,6-bisphosphate ↔ glycerone phosphate + D-glyceraldehyde 3-phosphate</t>
  </si>
  <si>
    <t>4.1.2.13</t>
  </si>
  <si>
    <t>fructose-1,6-bisphosphate aldolase</t>
  </si>
  <si>
    <t>glycerone_phosphate = D-glyceraldehyde_3-phosphate</t>
  </si>
  <si>
    <t>D-glyceraldehyde 3-phosphate ↔ glycerone phosphate</t>
  </si>
  <si>
    <t>5.3.1.1</t>
  </si>
  <si>
    <t>triosephosphate isomerase</t>
  </si>
  <si>
    <t>D-glyceraldehyde_3-phosphate + NAD+ + phosphate = 3-phospho-D-glycerol_phosphate + NADH + H+</t>
  </si>
  <si>
    <t>D-glyceraldehyde 3-phosphate + NAD+ + phosphate ↔ 3-phospho-D-glyceroyl phosphate + NADH + H+</t>
  </si>
  <si>
    <t>1.2.1.12</t>
  </si>
  <si>
    <t>glyceraldehyde-3-phosphate dehydrogenase (triosephosphate dehydrogenase)</t>
  </si>
  <si>
    <t xml:space="preserve">3-phospho-D-glycerol_phosphate + ADP = 1 3-phospho-D-glycerate + 1 ATP </t>
  </si>
  <si>
    <t>3-phospho-D-glycerate + ATP ↔ 3-phospho-D-glyceroyl phosphate + ADP</t>
  </si>
  <si>
    <t>2.7.2.3</t>
  </si>
  <si>
    <t xml:space="preserve">phosphoglycerate kinase </t>
  </si>
  <si>
    <t>phosphoenolpyruvate + AMP + diphosphate + H+ = pyruvate + ATP + phosphate</t>
  </si>
  <si>
    <t>gluconeogenesis</t>
  </si>
  <si>
    <t>pyruvate + ATP + phosphate ↔ phosphoenolpyruvate + AMP + diphosphate + H+</t>
  </si>
  <si>
    <t>2.7.9.1</t>
  </si>
  <si>
    <t>pyruvate phosphate dikinase</t>
  </si>
  <si>
    <t>R61</t>
  </si>
  <si>
    <t>Entner-Doudoroff/PPP</t>
  </si>
  <si>
    <t>D-glucopyranose_6-phosphate + NADP+ = 6-phospho_D-glucono-1,5-lactone + NADPH + H+</t>
  </si>
  <si>
    <t>D-glucopyranose 6-phosphate + NADP+ → 6-phospho D-glucono-1,5-lactone + NADPH + H+</t>
  </si>
  <si>
    <t>1.1.1.49</t>
  </si>
  <si>
    <t>NADP+-dependent glucose-6-phosphate dehydrogenase</t>
  </si>
  <si>
    <t>R62</t>
  </si>
  <si>
    <t>6-phospho_D-glucono-1,5-lactone + H2O = D-gluconate_6-phosphate + H+</t>
  </si>
  <si>
    <t>6-phospho D-glucono-1,5-lactone + H2O → D-gluconate 6-phosphate + H+</t>
  </si>
  <si>
    <t>3.1.1.31</t>
  </si>
  <si>
    <t>6-phosphogluconolactonase</t>
  </si>
  <si>
    <t>R63</t>
  </si>
  <si>
    <t>Entner-Doudoroff</t>
  </si>
  <si>
    <t>D-gluconate_6-phosphate = 2-dehydro-3-deoxy-D-gluconate_6-phosphate + H2O</t>
  </si>
  <si>
    <t>D-gluconate 6-phosphate → 2-dehydro-3-deoxy-D-gluconate 6-phosphate + H2O</t>
  </si>
  <si>
    <t>4.2.1.12</t>
  </si>
  <si>
    <t>phosphogluconate dehydratase</t>
  </si>
  <si>
    <t>R64</t>
  </si>
  <si>
    <t>2-dehydro-3-deoxy-D-gluconate_6-phosphate = D-glyceraldehyde_3-phosphate + pyruvate</t>
  </si>
  <si>
    <t>2-dehydro-3-deoxy-D-gluconate 6-phosphate → D-glyceraldehyde 3-phosphate + pyruvate</t>
  </si>
  <si>
    <r>
      <t>4.1.2.14</t>
    </r>
    <r>
      <rPr>
        <sz val="10"/>
        <color rgb="FF333333"/>
        <rFont val="Calibri"/>
        <family val="2"/>
        <scheme val="minor"/>
      </rPr>
      <t>, </t>
    </r>
    <r>
      <rPr>
        <sz val="10"/>
        <color rgb="FF01549F"/>
        <rFont val="Calibri"/>
        <family val="2"/>
        <scheme val="minor"/>
      </rPr>
      <t>4.1.2.55</t>
    </r>
  </si>
  <si>
    <t>2-dehydro-3-deoxy-phosphogluconate aldolase</t>
  </si>
  <si>
    <t>blocked in type II (no gluconate link)</t>
  </si>
  <si>
    <t>R65</t>
  </si>
  <si>
    <t>phosphoketolase pathway</t>
  </si>
  <si>
    <t>D-gluconate_6-phosphate + NADP+ = D-ribulose_5-phosphate + CO2 + NADPH</t>
  </si>
  <si>
    <t>D-gluconate 6-phosphate + NADP+ → D-ribulose 5-phosphate + CO2 + NADPH</t>
  </si>
  <si>
    <t>1.1.1.44</t>
  </si>
  <si>
    <r>
      <t>phosphogluconate dehydrogenase [NAD(P)</t>
    </r>
    <r>
      <rPr>
        <vertAlign val="superscript"/>
        <sz val="7.5"/>
        <color theme="1"/>
        <rFont val="Calibri"/>
        <family val="2"/>
        <scheme val="minor"/>
      </rPr>
      <t>+</t>
    </r>
    <r>
      <rPr>
        <sz val="11"/>
        <color theme="1"/>
        <rFont val="Calibri"/>
        <family val="2"/>
        <scheme val="minor"/>
      </rPr>
      <t>-dependent, decarboxylating]</t>
    </r>
  </si>
  <si>
    <t>R66</t>
  </si>
  <si>
    <t>D-gluconate_6-phosphate + NAD+ = D-ribulose_5-phosphate + CO2 + NADH</t>
  </si>
  <si>
    <t xml:space="preserve">D-gluconate 6-phosphate + NAD+ → D-ribulose 5-phosphate + CO2 + NADH  </t>
  </si>
  <si>
    <t>1.1.1.343</t>
  </si>
  <si>
    <t>removed from type II</t>
  </si>
  <si>
    <t>R67</t>
  </si>
  <si>
    <t>D-xylulose_5-phosphate + phosphate = D-glyceraldehyde_3-phosphate + acetyl_phosphate + H2O</t>
  </si>
  <si>
    <t>D-xylulose 5-phosphate + phosphate → D-glyceraldehyde 3-phosphate + acetyl phosphate + H2O</t>
  </si>
  <si>
    <t>4.1.2.9</t>
  </si>
  <si>
    <t>phosphoketolase</t>
  </si>
  <si>
    <t>R68</t>
  </si>
  <si>
    <t>B-D-fructofuranose_6-phosphate + phosphate = D-erythrose_4-phosphate + acetyl_phosphate + H2O</t>
  </si>
  <si>
    <t>β-D-fructofuranose 6-phosphate + phosphate → D-erythrose 4-phosphate + acetyl phosphate + H2O</t>
  </si>
  <si>
    <t>4.1.2.22</t>
  </si>
  <si>
    <t>pentose phosphate pathway</t>
  </si>
  <si>
    <t xml:space="preserve">D-ribose_5-phosphate + D-xylulose_5-phosphate = D-sedoheptulose_7-phosphate + D-glyceraldehyde_3-phosphate </t>
  </si>
  <si>
    <t>D-sedoheptulose 7-phosphate + D-glyceraldehyde-3-phosphate ← D-ribose 5-phosphate + D-xylulose-5-phosphate</t>
  </si>
  <si>
    <t>2.2.1.1</t>
  </si>
  <si>
    <t>transketolase</t>
  </si>
  <si>
    <t>D-erythrose_4-phosphate + D-xylulose_5-phosphate = B-D-fructofuranose_6-phosphate + D-glyceraldehyde_3-phosphate</t>
  </si>
  <si>
    <t>D-erythrose 4-phosphate + D-xylulose 5-phosphate ↔ β-D-fructofuranose 6-phosphate + D-glyceraldehyde 3-phosphate</t>
  </si>
  <si>
    <t>D-ribulose_5-phosphate = D-xylulose_5-phosphate</t>
  </si>
  <si>
    <t>D-ribulose 5-phosphate ↔ D-xylulose 5-phosphate</t>
  </si>
  <si>
    <t>5.1.3.1</t>
  </si>
  <si>
    <t>ribulose-phosphate 3-epimerase</t>
  </si>
  <si>
    <t>D-ribose_5-phosphate = D-ribulose_5-phosphate</t>
  </si>
  <si>
    <t>D-ribose 5-phosphate ← D-ribulose-5-phosphate</t>
  </si>
  <si>
    <t>5.3.1.6</t>
  </si>
  <si>
    <t>ribose-5-phosphate isomerase</t>
  </si>
  <si>
    <t>D-sedoheptulose_7-phosphate + D-glyceraldehyde_3-phosphate = B-D-fructofuranose_6-phosphate + D-erythrose_4-phosphate</t>
  </si>
  <si>
    <t>D-sedoheptulose 7-phosphate + D-glyceraldehyde 3-phosphate ↔ β-D-fructofuranose 6-phosphate + D-erythrose 4-phosphate</t>
  </si>
  <si>
    <t>2.2.1.2</t>
  </si>
  <si>
    <t>transaldolase</t>
  </si>
  <si>
    <t>PHB synthesis</t>
  </si>
  <si>
    <t>(3R)-3-hydroxybutanoyl-CoA + H2O = polyhydroxybutyrate_produced + coenzyme_A + H+</t>
  </si>
  <si>
    <t>(3R)-3-hydroxybutanoyl-CoA[periplasm] + [(R)-3-hydroxybutanoate]n[periplasm] → [(R)-3-hydroxybutanoate](n+1)[periplasm] + coenzyme A[periplasm]</t>
  </si>
  <si>
    <t>2.3.1.dq</t>
  </si>
  <si>
    <t>class I poly(R)-hydroxyalkanoic acid synthase</t>
  </si>
  <si>
    <t>PHB degradation</t>
  </si>
  <si>
    <t xml:space="preserve">polyhydroxybutyrate_consumed = 3-hydroxybutanoate </t>
  </si>
  <si>
    <t>[(R)-3-hydroxybutanoate]n + H2O → [(R)-3-hydroxybutanoate](n-1) + (R)-3-hydroxybutanoate</t>
  </si>
  <si>
    <t>3.1.1.75</t>
  </si>
  <si>
    <t>polyhydroxyalkanoate depolymerase</t>
  </si>
  <si>
    <t xml:space="preserve">NAD+ + 3-hydroxybutanoate = acetoacetate + NADH + H+  </t>
  </si>
  <si>
    <t>(R)-3-hydroxybutanoate + NAD+ = acetoacetate + NADH + H+</t>
  </si>
  <si>
    <t>1.1.1.30</t>
  </si>
  <si>
    <t>3-hydroxybutyrate dehydrogenase</t>
  </si>
  <si>
    <t>ATP + acetoacetate + coenzyme_A = AMP + diphosphate + acetoacetyl-CoA</t>
  </si>
  <si>
    <t>acetoacetate + ATP + coenzyme A → acetoacetyl-CoA + AMP + diphosphate</t>
  </si>
  <si>
    <t>6.2.1.16</t>
  </si>
  <si>
    <t>acetoacetate:CoA ligase (AMP-forming)</t>
  </si>
  <si>
    <t>*will only be used for fulfilling biomass term requirements under PHB consumption conditions</t>
  </si>
  <si>
    <t>PHB degradation to biomass</t>
  </si>
  <si>
    <t>polyhydroxybutyrate_consumed = polyhydroxybutyrate_produced</t>
  </si>
  <si>
    <t>carbonic anhydrase</t>
  </si>
  <si>
    <t>hydrogencarbonate + H+ = CO2 + H2O</t>
  </si>
  <si>
    <t>hydrogencarbonate + H+ ↔ CO2 + H2O</t>
  </si>
  <si>
    <t>4.2.1.1</t>
  </si>
  <si>
    <t>nitrogen metabolism</t>
  </si>
  <si>
    <t>ammonium = ammonia + H+</t>
  </si>
  <si>
    <t>ammonium + L-glutamate + ATP = L-glutamine + ADP + phosphate + H+</t>
  </si>
  <si>
    <t>ammonium + L-glutamate + ATP → L-glutamine + ADP + phosphate + H+</t>
  </si>
  <si>
    <t>6.3.1.2</t>
  </si>
  <si>
    <t>glutamine synthetase</t>
  </si>
  <si>
    <t>gln</t>
  </si>
  <si>
    <t>NADPH version annotated in KEGG for OB3b</t>
  </si>
  <si>
    <t>L-glutamine + 2-oxoglutarate + NADPH + H+ = 2 L-glutamate + NADP+</t>
  </si>
  <si>
    <t>2 L-glutamate + NADP+ ← L-glutamine + 2-oxoglutarate + NADPH + H+</t>
  </si>
  <si>
    <t>1.4.1.13</t>
  </si>
  <si>
    <t>glutamate synthase (NADPH dependent)</t>
  </si>
  <si>
    <t>only nickel-iron hydrogenases present Shah et al 1995</t>
  </si>
  <si>
    <t>N2 + 8 ferredoxin_reduced + 16 ATP + 16 H2O = 2 ammonium + H2 + 16 ADP + 16 phosphate + 8 ferredoxin_oxidized + 6 H+</t>
  </si>
  <si>
    <t>8 a reduced ferredoxin [iron-sulfur] cluster + N2 + 16 ATP + 16 H2O → 8 an oxidized ferredoxin [iron-sulfur] cluster + 2 ammonium + 16 ADP + 16 phosphate + H2 + 6 H+</t>
  </si>
  <si>
    <t>nitrogenase</t>
  </si>
  <si>
    <t>This was pulled from Chen and Yoch 1989 (NAD specific, activity could be driven by formate dehydrogenase). Fdx associated w nitrogenase activity Poudel et al 2018</t>
  </si>
  <si>
    <t>2 ferredoxin_oxidized + NADH = 2 ferredoxin_reduced + NAD+ + H+</t>
  </si>
  <si>
    <t>a reduced 2[4Fe-4s] ferredoxin + NAD+ + H+ ⇄ an oxidized 2[4Fe-4s] ferredoxin + NADH</t>
  </si>
  <si>
    <t>﻿1.18.1.3</t>
  </si>
  <si>
    <t>﻿ferredoxin-NAD+ oxidoreductase</t>
  </si>
  <si>
    <t>Matsen et al 2013</t>
  </si>
  <si>
    <t>nitrate + NADH + H+ = nitrite + NAD+ + H2O</t>
  </si>
  <si>
    <t>nitrite + NAD(P)+ + H2O ← nitrate + NAD(P)H + H+</t>
  </si>
  <si>
    <t>nitrate reductase NAD(P)H dependent</t>
  </si>
  <si>
    <t>nitrite + 3 NADH + 5 H+ = ammonium + 3 NAD+ + 2 H2O</t>
  </si>
  <si>
    <t xml:space="preserve">ammonium + 3 NAD+ + 2 H2O ← nitrite + 3 NADH + 5 H+ </t>
  </si>
  <si>
    <t>1.7.1.15</t>
  </si>
  <si>
    <t>nitrite reductase</t>
  </si>
  <si>
    <t>Stein and Klotz 2011</t>
  </si>
  <si>
    <t>R87</t>
  </si>
  <si>
    <t>ammonia + QH2 + O2 = hydroxylamine + Q + H2O</t>
  </si>
  <si>
    <t>ammonia[in] + a reduced unknown two electron carrier[in] + oxygen[in] → hydroxylamine[in] + an oxidized unknown electron carrier[in] + H2O[in]</t>
  </si>
  <si>
    <t>pMMO, acting as ammonia monooxygenase</t>
  </si>
  <si>
    <t>4 cytc + hydroxylamine + H2O = 4 cytcE + nitrite + 5 H+</t>
  </si>
  <si>
    <t>4 an oxidized c-type cytochrome[out] + hydroxylamine[in] + H2O[in] → 4 a reduced c-type cytochrome[out] + nitrite[in] + 5 H+[in]</t>
  </si>
  <si>
    <t>1.7.2.6</t>
  </si>
  <si>
    <t>hydroxylamine oxidoreductase</t>
  </si>
  <si>
    <t>nitrite + cytcE + 2 H+ = nitric_oxide + cytc + H2O</t>
  </si>
  <si>
    <t>nitric oxide + an oxidized c-type cytochrome + H2O ← nitrite + a reduced c-type cytochrome + 2 H+</t>
  </si>
  <si>
    <t>1.7.2.1</t>
  </si>
  <si>
    <t>dissimilatory nitrite reductase (NO-forming)</t>
  </si>
  <si>
    <t>unclear whether this is NirS, which does not contain copper, or NirK, which does, or another unknown enzyme. Methylocystis sp. strain Rockwell has NirK; include that here for now (Stein et al 2011, Nitrifying and denitrifying pathways of methanotrophic bacteria)</t>
  </si>
  <si>
    <t>Can also be carried out by hydroxylamine oxidoreductase in some organisms (see Candidatus Brocadia anammoxidans on Metacyc)</t>
  </si>
  <si>
    <t>2 nitric_oxide + 2 cytcE + 2 H_pmf = nitrous_oxide + 2 cytc + H2O</t>
  </si>
  <si>
    <t>2 nitric oxide[periplasm] + 2 a reduced c-type cytochrome[periplasm] + 2 H+[periplasm] ↔ nitrous oxide[periplasm] + 2 an oxidized c-type cytochrome[periplasm] + H2O[periplasm]</t>
  </si>
  <si>
    <t>1.7.2.5</t>
  </si>
  <si>
    <t>nitric oxide reductase</t>
  </si>
  <si>
    <t>polyamine production</t>
  </si>
  <si>
    <t>L-glutamate + ATP = g-L-glutamyl_5-phosphate + ADP</t>
  </si>
  <si>
    <t>L-glutamate + ATP → γ-L-glutamyl 5-phosphate + ADP</t>
  </si>
  <si>
    <t>2.7.2.11</t>
  </si>
  <si>
    <t>glutamate 5-kinase</t>
  </si>
  <si>
    <t>g-L-glutamyl_5-phosphate + NADPH + H+ = L-glutamate-5-semialdehyde + NADP+ + phosphate</t>
  </si>
  <si>
    <t>L-glutamate-5-semialdehyde + NADP+ + phosphate ← γ-L-glutamyl 5-phosphate + NADPH + H+</t>
  </si>
  <si>
    <t>1.2.1.41</t>
  </si>
  <si>
    <t>glutamate-5-semialdehyde dehydrogenase</t>
  </si>
  <si>
    <t>L-glutamate-5-semialdehyde + L-glutamate = L-ornithine + 2-oxoglutarate</t>
  </si>
  <si>
    <t>L-ornithine + 2-oxoglutarate ↔ L-glutamate + L-glutamate-5-semialdehyde</t>
  </si>
  <si>
    <t>2.6.1.13</t>
  </si>
  <si>
    <t>ornithine--oxo-acid transaminase</t>
  </si>
  <si>
    <t>L-ornithine + H+ = CO2 + putrescine</t>
  </si>
  <si>
    <t>L-ornithine + H+ → CO2 + putrescine</t>
  </si>
  <si>
    <t>4.1.1.17</t>
  </si>
  <si>
    <t>ornithine decarboxylase</t>
  </si>
  <si>
    <t>complex I (nuo)</t>
  </si>
  <si>
    <t>electron transport chain</t>
  </si>
  <si>
    <t>1 NADH + 1 Q + 5 H+ = 1 NAD+ + 1 QH2 + 4 H_pmf</t>
  </si>
  <si>
    <t>NADH + ubiquinone + 5 H(+)(In) &lt;=&gt; NAD(+) + ubiquinol + 4 H(+)(Out)</t>
  </si>
  <si>
    <t>7.1.1.2</t>
  </si>
  <si>
    <t>NADH:ubiquinone reductase (H(+)-translocating)</t>
  </si>
  <si>
    <t>complex 3 (cytochrome bc1; Q cycle)</t>
  </si>
  <si>
    <t>1 QH2 + 2 H+ + 2 cytc = 1 Q + 4 H_pmf + 2 cytcE</t>
  </si>
  <si>
    <t>quinol + 2 ferricytochrome c = quinone + 2 ferrocytochrome c + 2 H+[side 2]</t>
  </si>
  <si>
    <t>7.1.1.8</t>
  </si>
  <si>
    <t>ubiquinol-cytochrome c reductase</t>
  </si>
  <si>
    <t>complex 4 (terminal oxidase)</t>
  </si>
  <si>
    <t>4 cytcE + 1 O2 + 8 H+ = 4 cytc + 4 H_pmf + 2 H2O</t>
  </si>
  <si>
    <t xml:space="preserve">4 a reduced c-type cytochrome[out] + 8 H+[in] + oxygen[in] → 4 an oxidized c-type cytochrome[out] + 4 H+[out] + 2 H2O[in] </t>
  </si>
  <si>
    <t>7.1.1.9</t>
  </si>
  <si>
    <t>cytochrome c oxidase</t>
  </si>
  <si>
    <t>Scott 1995</t>
  </si>
  <si>
    <t>cytochrome bd oxidase is not a part of the heme-copper oxidase superfamily. This stoichiometry pulled from BRENDA; one option on metacyc is not proton pumping</t>
  </si>
  <si>
    <t>cytochrome bd ubiquinol oxidase</t>
  </si>
  <si>
    <t>2 QH2 + 1 O2 + 4 H+ = 2 Q + 2 H2O + 4 H_pmf</t>
  </si>
  <si>
    <t>2 an electron-transfer quinol[inner membrane] + 4 H+ + oxygen → 2 an electron-transfer quinone[inner membrane] + 4 H+[periplasm] + 2 H2O</t>
  </si>
  <si>
    <t>7.1.1.7</t>
  </si>
  <si>
    <t>*cytochrome bo3 same as cytochrome o (the KEGG designation)</t>
  </si>
  <si>
    <t>quinol oxidase</t>
  </si>
  <si>
    <t>2 QH2 + 1 O2 + 8 H+ = 2 Q + 2 H2O + 8 H_pmf</t>
  </si>
  <si>
    <t xml:space="preserve">2 an ubiquinol[inner membrane] + oxygen + 8 H+ → 2 a ubiquinone[inner membrane] + 8 H+[periplasm] + 2 H2O </t>
  </si>
  <si>
    <t>7.1.1.3</t>
  </si>
  <si>
    <t>cytochrome bo3 ubiquinol oxidase</t>
  </si>
  <si>
    <t>metacyc, info on e coli; see also 10.1021/bi901187u</t>
  </si>
  <si>
    <t>pyrophosphatase (membrane)</t>
  </si>
  <si>
    <t>diphosphate + H2O = 2 phosphate + H_pmf</t>
  </si>
  <si>
    <t>diphosphate[in] + H2O → 2 phosphate + H+[out]</t>
  </si>
  <si>
    <t>7.1.3.1</t>
  </si>
  <si>
    <r>
      <t>H</t>
    </r>
    <r>
      <rPr>
        <vertAlign val="superscript"/>
        <sz val="7.5"/>
        <color theme="1"/>
        <rFont val="Calibri"/>
        <family val="2"/>
        <scheme val="minor"/>
      </rPr>
      <t>+</t>
    </r>
    <r>
      <rPr>
        <sz val="11"/>
        <color theme="1"/>
        <rFont val="Calibri"/>
        <family val="2"/>
        <scheme val="minor"/>
      </rPr>
      <t>-exporting diphosphatase</t>
    </r>
  </si>
  <si>
    <t>ATP diphosphatase</t>
  </si>
  <si>
    <t>ATP + H2O = AMP + diphosphate + H+</t>
  </si>
  <si>
    <t>ATP + H2O → AMP + diphosphate + H+</t>
  </si>
  <si>
    <t>3.6.1.8</t>
  </si>
  <si>
    <t>ATP synthase</t>
  </si>
  <si>
    <t>1 ADP + phosphate + 4 H_pmf = 1 ATP + 3 H+ + 1 H2O</t>
  </si>
  <si>
    <t>3.6.3.14</t>
  </si>
  <si>
    <t>ATP + AMP = 2 ADP</t>
  </si>
  <si>
    <t>2.7.4.3</t>
  </si>
  <si>
    <t>adenylate kinase</t>
  </si>
  <si>
    <t>ATP maintenance</t>
  </si>
  <si>
    <t>1 ATP + 1 H2O = 1 ATP_main + 1 ADP + 1 H+ + 1 phosphate</t>
  </si>
  <si>
    <t>directionality based on Sauer 2003</t>
  </si>
  <si>
    <t>transhydrogenase</t>
  </si>
  <si>
    <t>NAD+ + NADPH = NADH + NADP+</t>
  </si>
  <si>
    <t>Kalyuzhnaya et al 2013</t>
  </si>
  <si>
    <t>hydrogenase</t>
  </si>
  <si>
    <t>NAD+ + H2 = NADH + H+</t>
  </si>
  <si>
    <t>NAD+ + H2 ↔ NADH + H+</t>
  </si>
  <si>
    <t>1.12.1.2</t>
  </si>
  <si>
    <t>also participates in phosphoketolase pathway</t>
  </si>
  <si>
    <t>fermentation</t>
  </si>
  <si>
    <t>acetyl-CoA + phosphate = acetyl_phosphate + coenzyme_A</t>
  </si>
  <si>
    <t>acetyl-CoA + phosphate ↔ acetyl phosphate + coenzyme A</t>
  </si>
  <si>
    <t>2.3.1.8</t>
  </si>
  <si>
    <t>phosphate acetyltransferase</t>
  </si>
  <si>
    <t>acetyl_phosphate + ADP = acetate + ATP</t>
  </si>
  <si>
    <t>ATP + acetate ↔ ADP + acetyl phosphate</t>
  </si>
  <si>
    <t>2.7.2.1, 2.7.2.15</t>
  </si>
  <si>
    <t>acetate kinase</t>
  </si>
  <si>
    <t>acetyl-CoA + NADH + H+ = acetaldehyde + coenzyme_A + NAD+</t>
  </si>
  <si>
    <t>acetaldehyde + coenzyme A + NAD+ ↔ acetyl-CoA + NADH + H+</t>
  </si>
  <si>
    <t>1.2.1.10</t>
  </si>
  <si>
    <t>acetaldehyde dehydrogenase (acetylating)</t>
  </si>
  <si>
    <t>acetaldehyde + NADH + H+ = ethanol + NAD+</t>
  </si>
  <si>
    <t>1.1.1.1</t>
  </si>
  <si>
    <t>alcohol dehydrogenase</t>
  </si>
  <si>
    <t>acetoacetate + H+ = acetone + CO2</t>
  </si>
  <si>
    <t>acetoacetate + H+ → acetone + CO2</t>
  </si>
  <si>
    <t>4.1.1.4</t>
  </si>
  <si>
    <t>acetoacetate decarboxylase</t>
  </si>
  <si>
    <t>pyruvate + NADH + H+ = (R)-lactate + NAD+</t>
  </si>
  <si>
    <t>(R)-lactate + NAD+ ↔ pyruvate + NADH + H+</t>
  </si>
  <si>
    <t>1.1.1.28</t>
  </si>
  <si>
    <t>D-lactate dehydrogenase</t>
  </si>
  <si>
    <t>R112</t>
  </si>
  <si>
    <t>glycogen synthesis</t>
  </si>
  <si>
    <t>D-glucopyranose_6-phosphate = a-D-glucopyranose_1-phosphate</t>
  </si>
  <si>
    <t>α-D-glucopyranose 1-phosphate ↔ D-glucopyranose 6-phosphate</t>
  </si>
  <si>
    <t>5.4.2.2</t>
  </si>
  <si>
    <t>phosphoglucomutase</t>
  </si>
  <si>
    <t>R113</t>
  </si>
  <si>
    <t>a-D-glucopyranose_1-phosphate + ATP = glycogen_produced + ADP + 2 phosphate + H+</t>
  </si>
  <si>
    <t>α-D-glucopyranose 1-phosphate + ATP + H+ → ADP-α-D-glucose + diphosphate</t>
  </si>
  <si>
    <t>2.7.7.27</t>
  </si>
  <si>
    <t>glucose-1-phosphate adenylyltransferase</t>
  </si>
  <si>
    <t>R114</t>
  </si>
  <si>
    <t>glycogen_consumed = glycogen_produced</t>
  </si>
  <si>
    <t>ADP-α-D-glucose + (1,4-α-D-glucosyl)(n) ↔ ADP + (1,4-α-D-glucosyl)(n+1)</t>
  </si>
  <si>
    <t>2.4.1.21</t>
  </si>
  <si>
    <t>glycogen synthase</t>
  </si>
  <si>
    <t>R115</t>
  </si>
  <si>
    <t>glycogen degradation</t>
  </si>
  <si>
    <t>glycogen_consumed + phosphate + H2O = a-D-glucopyranose_1-phosphate</t>
  </si>
  <si>
    <t>(1,4-α-D-glucosyl)(n) + phosphate → (1,4-α-D-glucosyl)(n-1) + α-D-glucopyranose 1-phosphate</t>
  </si>
  <si>
    <t>2.4.1.1</t>
  </si>
  <si>
    <t>glycogen phosphorylase</t>
  </si>
  <si>
    <t>transport</t>
  </si>
  <si>
    <t>methane_ext + 29.04 CO2_eq_20 + 9.84 CO2_eq_100 = methane</t>
  </si>
  <si>
    <t>H2O_ext = H2O</t>
  </si>
  <si>
    <t>H+_ext = H+</t>
  </si>
  <si>
    <t>O2_ext = O2</t>
  </si>
  <si>
    <t>methanol = methanol_ext</t>
  </si>
  <si>
    <t>formate = formate_ext</t>
  </si>
  <si>
    <t>phosphate_ext + ATP + H2O = ADP + 2 phosphate + H+</t>
  </si>
  <si>
    <t>H2 = H2_ext</t>
  </si>
  <si>
    <t>hydrogen_peroxide_ext = hydrogen_peroxide</t>
  </si>
  <si>
    <t>nitrate_ext + ATP + H2O = nitrate + ADP + phosphate + H+</t>
  </si>
  <si>
    <t>nitrate[extracellular space] + ATP + H2O → nitrate[cytosol] + ADP + phosphate + H+</t>
  </si>
  <si>
    <t xml:space="preserve">nitrate ABC transporter </t>
  </si>
  <si>
    <t>N2_ext = N2</t>
  </si>
  <si>
    <t>ammonium_ext = ammonium</t>
  </si>
  <si>
    <t>putrescine + H+ = putrescine_ext + H_pmf</t>
  </si>
  <si>
    <t>putrescine transporter PotE</t>
  </si>
  <si>
    <t>formaldehyde = formaldehyde_ext</t>
  </si>
  <si>
    <t>acetate + H+ = acetate_ext + H_pmf</t>
  </si>
  <si>
    <t>acetate/succinate:H+ symporter</t>
  </si>
  <si>
    <t>(R)-lactate + H+ = (R)-lactate_ext + H_pmf</t>
  </si>
  <si>
    <r>
      <t>lactate/glycolate:H</t>
    </r>
    <r>
      <rPr>
        <vertAlign val="superscript"/>
        <sz val="11"/>
        <color theme="1"/>
        <rFont val="Calibri"/>
        <family val="2"/>
        <scheme val="minor"/>
      </rPr>
      <t>+</t>
    </r>
    <r>
      <rPr>
        <sz val="11"/>
        <color theme="1"/>
        <rFont val="Calibri"/>
        <family val="2"/>
        <scheme val="minor"/>
      </rPr>
      <t xml:space="preserve"> symporter LldP</t>
    </r>
  </si>
  <si>
    <t>acetone = acetone_ext</t>
  </si>
  <si>
    <t>ethanol = ethanol_ext</t>
  </si>
  <si>
    <t>pyruvate = pyruvate_ext</t>
  </si>
  <si>
    <t>succinate + 2 H+ = succinate_ext + 2 H_pmf</t>
  </si>
  <si>
    <t>aerobic C4-dicarboxylate transport protein</t>
  </si>
  <si>
    <t>T21</t>
  </si>
  <si>
    <t>glycogen_produced = glycogen_produced_ext</t>
  </si>
  <si>
    <t>T22</t>
  </si>
  <si>
    <t>glycogen_consumed_ext + 349 CO2_eq_20 + 118 CO2_eq_100 = glycogen_consumed</t>
  </si>
  <si>
    <t>polyhydroxybutyrate_produced = polyhydroxybutyrate_produced_ext</t>
  </si>
  <si>
    <t>polyhydroxybutyrate_consumed_ext + 145 CO2_eq_20 + 49.2 CO2_eq_100 = polyhydroxybutyrate_consumed</t>
  </si>
  <si>
    <t>nitrous_oxide = nitrous_oxide_ext + 273 CO2_eq_20 + 273 CO2_eq_100</t>
  </si>
  <si>
    <t>CO2 = CO2_ext + 1 CO2_eq_20 + 1 CO2_eq_100</t>
  </si>
  <si>
    <t>ammonium assimilation for biomass term</t>
  </si>
  <si>
    <t>L-glutamine + H2O = L-glutamate + N_GLN</t>
  </si>
  <si>
    <t>L-glutamine + H2O → L-glutamate + ammonium</t>
  </si>
  <si>
    <t>L-glutamate + NADP+ + H2O = 2-oxoglutarate + N_GLU + NADPH + H+</t>
  </si>
  <si>
    <t>L-glutamate + NAD+ + H2O ↔ 2-oxoglutarate + ammonium + NADH + H+</t>
  </si>
  <si>
    <t>biomass type II</t>
  </si>
  <si>
    <t>biomass_typeI</t>
  </si>
  <si>
    <t xml:space="preserve">biomass type I </t>
  </si>
  <si>
    <t>0.00229 D-glucopyranose_6-phosphate + 0.01885 D-ribose_5-phosphate + 0.01031 D-erythrose_4-phosphate + 0.05587 phosphoenolpyruvate + 0.07355 pyruvate + 0.07491 acetyl-CoA + 0.02734 2-oxoglutarate + 0.0401 oxaloacetate + 0.99553 ATP + 0.47472 NADPH + 0.17004 N_GLU + 0.06718 N_GLN + 0.00287 glycogen_produced + 0.0009 L-ornithine + 0.08229 NAD+ + 0.99552 H2O = biomass_1 + 0.08229 NADH + 0.0061 CO2 + 0.99552 phosphate + 0.99552 ADP + 0.07491 coenzyme_A + 1.30897 H+ + 0.47472 NADP+</t>
  </si>
  <si>
    <t>global warming potential (100 years) tracker</t>
  </si>
  <si>
    <t>CO2_eq_100 = GWP100</t>
  </si>
  <si>
    <t>global warming potential (20 years) tracker</t>
  </si>
  <si>
    <t>CO2_eq_20 = GWP20</t>
  </si>
  <si>
    <t xml:space="preserve">Type I methanotroph model. </t>
  </si>
  <si>
    <t xml:space="preserve">These predictions include both the standard pMMO reaction and direct coupling. They also include reactions for GWP.  </t>
  </si>
  <si>
    <t>CellNetAnalyzer 'metabolite' files</t>
  </si>
  <si>
    <t>Changing metabolite internal or external (balanced, unbalanced) changes the scenario modeled. Changed metabolites highlighted with color.</t>
  </si>
  <si>
    <t>Standard reactions for CellNetAnalyzer 'reactions' file</t>
  </si>
  <si>
    <t>Methane consumption,  nitrate+. Includes denitrification. Biomass.</t>
  </si>
  <si>
    <t>Methane consumption, nitrate+. Includes denitrification. ATP</t>
  </si>
  <si>
    <t xml:space="preserve">file name: </t>
  </si>
  <si>
    <t>|</t>
  </si>
  <si>
    <t>#</t>
  </si>
  <si>
    <t>0.00229 D-glucopyranose_6-phosphate + 0.01885 D-ribose_5-phosphate + 0.01031 D-erythrose_4-phosphate + 0.05587 phosphoenolpyruvate + 0.07355 pyruvate + 0.07491 acetyl-CoA + 0.02734 2-oxoglutarate + 0.0401 oxaloacetate + 3.369 ATP + 0.47472 NADPH + 0.17004 N_GLU + 0.06718 N_GLN + 0.00287 glycogen_produced + 0.0009 L-ornithine + 0.08229 NAD+ + 3.369 H2O = biomass_1 + 0.08229 NADH + 0.0061 CO2 + 3.369 phosphate + 3.369 ADP + 0.07491 coenzyme_A + 6.05592 H+ + 0.47472 NADP+</t>
  </si>
  <si>
    <t xml:space="preserve">Type II methanotroph model. </t>
  </si>
  <si>
    <t>Methane consumption,  nitrate+. Includes denitrification. ATP maintenance.</t>
  </si>
  <si>
    <t>PHB consumption on nitrate. Includes denitrification. Biomass.</t>
  </si>
  <si>
    <t>PHB consumption on nitrate. Includes denitrification. ATP.</t>
  </si>
  <si>
    <t>B-D-fructofuranose_6-phosphate = D-glucopyranose_6-phosphate</t>
  </si>
  <si>
    <t>B-D-fructofuranose_1,6-bisphosphate + phosphate + H+ = B-D-fructofuranose_6-phosphate + diphosphate</t>
  </si>
  <si>
    <t>glycerone_phosphate + D-glyceraldehyde_3-phosphate = B-D-fructofuranose_1,6-bisphosphate</t>
  </si>
  <si>
    <t>D-glyceraldehyde_3-phosphate = glycerone_phosphate</t>
  </si>
  <si>
    <t>3-phospho-D-glycerol_phosphate + NADH + H+ = D-glyceraldehyde_3-phosphate + NAD+ + phosphate</t>
  </si>
  <si>
    <t>1 3-phospho-D-glycerate + 1 ATP = 3-phospho-D-glycerol_phosphate + ADP</t>
  </si>
  <si>
    <t>qO2</t>
  </si>
  <si>
    <t>Yx/methane (Cmol/mol)</t>
  </si>
  <si>
    <t>Yx/methane (g/g)</t>
  </si>
  <si>
    <t>O2/methane (mol/mol)</t>
  </si>
  <si>
    <t>Biomass 42A0</t>
  </si>
  <si>
    <t>mol/(Cmol x h)</t>
  </si>
  <si>
    <t>Biomass 42A1</t>
  </si>
  <si>
    <t>ATP/Cmol X</t>
  </si>
  <si>
    <t>mol/mol</t>
  </si>
  <si>
    <t>g/g</t>
  </si>
  <si>
    <t>DoR 4.2</t>
  </si>
  <si>
    <t>Biomass 42A3</t>
  </si>
  <si>
    <t>DoR 4.4</t>
  </si>
  <si>
    <t>Biomass 42A5</t>
  </si>
  <si>
    <t>DoR 4.6</t>
  </si>
  <si>
    <t>TI pMMO</t>
  </si>
  <si>
    <t>TI sMMO</t>
  </si>
  <si>
    <t>TI dcMMO</t>
  </si>
  <si>
    <t>TII pMMO</t>
  </si>
  <si>
    <t>TII sMMO</t>
  </si>
  <si>
    <t>TII dcMMO</t>
  </si>
  <si>
    <t>ATP/CH4</t>
  </si>
  <si>
    <t>O2/CH4</t>
  </si>
  <si>
    <t>Biomass 42A10</t>
  </si>
  <si>
    <t>DoR 4.8</t>
  </si>
  <si>
    <t>Biomass 44A1</t>
  </si>
  <si>
    <t>Biomass 44A3</t>
  </si>
  <si>
    <t>Biomass 44A5</t>
  </si>
  <si>
    <t>Biomass 46A1</t>
  </si>
  <si>
    <t>Biomass 46A3</t>
  </si>
  <si>
    <t>Biomass 46A5</t>
  </si>
  <si>
    <t>Biomass 48A1</t>
  </si>
  <si>
    <t>Biomass 48A3</t>
  </si>
  <si>
    <t>Biomass 48A5</t>
  </si>
  <si>
    <t>biomass only, no maintenance, ATP/Cmol = 1</t>
  </si>
  <si>
    <t>O2/ATP</t>
  </si>
  <si>
    <t>CH4/ATP</t>
  </si>
  <si>
    <t>byproduct</t>
  </si>
  <si>
    <t>0.00229 D-glucopyranose_6-phosphate + 0.01887 D-ribose_5-phosphate + 0.01032 D-erythrose_4-phosphate + 0.05595 phosphoenolpyruvate + 0.07365 pyruvate + 0.07501 acetyl-CoA + 0.02737 2-oxoglutarate + 0.04016 oxaloacetate + 3.369 ATP + 0.47126 NADPH + 0.17027 N_GLU + 0.06727 N_GLN + 0.00398 polyhydroxybutyrate_produced + 0.0009 L-ornithine + 0.0824 NAD+ + 3.369 H2O = biomass_2 + 0.0824 NADH + 0.00611 CO2 + 3.369 phosphate + 3.369 ADP + 0.07501 coenzyme_A + 3.68286 H+ + 0.47126 NADP+</t>
  </si>
  <si>
    <t>maxYield_biomass_methane  (Cmol/mol)</t>
  </si>
  <si>
    <t xml:space="preserve">O2toMethane  </t>
  </si>
  <si>
    <t xml:space="preserve">CO2Yield  </t>
  </si>
  <si>
    <t xml:space="preserve">GWP100Yield  </t>
  </si>
  <si>
    <t xml:space="preserve">acetateYield </t>
  </si>
  <si>
    <t xml:space="preserve">acetoneYield  </t>
  </si>
  <si>
    <t xml:space="preserve">ethanolYield  </t>
  </si>
  <si>
    <t xml:space="preserve">formaldehydeYield  </t>
  </si>
  <si>
    <t xml:space="preserve">formateYield  </t>
  </si>
  <si>
    <t xml:space="preserve">lactateYield  </t>
  </si>
  <si>
    <t xml:space="preserve">methanolYield  </t>
  </si>
  <si>
    <t xml:space="preserve">pyruvateYield  </t>
  </si>
  <si>
    <t xml:space="preserve">succinateYield  </t>
  </si>
  <si>
    <t xml:space="preserve">fermentsYield  </t>
  </si>
  <si>
    <t xml:space="preserve">PHBYield  </t>
  </si>
  <si>
    <t>maxYield_biomass_methane  (g/g)</t>
  </si>
  <si>
    <t>methanotroph ATP type II, N2</t>
  </si>
  <si>
    <t xml:space="preserve">maxYield_biomass_methane  </t>
  </si>
  <si>
    <t>formate+acetate yield</t>
  </si>
  <si>
    <t>ATP/methane</t>
  </si>
  <si>
    <t>O2/methane</t>
  </si>
  <si>
    <t>methanotroph TI ATP nitrate</t>
  </si>
  <si>
    <t>Methanotroph type II  nitrate</t>
  </si>
  <si>
    <t>methanotroph TI ATP N2</t>
  </si>
  <si>
    <t>(based on theory from Neidhardt et al., 1990, Physiology of the Bacterial Cell)</t>
  </si>
  <si>
    <t>biomass composition values from Yang et al., 2013 for Methylosinus trichosporium OB3b DOI 10.3389/fmicb.2013.00070</t>
  </si>
  <si>
    <t>tab</t>
  </si>
  <si>
    <r>
      <rPr>
        <b/>
        <sz val="11"/>
        <color theme="1"/>
        <rFont val="Calibri"/>
        <family val="2"/>
        <scheme val="minor"/>
      </rPr>
      <t xml:space="preserve">ATP summary: </t>
    </r>
    <r>
      <rPr>
        <sz val="11"/>
        <color theme="1"/>
        <rFont val="Calibri"/>
        <family val="2"/>
        <scheme val="minor"/>
      </rPr>
      <t>summary of metabolic modeling results for type I and type II methanotroph ATP generation as a function of O2 and nitrate</t>
    </r>
  </si>
  <si>
    <r>
      <rPr>
        <b/>
        <sz val="11"/>
        <color theme="1"/>
        <rFont val="Calibri"/>
        <family val="2"/>
        <scheme val="minor"/>
      </rPr>
      <t>ATP TII N2:</t>
    </r>
    <r>
      <rPr>
        <sz val="11"/>
        <color theme="1"/>
        <rFont val="Calibri"/>
        <family val="2"/>
        <scheme val="minor"/>
      </rPr>
      <t xml:space="preserve"> results for type II methanotroph model analyzing ATP generation as a function of O2 availability with no nitrate present</t>
    </r>
  </si>
  <si>
    <r>
      <rPr>
        <b/>
        <sz val="11"/>
        <color theme="1"/>
        <rFont val="Calibri"/>
        <family val="2"/>
        <scheme val="minor"/>
      </rPr>
      <t xml:space="preserve">ATP TII nitrate: </t>
    </r>
    <r>
      <rPr>
        <sz val="11"/>
        <color theme="1"/>
        <rFont val="Calibri"/>
        <family val="2"/>
        <scheme val="minor"/>
      </rPr>
      <t xml:space="preserve"> results for type II methanotroph model analyzing ATP generation as a function of O2 availability with  nitrate present</t>
    </r>
  </si>
  <si>
    <r>
      <rPr>
        <b/>
        <sz val="11"/>
        <color theme="1"/>
        <rFont val="Calibri"/>
        <family val="2"/>
        <scheme val="minor"/>
      </rPr>
      <t xml:space="preserve">ATP TI N2: </t>
    </r>
    <r>
      <rPr>
        <sz val="11"/>
        <color theme="1"/>
        <rFont val="Calibri"/>
        <family val="2"/>
        <scheme val="minor"/>
      </rPr>
      <t xml:space="preserve"> results for type I methanotroph model analyzing ATP generation as a function of O2 availability with no nitrate present</t>
    </r>
  </si>
  <si>
    <r>
      <rPr>
        <b/>
        <sz val="11"/>
        <color theme="1"/>
        <rFont val="Calibri"/>
        <family val="2"/>
        <scheme val="minor"/>
      </rPr>
      <t>ATP TI nitrate:</t>
    </r>
    <r>
      <rPr>
        <sz val="11"/>
        <color theme="1"/>
        <rFont val="Calibri"/>
        <family val="2"/>
        <scheme val="minor"/>
      </rPr>
      <t xml:space="preserve">  results for type I methanotroph model analyzing ATP generation as a function of O2 availability with nitrate present</t>
    </r>
  </si>
  <si>
    <r>
      <rPr>
        <b/>
        <sz val="11"/>
        <color theme="1"/>
        <rFont val="Calibri"/>
        <family val="2"/>
        <scheme val="minor"/>
      </rPr>
      <t>biomass summary:</t>
    </r>
    <r>
      <rPr>
        <sz val="11"/>
        <color theme="1"/>
        <rFont val="Calibri"/>
        <family val="2"/>
        <scheme val="minor"/>
      </rPr>
      <t xml:space="preserve"> summary of biomass simultations for type II methanotroph, simulations considered O2 gradients and presence/absence of nitrate</t>
    </r>
  </si>
  <si>
    <r>
      <rPr>
        <b/>
        <sz val="11"/>
        <color theme="1"/>
        <rFont val="Calibri"/>
        <family val="2"/>
        <scheme val="minor"/>
      </rPr>
      <t>biomass TII DoR:</t>
    </r>
    <r>
      <rPr>
        <sz val="11"/>
        <color theme="1"/>
        <rFont val="Calibri"/>
        <family val="2"/>
        <scheme val="minor"/>
      </rPr>
      <t xml:space="preserve"> analysis of methane and O2 consumption for biomass synthesis  as a function of the degree of reduction (DoR) of the biomass composition</t>
    </r>
  </si>
  <si>
    <r>
      <rPr>
        <b/>
        <sz val="11"/>
        <color theme="1"/>
        <rFont val="Calibri"/>
        <family val="2"/>
        <scheme val="minor"/>
      </rPr>
      <t>biomass TII MMO N2</t>
    </r>
    <r>
      <rPr>
        <sz val="11"/>
        <color theme="1"/>
        <rFont val="Calibri"/>
        <family val="2"/>
        <scheme val="minor"/>
      </rPr>
      <t xml:space="preserve">: analysis of type II methanotroph biomass synthesis as a function of the three different methane monooxygenase strategies, no nitrate </t>
    </r>
  </si>
  <si>
    <r>
      <rPr>
        <b/>
        <sz val="11"/>
        <color theme="1"/>
        <rFont val="Calibri"/>
        <family val="2"/>
        <scheme val="minor"/>
      </rPr>
      <t>biomass composition:</t>
    </r>
    <r>
      <rPr>
        <sz val="11"/>
        <color theme="1"/>
        <rFont val="Calibri"/>
        <family val="2"/>
        <scheme val="minor"/>
      </rPr>
      <t xml:space="preserve"> conversion of experimental biomass composition data into a systems biology representation</t>
    </r>
  </si>
  <si>
    <r>
      <rPr>
        <b/>
        <sz val="11"/>
        <color theme="1"/>
        <rFont val="Calibri"/>
        <family val="2"/>
        <scheme val="minor"/>
      </rPr>
      <t xml:space="preserve">biomass calculations: </t>
    </r>
    <r>
      <rPr>
        <sz val="11"/>
        <color theme="1"/>
        <rFont val="Calibri"/>
        <family val="2"/>
        <scheme val="minor"/>
      </rPr>
      <t>manipulates the biomass composition for degree of reduction, carbon moles, and ATP requirements</t>
    </r>
  </si>
  <si>
    <r>
      <rPr>
        <b/>
        <sz val="11"/>
        <color theme="1"/>
        <rFont val="Calibri"/>
        <family val="2"/>
        <scheme val="minor"/>
      </rPr>
      <t xml:space="preserve">ATP maintenance calculations: </t>
    </r>
    <r>
      <rPr>
        <sz val="11"/>
        <color theme="1"/>
        <rFont val="Calibri"/>
        <family val="2"/>
        <scheme val="minor"/>
      </rPr>
      <t>demonstrates the calculation of growth and nongrowth maintenance energy calculations using experimental data and in silico model</t>
    </r>
  </si>
  <si>
    <r>
      <rPr>
        <b/>
        <sz val="11"/>
        <color theme="1"/>
        <rFont val="Calibri"/>
        <family val="2"/>
        <scheme val="minor"/>
      </rPr>
      <t xml:space="preserve">biomass reaction variations: </t>
    </r>
    <r>
      <rPr>
        <sz val="11"/>
        <color theme="1"/>
        <rFont val="Calibri"/>
        <family val="2"/>
        <scheme val="minor"/>
      </rPr>
      <t>list of biomass synthesis reactions considering different biomass degrees of reduction and different growth associated maintenance energy</t>
    </r>
  </si>
  <si>
    <r>
      <rPr>
        <b/>
        <sz val="11"/>
        <color theme="1"/>
        <rFont val="Calibri"/>
        <family val="2"/>
        <scheme val="minor"/>
      </rPr>
      <t>model metabolite data:</t>
    </r>
    <r>
      <rPr>
        <sz val="11"/>
        <color theme="1"/>
        <rFont val="Calibri"/>
        <family val="2"/>
        <scheme val="minor"/>
      </rPr>
      <t xml:space="preserve"> analysis of model metabolites for elemental composition, charge, and degree of reduction</t>
    </r>
  </si>
  <si>
    <r>
      <rPr>
        <b/>
        <sz val="11"/>
        <color theme="1"/>
        <rFont val="Calibri"/>
        <family val="2"/>
        <scheme val="minor"/>
      </rPr>
      <t xml:space="preserve">model reaction data: </t>
    </r>
    <r>
      <rPr>
        <sz val="11"/>
        <color theme="1"/>
        <rFont val="Calibri"/>
        <family val="2"/>
        <scheme val="minor"/>
      </rPr>
      <t>experimental justification for model reactions</t>
    </r>
  </si>
  <si>
    <r>
      <rPr>
        <b/>
        <sz val="11"/>
        <color theme="1"/>
        <rFont val="Calibri"/>
        <family val="2"/>
        <scheme val="minor"/>
      </rPr>
      <t xml:space="preserve">CNA inputs type I: </t>
    </r>
    <r>
      <rPr>
        <sz val="11"/>
        <color theme="1"/>
        <rFont val="Calibri"/>
        <family val="2"/>
        <scheme val="minor"/>
      </rPr>
      <t>cellnetanalyzer syntax for defining 'reactions' and 'metabolites' files for the type I methanotroph simulations</t>
    </r>
  </si>
  <si>
    <r>
      <rPr>
        <b/>
        <sz val="11"/>
        <color theme="1"/>
        <rFont val="Calibri"/>
        <family val="2"/>
        <scheme val="minor"/>
      </rPr>
      <t>CNA inputs type II:</t>
    </r>
    <r>
      <rPr>
        <sz val="11"/>
        <color theme="1"/>
        <rFont val="Calibri"/>
        <family val="2"/>
        <scheme val="minor"/>
      </rPr>
      <t xml:space="preserve"> cellnetanalyzer syntax for defining 'reactions' and 'metabolites' files for the type II methanotroph simulations</t>
    </r>
  </si>
  <si>
    <r>
      <rPr>
        <b/>
        <sz val="11"/>
        <color theme="1"/>
        <rFont val="Calibri"/>
        <family val="2"/>
        <scheme val="minor"/>
      </rPr>
      <t xml:space="preserve">model balance analysis: </t>
    </r>
    <r>
      <rPr>
        <sz val="11"/>
        <color theme="1"/>
        <rFont val="Calibri"/>
        <family val="2"/>
        <scheme val="minor"/>
      </rPr>
      <t>demonstration of mass balance, including electron balance, for the metabolic model using the stoichiometric matrix and metabolite chemical matrix</t>
    </r>
  </si>
  <si>
    <r>
      <rPr>
        <b/>
        <sz val="11"/>
        <color theme="1"/>
        <rFont val="Calibri"/>
        <family val="2"/>
        <scheme val="minor"/>
      </rPr>
      <t>code summary:</t>
    </r>
    <r>
      <rPr>
        <sz val="11"/>
        <color theme="1"/>
        <rFont val="Calibri"/>
        <family val="2"/>
        <scheme val="minor"/>
      </rPr>
      <t xml:space="preserve"> summary of the CellNetAnalyzer and Flux Balance Analysis files and code</t>
    </r>
  </si>
  <si>
    <t>worksheet for calculating growth and nongrowth associated maintenance energy</t>
  </si>
  <si>
    <t>FBAmIIbiomO2</t>
  </si>
  <si>
    <t>FBAmIbiomO2</t>
  </si>
  <si>
    <t>FBAmIATPO2</t>
  </si>
  <si>
    <t>FBAmIIATPO2</t>
  </si>
  <si>
    <t>FBA MATLAB code for analyzing gradients of constraints such as O2, used with CobraToolBox</t>
  </si>
  <si>
    <t>FBA metabolic model files</t>
  </si>
  <si>
    <t>CellNetAnalyzer model files, note different simulation scenarios can be generated using the text in tabs: CNA inputs type I or II</t>
  </si>
  <si>
    <t>MethanoT2Biomass48AGAM, biomass degree of reduction 4.8 with GAM</t>
  </si>
  <si>
    <t>MethanoT2Biomass46AGAM, biomass degree of reduction 4.6 with GAM</t>
  </si>
  <si>
    <t>MethanoT2Biomass44AGAM, biomass degree of reduction 4.4 with GAM</t>
  </si>
  <si>
    <t>MethanoT2Biomass42AGAM, biomass degree of reduction 4.2 with GAM</t>
  </si>
  <si>
    <t>MethanoT1Biomass42AGAM, biomass degree of reduction 4.2 with GAM</t>
  </si>
  <si>
    <t>MethanotrophT2ATP, model varient for ATP generation</t>
  </si>
  <si>
    <t>MethanotrophT1ATP, model varient for ATP generation</t>
  </si>
  <si>
    <t xml:space="preserve">CONSTRUCTING AND ANALYZING STOICHIOMETRIC MODELS OF NON-MODEL ORGANISMS: A CASE STUDY OF METHANOTROPHS AND GLOBAL WARMING POTENTIAL </t>
  </si>
  <si>
    <t>Adrienne D. Arnold, Campbell B. Putnam, Ashley E. Beck, Robin Gerlach, Ross P. Carlson</t>
  </si>
  <si>
    <t>supplementary materials:</t>
  </si>
  <si>
    <t>folder: CNA_methanotrophtype II, contains reaction and metabolite files for CellNetAnalyzer</t>
  </si>
  <si>
    <t>folder: CNA_methanotrophtype I, contains reaction and metabolite files for CellNetAnalyzer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</si>
</sst>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1"/>
      <color theme="1"/>
      <name val="Calibri"/>
      <family val="2"/>
      <scheme val="minor"/>
    </font>
    <font>
      <b/>
      <sz val="10"/>
      <name val="Arial"/>
      <family val="2"/>
    </font>
    <font>
      <b/>
      <sz val="8"/>
      <color indexed="81"/>
      <name val="Tahoma"/>
      <family val="2"/>
    </font>
    <font>
      <sz val="8"/>
      <color indexed="81"/>
      <name val="Tahoma"/>
      <family val="2"/>
    </font>
    <font>
      <sz val="10"/>
      <color rgb="FF333333"/>
      <name val="Arial"/>
      <family val="2"/>
    </font>
    <font>
      <sz val="11"/>
      <color rgb="FF333333"/>
      <name val="Calibri"/>
      <family val="2"/>
      <scheme val="minor"/>
    </font>
    <font>
      <i/>
      <sz val="11"/>
      <color rgb="FF333333"/>
      <name val="Calibri"/>
      <family val="2"/>
      <scheme val="minor"/>
    </font>
    <font>
      <b/>
      <sz val="11"/>
      <color theme="1"/>
      <name val="Calibri"/>
      <family val="2"/>
      <scheme val="minor"/>
    </font>
    <font>
      <vertAlign val="subscript"/>
      <sz val="12"/>
      <color theme="1"/>
      <name val="Calibri"/>
      <family val="2"/>
      <scheme val="minor"/>
    </font>
    <font>
      <sz val="11"/>
      <name val="Calibri"/>
      <family val="2"/>
    </font>
    <font>
      <vertAlign val="subscript"/>
      <sz val="12"/>
      <color rgb="FF333333"/>
      <name val="Arial"/>
      <family val="2"/>
    </font>
    <font>
      <vertAlign val="subscript"/>
      <sz val="10"/>
      <color rgb="FF333333"/>
      <name val="Arial"/>
      <family val="2"/>
    </font>
    <font>
      <b/>
      <sz val="12"/>
      <name val="Calibri"/>
      <family val="2"/>
      <scheme val="minor"/>
    </font>
    <font>
      <sz val="12"/>
      <name val="Calibri"/>
      <family val="2"/>
      <scheme val="minor"/>
    </font>
    <font>
      <vertAlign val="subscript"/>
      <sz val="12"/>
      <name val="Calibri"/>
      <family val="2"/>
      <scheme val="minor"/>
    </font>
    <font>
      <b/>
      <u/>
      <sz val="11"/>
      <color theme="1"/>
      <name val="Calibri"/>
      <family val="2"/>
      <scheme val="minor"/>
    </font>
    <font>
      <u/>
      <sz val="11"/>
      <color theme="10"/>
      <name val="Calibri"/>
      <family val="2"/>
      <scheme val="minor"/>
    </font>
    <font>
      <b/>
      <sz val="12"/>
      <color theme="1"/>
      <name val="Calibri"/>
      <family val="2"/>
      <scheme val="minor"/>
    </font>
    <font>
      <b/>
      <sz val="11"/>
      <name val="Calibri"/>
      <family val="2"/>
    </font>
    <font>
      <vertAlign val="subscript"/>
      <sz val="11"/>
      <color theme="1"/>
      <name val="Calibri"/>
      <family val="2"/>
      <scheme val="minor"/>
    </font>
    <font>
      <sz val="11"/>
      <color rgb="FF333333"/>
      <name val="Calibri"/>
      <family val="2"/>
    </font>
    <font>
      <vertAlign val="subscript"/>
      <sz val="11"/>
      <color rgb="FF333333"/>
      <name val="Calibri"/>
      <family val="2"/>
    </font>
    <font>
      <sz val="11"/>
      <color theme="7"/>
      <name val="Calibri"/>
      <family val="2"/>
      <scheme val="minor"/>
    </font>
    <font>
      <sz val="11"/>
      <color theme="5"/>
      <name val="Calibri"/>
      <family val="2"/>
      <scheme val="minor"/>
    </font>
    <font>
      <sz val="11"/>
      <color theme="0" tint="-0.499984740745262"/>
      <name val="Calibri"/>
      <family val="2"/>
      <scheme val="minor"/>
    </font>
    <font>
      <sz val="11"/>
      <name val="Calibri"/>
      <family val="2"/>
      <scheme val="minor"/>
    </font>
    <font>
      <u/>
      <sz val="12"/>
      <color theme="10"/>
      <name val="Calibri"/>
      <family val="2"/>
      <scheme val="minor"/>
    </font>
    <font>
      <vertAlign val="superscript"/>
      <sz val="7.5"/>
      <color theme="1"/>
      <name val="Calibri"/>
      <family val="2"/>
      <scheme val="minor"/>
    </font>
    <font>
      <sz val="12"/>
      <color rgb="FF000000"/>
      <name val="Calibri"/>
      <family val="2"/>
      <scheme val="minor"/>
    </font>
    <font>
      <sz val="10"/>
      <color rgb="FF01549F"/>
      <name val="Calibri"/>
      <family val="2"/>
      <scheme val="minor"/>
    </font>
    <font>
      <sz val="10"/>
      <color rgb="FF333333"/>
      <name val="Calibri"/>
      <family val="2"/>
      <scheme val="minor"/>
    </font>
    <font>
      <sz val="11"/>
      <color rgb="FF000000"/>
      <name val="Calibri"/>
      <family val="2"/>
      <scheme val="minor"/>
    </font>
    <font>
      <sz val="11"/>
      <color rgb="FF000000"/>
      <name val="Calibri"/>
      <family val="2"/>
    </font>
    <font>
      <vertAlign val="superscript"/>
      <sz val="11"/>
      <color theme="1"/>
      <name val="Calibri"/>
      <family val="2"/>
      <scheme val="minor"/>
    </font>
    <font>
      <sz val="8"/>
      <name val="Calibri"/>
      <family val="2"/>
      <scheme val="minor"/>
    </font>
    <font>
      <b/>
      <sz val="11"/>
      <name val="Calibri"/>
      <family val="2"/>
      <scheme val="minor"/>
    </font>
  </fonts>
  <fills count="15">
    <fill>
      <patternFill patternType="none"/>
    </fill>
    <fill>
      <patternFill patternType="gray125"/>
    </fill>
    <fill>
      <patternFill patternType="solid">
        <fgColor indexed="22"/>
        <bgColor indexed="64"/>
      </patternFill>
    </fill>
    <fill>
      <patternFill patternType="solid">
        <fgColor theme="9" tint="0.59999389629810485"/>
        <bgColor indexed="64"/>
      </patternFill>
    </fill>
    <fill>
      <patternFill patternType="solid">
        <fgColor rgb="FFFFFFFF"/>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2" tint="-9.9978637043366805E-2"/>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6" fillId="0" borderId="0" applyNumberFormat="0" applyFill="0" applyBorder="0" applyAlignment="0" applyProtection="0"/>
  </cellStyleXfs>
  <cellXfs count="94">
    <xf numFmtId="0" fontId="0" fillId="0" borderId="0" xfId="0"/>
    <xf numFmtId="0" fontId="0" fillId="2" borderId="0" xfId="0" applyFill="1"/>
    <xf numFmtId="0" fontId="1" fillId="0" borderId="0" xfId="0" applyFont="1"/>
    <xf numFmtId="0" fontId="0" fillId="3" borderId="0" xfId="0" applyFill="1"/>
    <xf numFmtId="0" fontId="4" fillId="0" borderId="0" xfId="0" applyFont="1"/>
    <xf numFmtId="0" fontId="0" fillId="0" borderId="0" xfId="0" applyAlignment="1">
      <alignment horizontal="right" vertical="top"/>
    </xf>
    <xf numFmtId="0" fontId="7" fillId="0" borderId="0" xfId="0" applyFont="1"/>
    <xf numFmtId="0" fontId="0" fillId="5" borderId="0" xfId="0" applyFill="1"/>
    <xf numFmtId="0" fontId="9" fillId="0" borderId="0" xfId="0" applyFont="1" applyAlignment="1">
      <alignment horizontal="right"/>
    </xf>
    <xf numFmtId="0" fontId="12" fillId="0" borderId="0" xfId="0" applyFont="1"/>
    <xf numFmtId="0" fontId="13" fillId="0" borderId="0" xfId="0" applyFont="1" applyAlignment="1">
      <alignment horizontal="right"/>
    </xf>
    <xf numFmtId="0" fontId="13" fillId="0" borderId="0" xfId="0" applyFont="1"/>
    <xf numFmtId="0" fontId="13" fillId="0" borderId="0" xfId="0" applyFont="1" applyAlignment="1">
      <alignment horizontal="left" vertical="top" wrapText="1"/>
    </xf>
    <xf numFmtId="0" fontId="13" fillId="6" borderId="0" xfId="0" applyFont="1" applyFill="1"/>
    <xf numFmtId="0" fontId="13" fillId="7" borderId="0" xfId="0" applyFont="1" applyFill="1"/>
    <xf numFmtId="0" fontId="13" fillId="8" borderId="0" xfId="0" applyFont="1" applyFill="1"/>
    <xf numFmtId="0" fontId="13" fillId="0" borderId="0" xfId="0" quotePrefix="1" applyFont="1"/>
    <xf numFmtId="0" fontId="0" fillId="8" borderId="0" xfId="0" applyFill="1"/>
    <xf numFmtId="0" fontId="12" fillId="0" borderId="1" xfId="0" applyFont="1" applyBorder="1"/>
    <xf numFmtId="0" fontId="12" fillId="0" borderId="2" xfId="0" applyFont="1" applyBorder="1"/>
    <xf numFmtId="0" fontId="12" fillId="0" borderId="3" xfId="0" applyFont="1" applyBorder="1"/>
    <xf numFmtId="0" fontId="13" fillId="9" borderId="0" xfId="0" applyFont="1" applyFill="1"/>
    <xf numFmtId="0" fontId="13" fillId="0" borderId="1" xfId="0" applyFont="1" applyBorder="1"/>
    <xf numFmtId="0" fontId="13" fillId="0" borderId="2" xfId="0" applyFont="1" applyBorder="1"/>
    <xf numFmtId="0" fontId="13" fillId="0" borderId="3" xfId="0" applyFont="1" applyBorder="1"/>
    <xf numFmtId="0" fontId="15" fillId="0" borderId="0" xfId="0" applyFont="1"/>
    <xf numFmtId="0" fontId="0" fillId="0" borderId="0" xfId="0" applyAlignment="1">
      <alignment vertical="center" wrapText="1"/>
    </xf>
    <xf numFmtId="0" fontId="0" fillId="0" borderId="0" xfId="0" applyAlignment="1">
      <alignment horizontal="right" vertical="center" wrapText="1"/>
    </xf>
    <xf numFmtId="0" fontId="0" fillId="10" borderId="0" xfId="0" applyFill="1"/>
    <xf numFmtId="0" fontId="16" fillId="0" borderId="0" xfId="1"/>
    <xf numFmtId="0" fontId="0" fillId="11" borderId="0" xfId="0" applyFill="1"/>
    <xf numFmtId="0" fontId="4" fillId="0" borderId="0" xfId="0" applyFont="1" applyAlignment="1">
      <alignment horizontal="left" vertical="top" wrapText="1"/>
    </xf>
    <xf numFmtId="0" fontId="5" fillId="0" borderId="0" xfId="0" applyFont="1"/>
    <xf numFmtId="0" fontId="4" fillId="0" borderId="0" xfId="0" applyFont="1" applyAlignment="1">
      <alignment horizontal="right" vertical="top"/>
    </xf>
    <xf numFmtId="0" fontId="16" fillId="0" borderId="0" xfId="1" applyFill="1"/>
    <xf numFmtId="0" fontId="7" fillId="0" borderId="0" xfId="0" applyFont="1" applyAlignment="1">
      <alignment horizontal="center"/>
    </xf>
    <xf numFmtId="0" fontId="0" fillId="0" borderId="0" xfId="0" applyAlignment="1">
      <alignment horizontal="center"/>
    </xf>
    <xf numFmtId="2" fontId="0" fillId="0" borderId="0" xfId="0" applyNumberFormat="1" applyAlignment="1">
      <alignment horizontal="center"/>
    </xf>
    <xf numFmtId="0" fontId="0" fillId="11" borderId="0" xfId="0" applyFill="1" applyAlignment="1">
      <alignment horizontal="center"/>
    </xf>
    <xf numFmtId="0" fontId="17" fillId="0" borderId="0" xfId="0" applyFont="1"/>
    <xf numFmtId="0" fontId="18" fillId="0" borderId="0" xfId="0" applyFont="1" applyAlignment="1">
      <alignment horizontal="center"/>
    </xf>
    <xf numFmtId="0" fontId="18" fillId="0" borderId="0" xfId="0" applyFont="1"/>
    <xf numFmtId="0" fontId="9" fillId="0" borderId="0" xfId="0" applyFont="1" applyAlignment="1">
      <alignment horizontal="center"/>
    </xf>
    <xf numFmtId="164" fontId="0" fillId="0" borderId="0" xfId="0" applyNumberFormat="1" applyAlignment="1">
      <alignment horizontal="center"/>
    </xf>
    <xf numFmtId="0" fontId="0" fillId="0" borderId="0" xfId="0" applyAlignment="1">
      <alignment horizontal="left" vertical="top" wrapText="1"/>
    </xf>
    <xf numFmtId="0" fontId="13" fillId="0" borderId="0" xfId="0" applyFont="1" applyAlignment="1">
      <alignment horizontal="center"/>
    </xf>
    <xf numFmtId="0" fontId="20" fillId="0" borderId="0" xfId="0" applyFont="1"/>
    <xf numFmtId="0" fontId="4" fillId="4" borderId="0" xfId="0" applyFont="1" applyFill="1" applyAlignment="1">
      <alignment horizontal="left" vertical="top" wrapText="1"/>
    </xf>
    <xf numFmtId="0" fontId="0" fillId="0" borderId="0" xfId="0" applyAlignment="1">
      <alignment horizontal="center" vertical="center" wrapText="1"/>
    </xf>
    <xf numFmtId="0" fontId="0" fillId="0" borderId="4" xfId="0" applyBorder="1" applyAlignment="1">
      <alignment horizontal="center"/>
    </xf>
    <xf numFmtId="0" fontId="20" fillId="0" borderId="0" xfId="0" applyFont="1" applyAlignment="1">
      <alignment horizontal="center"/>
    </xf>
    <xf numFmtId="0" fontId="4" fillId="0" borderId="0" xfId="0" applyFont="1" applyAlignment="1">
      <alignment horizontal="center"/>
    </xf>
    <xf numFmtId="0" fontId="0" fillId="12" borderId="0" xfId="0" applyFill="1"/>
    <xf numFmtId="0" fontId="0" fillId="12" borderId="0" xfId="0" applyFill="1" applyAlignment="1">
      <alignment horizontal="center"/>
    </xf>
    <xf numFmtId="0" fontId="22" fillId="12" borderId="0" xfId="0" applyFont="1" applyFill="1" applyAlignment="1">
      <alignment horizontal="center"/>
    </xf>
    <xf numFmtId="0" fontId="23" fillId="12" borderId="0" xfId="0" applyFont="1" applyFill="1" applyAlignment="1">
      <alignment horizontal="center"/>
    </xf>
    <xf numFmtId="0" fontId="24" fillId="12" borderId="0" xfId="0" applyFont="1" applyFill="1" applyAlignment="1">
      <alignment horizontal="center"/>
    </xf>
    <xf numFmtId="0" fontId="24" fillId="0" borderId="0" xfId="0" applyFont="1" applyAlignment="1">
      <alignment horizontal="center"/>
    </xf>
    <xf numFmtId="0" fontId="22" fillId="0" borderId="0" xfId="0" applyFont="1" applyAlignment="1">
      <alignment horizontal="center"/>
    </xf>
    <xf numFmtId="0" fontId="23" fillId="0" borderId="0" xfId="0" applyFont="1" applyAlignment="1">
      <alignment horizontal="center"/>
    </xf>
    <xf numFmtId="0" fontId="25" fillId="0" borderId="0" xfId="0" applyFont="1"/>
    <xf numFmtId="0" fontId="0" fillId="0" borderId="0" xfId="0" applyAlignment="1">
      <alignment horizontal="right" vertical="top" wrapText="1"/>
    </xf>
    <xf numFmtId="0" fontId="26" fillId="0" borderId="0" xfId="1" applyFont="1"/>
    <xf numFmtId="0" fontId="16" fillId="0" borderId="0" xfId="1" applyFill="1" applyAlignment="1">
      <alignment horizontal="left" vertical="center" indent="1"/>
    </xf>
    <xf numFmtId="0" fontId="28" fillId="0" borderId="0" xfId="0" applyFont="1"/>
    <xf numFmtId="0" fontId="16" fillId="0" borderId="0" xfId="1" applyAlignment="1">
      <alignment horizontal="left" vertical="center" indent="1"/>
    </xf>
    <xf numFmtId="0" fontId="16" fillId="0" borderId="0" xfId="1" applyAlignment="1">
      <alignment horizontal="left" vertical="center" wrapText="1" indent="1"/>
    </xf>
    <xf numFmtId="0" fontId="29" fillId="0" borderId="0" xfId="0" applyFont="1"/>
    <xf numFmtId="0" fontId="31" fillId="0" borderId="0" xfId="0" applyFont="1"/>
    <xf numFmtId="0" fontId="0" fillId="0" borderId="0" xfId="0" applyAlignment="1">
      <alignment horizontal="left"/>
    </xf>
    <xf numFmtId="0" fontId="16" fillId="0" borderId="0" xfId="1" applyAlignment="1">
      <alignment horizontal="left" vertical="top" wrapText="1"/>
    </xf>
    <xf numFmtId="0" fontId="0" fillId="0" borderId="0" xfId="1" applyFont="1" applyFill="1" applyAlignment="1">
      <alignment horizontal="right" vertical="top" wrapText="1"/>
    </xf>
    <xf numFmtId="0" fontId="32" fillId="0" borderId="0" xfId="0" applyFont="1"/>
    <xf numFmtId="0" fontId="25" fillId="0" borderId="0" xfId="1" applyFont="1"/>
    <xf numFmtId="0" fontId="16" fillId="0" borderId="0" xfId="1" applyAlignment="1">
      <alignment horizontal="left"/>
    </xf>
    <xf numFmtId="0" fontId="26" fillId="0" borderId="0" xfId="1" applyFont="1" applyFill="1"/>
    <xf numFmtId="0" fontId="16" fillId="0" borderId="0" xfId="1" applyFill="1" applyAlignment="1">
      <alignment horizontal="left" vertical="center" wrapText="1" indent="1"/>
    </xf>
    <xf numFmtId="0" fontId="0" fillId="0" borderId="0" xfId="0" applyAlignment="1">
      <alignment horizontal="left" wrapText="1"/>
    </xf>
    <xf numFmtId="0" fontId="16" fillId="0" borderId="0" xfId="1" applyFill="1" applyAlignment="1">
      <alignment horizontal="left" vertical="top" wrapText="1"/>
    </xf>
    <xf numFmtId="0" fontId="7" fillId="0" borderId="5" xfId="0" applyFont="1" applyBorder="1"/>
    <xf numFmtId="0" fontId="0" fillId="0" borderId="2" xfId="0" applyBorder="1"/>
    <xf numFmtId="0" fontId="7" fillId="0" borderId="1" xfId="0" applyFont="1" applyBorder="1"/>
    <xf numFmtId="0" fontId="17" fillId="0" borderId="2" xfId="0" applyFont="1" applyBorder="1"/>
    <xf numFmtId="0" fontId="0" fillId="0" borderId="3" xfId="0" applyBorder="1"/>
    <xf numFmtId="0" fontId="0" fillId="0" borderId="0" xfId="1" applyFont="1" applyFill="1" applyBorder="1" applyAlignment="1">
      <alignment horizontal="right" vertical="top" wrapText="1"/>
    </xf>
    <xf numFmtId="0" fontId="25" fillId="0" borderId="0" xfId="1" applyFont="1" applyBorder="1"/>
    <xf numFmtId="0" fontId="25" fillId="0" borderId="0" xfId="1" applyFont="1" applyFill="1" applyBorder="1"/>
    <xf numFmtId="0" fontId="0" fillId="13" borderId="0" xfId="0" applyFill="1"/>
    <xf numFmtId="0" fontId="0" fillId="13" borderId="0" xfId="0" applyFill="1" applyAlignment="1">
      <alignment horizontal="center"/>
    </xf>
    <xf numFmtId="0" fontId="0" fillId="13" borderId="0" xfId="0" applyFill="1" applyAlignment="1">
      <alignment horizontal="center" wrapText="1"/>
    </xf>
    <xf numFmtId="0" fontId="0" fillId="14" borderId="0" xfId="0" applyFill="1" applyAlignment="1">
      <alignment horizontal="center"/>
    </xf>
    <xf numFmtId="0" fontId="25" fillId="11" borderId="0" xfId="0" applyFont="1" applyFill="1"/>
    <xf numFmtId="0" fontId="23" fillId="0" borderId="0" xfId="0" applyFont="1"/>
    <xf numFmtId="0" fontId="35"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F23C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mj-lt"/>
                <a:ea typeface="+mn-ea"/>
                <a:cs typeface="+mn-cs"/>
              </a:defRPr>
            </a:pPr>
            <a:r>
              <a:rPr lang="en-US"/>
              <a:t>NO3</a:t>
            </a:r>
          </a:p>
        </c:rich>
      </c:tx>
      <c:layout>
        <c:manualLayout>
          <c:xMode val="edge"/>
          <c:yMode val="edge"/>
          <c:x val="0.41742344706911638"/>
          <c:y val="1.8518518518518517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mj-lt"/>
              <a:ea typeface="+mn-ea"/>
              <a:cs typeface="+mn-cs"/>
            </a:defRPr>
          </a:pPr>
          <a:endParaRPr lang="en-US"/>
        </a:p>
      </c:txPr>
    </c:title>
    <c:autoTitleDeleted val="0"/>
    <c:plotArea>
      <c:layout/>
      <c:scatterChart>
        <c:scatterStyle val="lineMarker"/>
        <c:varyColors val="0"/>
        <c:ser>
          <c:idx val="0"/>
          <c:order val="0"/>
          <c:spPr>
            <a:ln w="25400" cap="rnd">
              <a:solidFill>
                <a:schemeClr val="tx1"/>
              </a:solidFill>
              <a:prstDash val="sysDot"/>
              <a:round/>
            </a:ln>
            <a:effectLst/>
          </c:spPr>
          <c:marker>
            <c:symbol val="circle"/>
            <c:size val="10"/>
            <c:spPr>
              <a:pattFill prst="narHorz">
                <a:fgClr>
                  <a:schemeClr val="tx1"/>
                </a:fgClr>
                <a:bgClr>
                  <a:schemeClr val="bg1"/>
                </a:bgClr>
              </a:pattFill>
              <a:ln w="19050">
                <a:solidFill>
                  <a:schemeClr val="tx1"/>
                </a:solidFill>
              </a:ln>
              <a:effectLst/>
            </c:spPr>
          </c:marker>
          <c:xVal>
            <c:numRef>
              <c:f>'ATP summary'!$N$6:$N$15</c:f>
              <c:numCache>
                <c:formatCode>General</c:formatCode>
                <c:ptCount val="10"/>
                <c:pt idx="0">
                  <c:v>5.9999999999999947</c:v>
                </c:pt>
                <c:pt idx="1">
                  <c:v>5.5750000000000046</c:v>
                </c:pt>
                <c:pt idx="2">
                  <c:v>5.149999999999995</c:v>
                </c:pt>
                <c:pt idx="3">
                  <c:v>4.7249999999999979</c:v>
                </c:pt>
                <c:pt idx="4">
                  <c:v>4.2999999999999972</c:v>
                </c:pt>
                <c:pt idx="5">
                  <c:v>3.8749999999999956</c:v>
                </c:pt>
                <c:pt idx="6">
                  <c:v>3.4499999999999957</c:v>
                </c:pt>
                <c:pt idx="7">
                  <c:v>3.0249999999999972</c:v>
                </c:pt>
                <c:pt idx="8">
                  <c:v>2.5980505415162432</c:v>
                </c:pt>
                <c:pt idx="9">
                  <c:v>2.0991335740072183</c:v>
                </c:pt>
              </c:numCache>
            </c:numRef>
          </c:xVal>
          <c:yVal>
            <c:numRef>
              <c:f>'ATP summary'!$O$6:$O$15</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0-E3FF-4FB0-984A-2669A178AFBD}"/>
            </c:ext>
          </c:extLst>
        </c:ser>
        <c:ser>
          <c:idx val="1"/>
          <c:order val="1"/>
          <c:spPr>
            <a:ln w="25400" cap="rnd">
              <a:solidFill>
                <a:schemeClr val="bg1">
                  <a:lumMod val="50000"/>
                </a:schemeClr>
              </a:solidFill>
              <a:round/>
            </a:ln>
            <a:effectLst/>
          </c:spPr>
          <c:marker>
            <c:symbol val="circle"/>
            <c:size val="10"/>
            <c:spPr>
              <a:solidFill>
                <a:schemeClr val="bg1"/>
              </a:solidFill>
              <a:ln w="19050">
                <a:solidFill>
                  <a:schemeClr val="tx1"/>
                </a:solidFill>
              </a:ln>
              <a:effectLst/>
            </c:spPr>
          </c:marker>
          <c:xVal>
            <c:numRef>
              <c:f>'ATP summary'!$F$6:$F$15</c:f>
              <c:numCache>
                <c:formatCode>General</c:formatCode>
                <c:ptCount val="10"/>
                <c:pt idx="0">
                  <c:v>4.9999999999999982</c:v>
                </c:pt>
                <c:pt idx="1">
                  <c:v>4.5750000000000028</c:v>
                </c:pt>
                <c:pt idx="2">
                  <c:v>4.1500000000000048</c:v>
                </c:pt>
                <c:pt idx="3">
                  <c:v>3.7250000000000005</c:v>
                </c:pt>
                <c:pt idx="4">
                  <c:v>3.3000000000000016</c:v>
                </c:pt>
                <c:pt idx="5">
                  <c:v>2.8749999999999991</c:v>
                </c:pt>
                <c:pt idx="6">
                  <c:v>2.4499999999999997</c:v>
                </c:pt>
                <c:pt idx="7">
                  <c:v>2.0250000000000017</c:v>
                </c:pt>
                <c:pt idx="8">
                  <c:v>1.5996727272727271</c:v>
                </c:pt>
                <c:pt idx="9">
                  <c:v>1.1622636363636363</c:v>
                </c:pt>
              </c:numCache>
            </c:numRef>
          </c:xVal>
          <c:yVal>
            <c:numRef>
              <c:f>'ATP summary'!$G$6:$G$15</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1-E3FF-4FB0-984A-2669A178AFBD}"/>
            </c:ext>
          </c:extLst>
        </c:ser>
        <c:ser>
          <c:idx val="2"/>
          <c:order val="2"/>
          <c:spPr>
            <a:ln w="25400" cap="rnd">
              <a:solidFill>
                <a:schemeClr val="tx1"/>
              </a:solidFill>
              <a:round/>
            </a:ln>
            <a:effectLst/>
          </c:spPr>
          <c:marker>
            <c:symbol val="circle"/>
            <c:size val="10"/>
            <c:spPr>
              <a:solidFill>
                <a:schemeClr val="tx1"/>
              </a:solidFill>
              <a:ln w="15875">
                <a:solidFill>
                  <a:schemeClr val="tx1"/>
                </a:solidFill>
              </a:ln>
              <a:effectLst/>
            </c:spPr>
          </c:marker>
          <c:xVal>
            <c:numRef>
              <c:f>'ATP summary'!$L$6:$L$15</c:f>
              <c:numCache>
                <c:formatCode>General</c:formatCode>
                <c:ptCount val="10"/>
                <c:pt idx="0">
                  <c:v>4.4999999999999947</c:v>
                </c:pt>
                <c:pt idx="1">
                  <c:v>4.0749999999999993</c:v>
                </c:pt>
                <c:pt idx="2">
                  <c:v>3.6499999999999964</c:v>
                </c:pt>
                <c:pt idx="3">
                  <c:v>3.2249999999999965</c:v>
                </c:pt>
                <c:pt idx="4">
                  <c:v>2.8000000000000012</c:v>
                </c:pt>
                <c:pt idx="5">
                  <c:v>2.3749999999999956</c:v>
                </c:pt>
                <c:pt idx="6">
                  <c:v>1.9499999999999971</c:v>
                </c:pt>
                <c:pt idx="7">
                  <c:v>1.5249999999999979</c:v>
                </c:pt>
                <c:pt idx="8">
                  <c:v>1.0989064398541921</c:v>
                </c:pt>
                <c:pt idx="9">
                  <c:v>0.63244228432563809</c:v>
                </c:pt>
              </c:numCache>
            </c:numRef>
          </c:xVal>
          <c:yVal>
            <c:numRef>
              <c:f>'ATP summary'!$M$6:$M$15</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2-E3FF-4FB0-984A-2669A178AFBD}"/>
            </c:ext>
          </c:extLst>
        </c:ser>
        <c:ser>
          <c:idx val="3"/>
          <c:order val="3"/>
          <c:spPr>
            <a:ln w="25400" cap="rnd">
              <a:solidFill>
                <a:schemeClr val="bg1">
                  <a:lumMod val="50000"/>
                </a:schemeClr>
              </a:solidFill>
              <a:prstDash val="sysDot"/>
              <a:round/>
            </a:ln>
            <a:effectLst/>
          </c:spPr>
          <c:marker>
            <c:symbol val="circle"/>
            <c:size val="10"/>
            <c:spPr>
              <a:pattFill prst="narHorz">
                <a:fgClr>
                  <a:schemeClr val="bg1">
                    <a:lumMod val="50000"/>
                  </a:schemeClr>
                </a:fgClr>
                <a:bgClr>
                  <a:schemeClr val="bg1"/>
                </a:bgClr>
              </a:pattFill>
              <a:ln w="15875">
                <a:solidFill>
                  <a:schemeClr val="bg1">
                    <a:lumMod val="50000"/>
                  </a:schemeClr>
                </a:solidFill>
              </a:ln>
              <a:effectLst/>
            </c:spPr>
          </c:marker>
          <c:xVal>
            <c:numRef>
              <c:f>'ATP summary'!$D$6:$D$14</c:f>
              <c:numCache>
                <c:formatCode>General</c:formatCode>
                <c:ptCount val="9"/>
                <c:pt idx="0">
                  <c:v>3.5000000000000022</c:v>
                </c:pt>
                <c:pt idx="1">
                  <c:v>3.099999999999997</c:v>
                </c:pt>
                <c:pt idx="2">
                  <c:v>2.7000000000000051</c:v>
                </c:pt>
                <c:pt idx="3">
                  <c:v>2.3000000000000025</c:v>
                </c:pt>
                <c:pt idx="4">
                  <c:v>1.900000000000001</c:v>
                </c:pt>
                <c:pt idx="5">
                  <c:v>1.4999999999999982</c:v>
                </c:pt>
                <c:pt idx="6">
                  <c:v>1.1000000000000001</c:v>
                </c:pt>
                <c:pt idx="7">
                  <c:v>0.7000000000000004</c:v>
                </c:pt>
                <c:pt idx="8">
                  <c:v>0.25000000000000022</c:v>
                </c:pt>
              </c:numCache>
            </c:numRef>
          </c:xVal>
          <c:yVal>
            <c:numRef>
              <c:f>'ATP summary'!$E$6:$E$14</c:f>
              <c:numCache>
                <c:formatCode>General</c:formatCode>
                <c:ptCount val="9"/>
                <c:pt idx="0">
                  <c:v>2</c:v>
                </c:pt>
                <c:pt idx="1">
                  <c:v>1.9</c:v>
                </c:pt>
                <c:pt idx="2">
                  <c:v>1.8</c:v>
                </c:pt>
                <c:pt idx="3">
                  <c:v>1.7</c:v>
                </c:pt>
                <c:pt idx="4">
                  <c:v>1.6</c:v>
                </c:pt>
                <c:pt idx="5">
                  <c:v>1.5</c:v>
                </c:pt>
                <c:pt idx="6">
                  <c:v>1.4</c:v>
                </c:pt>
                <c:pt idx="7">
                  <c:v>1.3</c:v>
                </c:pt>
                <c:pt idx="8">
                  <c:v>1.2</c:v>
                </c:pt>
              </c:numCache>
            </c:numRef>
          </c:yVal>
          <c:smooth val="0"/>
          <c:extLst>
            <c:ext xmlns:c16="http://schemas.microsoft.com/office/drawing/2014/chart" uri="{C3380CC4-5D6E-409C-BE32-E72D297353CC}">
              <c16:uniqueId val="{00000003-E3FF-4FB0-984A-2669A178AFBD}"/>
            </c:ext>
          </c:extLst>
        </c:ser>
        <c:dLbls>
          <c:showLegendKey val="0"/>
          <c:showVal val="0"/>
          <c:showCatName val="0"/>
          <c:showSerName val="0"/>
          <c:showPercent val="0"/>
          <c:showBubbleSize val="0"/>
        </c:dLbls>
        <c:axId val="2039323519"/>
        <c:axId val="2039323999"/>
      </c:scatterChart>
      <c:valAx>
        <c:axId val="2039323519"/>
        <c:scaling>
          <c:orientation val="minMax"/>
          <c:max val="6"/>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r>
                  <a:rPr lang="en-US"/>
                  <a:t>ATP per methane</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title>
        <c:numFmt formatCode="General" sourceLinked="1"/>
        <c:majorTickMark val="in"/>
        <c:minorTickMark val="none"/>
        <c:tickLblPos val="nextTo"/>
        <c:spPr>
          <a:noFill/>
          <a:ln w="2540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crossAx val="2039323999"/>
        <c:crosses val="autoZero"/>
        <c:crossBetween val="midCat"/>
      </c:valAx>
      <c:valAx>
        <c:axId val="2039323999"/>
        <c:scaling>
          <c:orientation val="minMax"/>
          <c:max val="2"/>
          <c:min val="1"/>
        </c:scaling>
        <c:delete val="0"/>
        <c:axPos val="l"/>
        <c:title>
          <c:tx>
            <c:rich>
              <a:bodyPr rot="-54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r>
                  <a:rPr lang="en-US"/>
                  <a:t>O2 per methane</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title>
        <c:numFmt formatCode="General" sourceLinked="1"/>
        <c:majorTickMark val="in"/>
        <c:minorTickMark val="none"/>
        <c:tickLblPos val="nextTo"/>
        <c:spPr>
          <a:noFill/>
          <a:ln w="2540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crossAx val="2039323519"/>
        <c:crosses val="autoZero"/>
        <c:crossBetween val="midCat"/>
        <c:majorUnit val="0.2"/>
      </c:valAx>
      <c:spPr>
        <a:noFill/>
        <a:ln w="254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latin typeface="+mj-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mj-lt"/>
                <a:ea typeface="+mn-ea"/>
                <a:cs typeface="+mn-cs"/>
              </a:defRPr>
            </a:pPr>
            <a:r>
              <a:rPr lang="en-US"/>
              <a:t>N2</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mj-lt"/>
              <a:ea typeface="+mn-ea"/>
              <a:cs typeface="+mn-cs"/>
            </a:defRPr>
          </a:pPr>
          <a:endParaRPr lang="en-US"/>
        </a:p>
      </c:txPr>
    </c:title>
    <c:autoTitleDeleted val="0"/>
    <c:plotArea>
      <c:layout/>
      <c:scatterChart>
        <c:scatterStyle val="lineMarker"/>
        <c:varyColors val="0"/>
        <c:ser>
          <c:idx val="0"/>
          <c:order val="0"/>
          <c:spPr>
            <a:ln w="19050" cap="rnd">
              <a:solidFill>
                <a:schemeClr val="tx1"/>
              </a:solidFill>
              <a:prstDash val="sysDot"/>
              <a:round/>
            </a:ln>
            <a:effectLst/>
          </c:spPr>
          <c:marker>
            <c:symbol val="circle"/>
            <c:size val="10"/>
            <c:spPr>
              <a:pattFill prst="narHorz">
                <a:fgClr>
                  <a:schemeClr val="tx1"/>
                </a:fgClr>
                <a:bgClr>
                  <a:schemeClr val="bg1"/>
                </a:bgClr>
              </a:pattFill>
              <a:ln w="19050">
                <a:solidFill>
                  <a:schemeClr val="tx1"/>
                </a:solidFill>
              </a:ln>
              <a:effectLst/>
            </c:spPr>
          </c:marker>
          <c:xVal>
            <c:numRef>
              <c:f>'ATP summary'!$N$23:$N$32</c:f>
              <c:numCache>
                <c:formatCode>General</c:formatCode>
                <c:ptCount val="10"/>
                <c:pt idx="0">
                  <c:v>5.9999999999999982</c:v>
                </c:pt>
                <c:pt idx="1">
                  <c:v>5.4999999999999991</c:v>
                </c:pt>
                <c:pt idx="2">
                  <c:v>5</c:v>
                </c:pt>
                <c:pt idx="3">
                  <c:v>4.4999999999999982</c:v>
                </c:pt>
                <c:pt idx="4">
                  <c:v>3.9999999999999987</c:v>
                </c:pt>
                <c:pt idx="5">
                  <c:v>3.5</c:v>
                </c:pt>
                <c:pt idx="6">
                  <c:v>2.8833333333333342</c:v>
                </c:pt>
                <c:pt idx="7">
                  <c:v>2.2666666666666648</c:v>
                </c:pt>
                <c:pt idx="8">
                  <c:v>1.65</c:v>
                </c:pt>
                <c:pt idx="9">
                  <c:v>1.033333333333333</c:v>
                </c:pt>
              </c:numCache>
            </c:numRef>
          </c:xVal>
          <c:yVal>
            <c:numRef>
              <c:f>'ATP summary'!$O$23:$O$32</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0-10ED-45D0-B403-AF86156FB831}"/>
            </c:ext>
          </c:extLst>
        </c:ser>
        <c:ser>
          <c:idx val="1"/>
          <c:order val="1"/>
          <c:spPr>
            <a:ln w="19050" cap="rnd">
              <a:solidFill>
                <a:schemeClr val="bg1">
                  <a:lumMod val="50000"/>
                </a:schemeClr>
              </a:solidFill>
              <a:round/>
            </a:ln>
            <a:effectLst/>
          </c:spPr>
          <c:marker>
            <c:symbol val="circle"/>
            <c:size val="10"/>
            <c:spPr>
              <a:solidFill>
                <a:schemeClr val="bg1"/>
              </a:solidFill>
              <a:ln w="19050">
                <a:solidFill>
                  <a:schemeClr val="tx1"/>
                </a:solidFill>
              </a:ln>
              <a:effectLst/>
            </c:spPr>
          </c:marker>
          <c:xVal>
            <c:numRef>
              <c:f>'ATP summary'!$F$23:$F$32</c:f>
              <c:numCache>
                <c:formatCode>General</c:formatCode>
                <c:ptCount val="10"/>
                <c:pt idx="0">
                  <c:v>5.0000000000000009</c:v>
                </c:pt>
                <c:pt idx="1">
                  <c:v>4.5624999999999982</c:v>
                </c:pt>
                <c:pt idx="2">
                  <c:v>4.1250000000000009</c:v>
                </c:pt>
                <c:pt idx="3">
                  <c:v>3.6875000000000009</c:v>
                </c:pt>
                <c:pt idx="4">
                  <c:v>3.2499999999999991</c:v>
                </c:pt>
                <c:pt idx="5">
                  <c:v>2.8125</c:v>
                </c:pt>
                <c:pt idx="6">
                  <c:v>2.3749999999999991</c:v>
                </c:pt>
                <c:pt idx="7">
                  <c:v>1.9374999999999993</c:v>
                </c:pt>
                <c:pt idx="8">
                  <c:v>1.5</c:v>
                </c:pt>
                <c:pt idx="9">
                  <c:v>1.0625</c:v>
                </c:pt>
              </c:numCache>
            </c:numRef>
          </c:xVal>
          <c:yVal>
            <c:numRef>
              <c:f>'ATP summary'!$G$23:$G$32</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1-10ED-45D0-B403-AF86156FB831}"/>
            </c:ext>
          </c:extLst>
        </c:ser>
        <c:ser>
          <c:idx val="2"/>
          <c:order val="2"/>
          <c:spPr>
            <a:ln w="25400" cap="rnd">
              <a:solidFill>
                <a:schemeClr val="tx1"/>
              </a:solidFill>
              <a:round/>
            </a:ln>
            <a:effectLst/>
          </c:spPr>
          <c:marker>
            <c:symbol val="circle"/>
            <c:size val="10"/>
            <c:spPr>
              <a:solidFill>
                <a:schemeClr val="tx1"/>
              </a:solidFill>
              <a:ln w="15875">
                <a:solidFill>
                  <a:schemeClr val="tx1"/>
                </a:solidFill>
              </a:ln>
              <a:effectLst/>
            </c:spPr>
          </c:marker>
          <c:xVal>
            <c:numRef>
              <c:f>'ATP summary'!$L$23:$L$30</c:f>
              <c:numCache>
                <c:formatCode>General</c:formatCode>
                <c:ptCount val="8"/>
                <c:pt idx="0">
                  <c:v>4.5000000000000009</c:v>
                </c:pt>
                <c:pt idx="1">
                  <c:v>4.0333333333333332</c:v>
                </c:pt>
                <c:pt idx="2">
                  <c:v>3.5666666666666687</c:v>
                </c:pt>
                <c:pt idx="3">
                  <c:v>3.1000000000000005</c:v>
                </c:pt>
                <c:pt idx="4">
                  <c:v>2.633333333333332</c:v>
                </c:pt>
                <c:pt idx="5">
                  <c:v>2.1666666666666665</c:v>
                </c:pt>
                <c:pt idx="6">
                  <c:v>1.7</c:v>
                </c:pt>
                <c:pt idx="7">
                  <c:v>1.2333333333333336</c:v>
                </c:pt>
              </c:numCache>
            </c:numRef>
          </c:xVal>
          <c:yVal>
            <c:numRef>
              <c:f>'ATP summary'!$M$23:$M$30</c:f>
              <c:numCache>
                <c:formatCode>General</c:formatCode>
                <c:ptCount val="8"/>
                <c:pt idx="0">
                  <c:v>2</c:v>
                </c:pt>
                <c:pt idx="1">
                  <c:v>1.9</c:v>
                </c:pt>
                <c:pt idx="2">
                  <c:v>1.8</c:v>
                </c:pt>
                <c:pt idx="3">
                  <c:v>1.7</c:v>
                </c:pt>
                <c:pt idx="4">
                  <c:v>1.6</c:v>
                </c:pt>
                <c:pt idx="5">
                  <c:v>1.5</c:v>
                </c:pt>
                <c:pt idx="6">
                  <c:v>1.4</c:v>
                </c:pt>
                <c:pt idx="7">
                  <c:v>1.3</c:v>
                </c:pt>
              </c:numCache>
            </c:numRef>
          </c:yVal>
          <c:smooth val="0"/>
          <c:extLst>
            <c:ext xmlns:c16="http://schemas.microsoft.com/office/drawing/2014/chart" uri="{C3380CC4-5D6E-409C-BE32-E72D297353CC}">
              <c16:uniqueId val="{00000002-10ED-45D0-B403-AF86156FB831}"/>
            </c:ext>
          </c:extLst>
        </c:ser>
        <c:ser>
          <c:idx val="3"/>
          <c:order val="3"/>
          <c:spPr>
            <a:ln w="25400" cap="rnd">
              <a:solidFill>
                <a:schemeClr val="bg1">
                  <a:lumMod val="50000"/>
                </a:schemeClr>
              </a:solidFill>
              <a:prstDash val="sysDot"/>
              <a:round/>
            </a:ln>
            <a:effectLst/>
          </c:spPr>
          <c:marker>
            <c:symbol val="circle"/>
            <c:size val="10"/>
            <c:spPr>
              <a:pattFill prst="narHorz">
                <a:fgClr>
                  <a:schemeClr val="bg1">
                    <a:lumMod val="50000"/>
                  </a:schemeClr>
                </a:fgClr>
                <a:bgClr>
                  <a:schemeClr val="bg1"/>
                </a:bgClr>
              </a:pattFill>
              <a:ln w="15875">
                <a:solidFill>
                  <a:schemeClr val="bg1">
                    <a:lumMod val="50000"/>
                  </a:schemeClr>
                </a:solidFill>
              </a:ln>
              <a:effectLst/>
            </c:spPr>
          </c:marker>
          <c:xVal>
            <c:numRef>
              <c:f>'ATP summary'!$D$23:$D$30</c:f>
              <c:numCache>
                <c:formatCode>General</c:formatCode>
                <c:ptCount val="8"/>
                <c:pt idx="0">
                  <c:v>3.5000000000000013</c:v>
                </c:pt>
                <c:pt idx="1">
                  <c:v>3.100000000000001</c:v>
                </c:pt>
                <c:pt idx="2">
                  <c:v>2.6999999999999984</c:v>
                </c:pt>
                <c:pt idx="3">
                  <c:v>2.2999999999999976</c:v>
                </c:pt>
                <c:pt idx="4">
                  <c:v>1.8999999999999964</c:v>
                </c:pt>
                <c:pt idx="5">
                  <c:v>1.4999999999999998</c:v>
                </c:pt>
                <c:pt idx="6">
                  <c:v>1.1000000000000003</c:v>
                </c:pt>
                <c:pt idx="7">
                  <c:v>0.7</c:v>
                </c:pt>
              </c:numCache>
            </c:numRef>
          </c:xVal>
          <c:yVal>
            <c:numRef>
              <c:f>'ATP summary'!$E$23:$E$30</c:f>
              <c:numCache>
                <c:formatCode>General</c:formatCode>
                <c:ptCount val="8"/>
                <c:pt idx="0">
                  <c:v>2</c:v>
                </c:pt>
                <c:pt idx="1">
                  <c:v>1.9</c:v>
                </c:pt>
                <c:pt idx="2">
                  <c:v>1.8</c:v>
                </c:pt>
                <c:pt idx="3">
                  <c:v>1.7</c:v>
                </c:pt>
                <c:pt idx="4">
                  <c:v>1.6</c:v>
                </c:pt>
                <c:pt idx="5">
                  <c:v>1.5</c:v>
                </c:pt>
                <c:pt idx="6">
                  <c:v>1.4</c:v>
                </c:pt>
                <c:pt idx="7">
                  <c:v>1.3</c:v>
                </c:pt>
              </c:numCache>
            </c:numRef>
          </c:yVal>
          <c:smooth val="0"/>
          <c:extLst>
            <c:ext xmlns:c16="http://schemas.microsoft.com/office/drawing/2014/chart" uri="{C3380CC4-5D6E-409C-BE32-E72D297353CC}">
              <c16:uniqueId val="{00000003-10ED-45D0-B403-AF86156FB831}"/>
            </c:ext>
          </c:extLst>
        </c:ser>
        <c:dLbls>
          <c:showLegendKey val="0"/>
          <c:showVal val="0"/>
          <c:showCatName val="0"/>
          <c:showSerName val="0"/>
          <c:showPercent val="0"/>
          <c:showBubbleSize val="0"/>
        </c:dLbls>
        <c:axId val="2039346079"/>
        <c:axId val="2039366239"/>
      </c:scatterChart>
      <c:valAx>
        <c:axId val="2039346079"/>
        <c:scaling>
          <c:orientation val="minMax"/>
          <c:max val="6"/>
          <c:min val="1"/>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r>
                  <a:rPr lang="en-US"/>
                  <a:t>ATP per methane</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title>
        <c:numFmt formatCode="General" sourceLinked="1"/>
        <c:majorTickMark val="in"/>
        <c:minorTickMark val="none"/>
        <c:tickLblPos val="nextTo"/>
        <c:spPr>
          <a:noFill/>
          <a:ln w="2540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crossAx val="2039366239"/>
        <c:crosses val="autoZero"/>
        <c:crossBetween val="midCat"/>
      </c:valAx>
      <c:valAx>
        <c:axId val="2039366239"/>
        <c:scaling>
          <c:orientation val="minMax"/>
          <c:max val="2"/>
          <c:min val="1"/>
        </c:scaling>
        <c:delete val="0"/>
        <c:axPos val="l"/>
        <c:title>
          <c:tx>
            <c:rich>
              <a:bodyPr rot="-54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r>
                  <a:rPr lang="en-US"/>
                  <a:t>O2 per methane</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title>
        <c:numFmt formatCode="General" sourceLinked="1"/>
        <c:majorTickMark val="in"/>
        <c:minorTickMark val="none"/>
        <c:tickLblPos val="nextTo"/>
        <c:spPr>
          <a:noFill/>
          <a:ln w="2540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crossAx val="2039346079"/>
        <c:crosses val="autoZero"/>
        <c:crossBetween val="midCat"/>
        <c:majorUnit val="0.2"/>
      </c:valAx>
      <c:spPr>
        <a:noFill/>
        <a:ln w="254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latin typeface="+mj-lt"/>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'ATP TII N2'!$W$134:$AF$134</c:f>
              <c:numCache>
                <c:formatCode>General</c:formatCode>
                <c:ptCount val="10"/>
                <c:pt idx="0">
                  <c:v>5.9999999999999982</c:v>
                </c:pt>
                <c:pt idx="1">
                  <c:v>5.4999999999999991</c:v>
                </c:pt>
                <c:pt idx="2">
                  <c:v>5</c:v>
                </c:pt>
                <c:pt idx="3">
                  <c:v>4.4999999999999982</c:v>
                </c:pt>
                <c:pt idx="4">
                  <c:v>3.9999999999999987</c:v>
                </c:pt>
                <c:pt idx="5">
                  <c:v>3.5</c:v>
                </c:pt>
                <c:pt idx="6">
                  <c:v>2.8833333333333342</c:v>
                </c:pt>
                <c:pt idx="7">
                  <c:v>2.2666666666666648</c:v>
                </c:pt>
                <c:pt idx="8">
                  <c:v>1.65</c:v>
                </c:pt>
                <c:pt idx="9">
                  <c:v>1.033333333333333</c:v>
                </c:pt>
              </c:numCache>
            </c:numRef>
          </c:xVal>
          <c:yVal>
            <c:numRef>
              <c:f>'ATP TII N2'!$W$137:$AF$137</c:f>
              <c:numCache>
                <c:formatCode>General</c:formatCode>
                <c:ptCount val="10"/>
                <c:pt idx="0">
                  <c:v>-8.84</c:v>
                </c:pt>
                <c:pt idx="1">
                  <c:v>-9.0399999999999991</c:v>
                </c:pt>
                <c:pt idx="2">
                  <c:v>-9.24</c:v>
                </c:pt>
                <c:pt idx="3">
                  <c:v>-9.44</c:v>
                </c:pt>
                <c:pt idx="4">
                  <c:v>-9.6399999999999988</c:v>
                </c:pt>
                <c:pt idx="5">
                  <c:v>-9.84</c:v>
                </c:pt>
                <c:pt idx="6">
                  <c:v>-9.9066666666666681</c:v>
                </c:pt>
                <c:pt idx="7">
                  <c:v>-9.9733333333333327</c:v>
                </c:pt>
                <c:pt idx="8">
                  <c:v>-10.040000000000001</c:v>
                </c:pt>
                <c:pt idx="9">
                  <c:v>-10.106666666666667</c:v>
                </c:pt>
              </c:numCache>
            </c:numRef>
          </c:yVal>
          <c:smooth val="0"/>
          <c:extLst>
            <c:ext xmlns:c16="http://schemas.microsoft.com/office/drawing/2014/chart" uri="{C3380CC4-5D6E-409C-BE32-E72D297353CC}">
              <c16:uniqueId val="{00000000-C221-478D-AC04-D52EDF8FF095}"/>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'ATP TII N2'!$L$134:$U$134</c:f>
              <c:numCache>
                <c:formatCode>General</c:formatCode>
                <c:ptCount val="10"/>
                <c:pt idx="0">
                  <c:v>5.5000000000000044</c:v>
                </c:pt>
                <c:pt idx="1">
                  <c:v>5.0333333333333314</c:v>
                </c:pt>
                <c:pt idx="2">
                  <c:v>4.5666666666666647</c:v>
                </c:pt>
                <c:pt idx="3">
                  <c:v>4.1000000000000023</c:v>
                </c:pt>
                <c:pt idx="4">
                  <c:v>3.6333333333333315</c:v>
                </c:pt>
                <c:pt idx="5">
                  <c:v>3.1666666666666674</c:v>
                </c:pt>
                <c:pt idx="6">
                  <c:v>2.7000000000000006</c:v>
                </c:pt>
                <c:pt idx="7">
                  <c:v>2.2333333333333303</c:v>
                </c:pt>
                <c:pt idx="8">
                  <c:v>0</c:v>
                </c:pt>
                <c:pt idx="9">
                  <c:v>0</c:v>
                </c:pt>
              </c:numCache>
            </c:numRef>
          </c:xVal>
          <c:yVal>
            <c:numRef>
              <c:f>'ATP TII N2'!$L$137:$U$137</c:f>
              <c:numCache>
                <c:formatCode>General</c:formatCode>
                <c:ptCount val="10"/>
                <c:pt idx="0">
                  <c:v>-8.84</c:v>
                </c:pt>
                <c:pt idx="1">
                  <c:v>-8.9066666666666681</c:v>
                </c:pt>
                <c:pt idx="2">
                  <c:v>-8.9733333333333345</c:v>
                </c:pt>
                <c:pt idx="3">
                  <c:v>-9.0400000000000009</c:v>
                </c:pt>
                <c:pt idx="4">
                  <c:v>-9.1066666666666674</c:v>
                </c:pt>
                <c:pt idx="5">
                  <c:v>-9.1733333333333338</c:v>
                </c:pt>
                <c:pt idx="6">
                  <c:v>-9.24</c:v>
                </c:pt>
                <c:pt idx="7">
                  <c:v>-9.3066666666666684</c:v>
                </c:pt>
                <c:pt idx="8">
                  <c:v>0</c:v>
                </c:pt>
                <c:pt idx="9">
                  <c:v>0</c:v>
                </c:pt>
              </c:numCache>
            </c:numRef>
          </c:yVal>
          <c:smooth val="0"/>
          <c:extLst>
            <c:ext xmlns:c16="http://schemas.microsoft.com/office/drawing/2014/chart" uri="{C3380CC4-5D6E-409C-BE32-E72D297353CC}">
              <c16:uniqueId val="{00000001-C221-478D-AC04-D52EDF8FF095}"/>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'ATP TII N2'!$A$134:$J$134</c:f>
              <c:numCache>
                <c:formatCode>General</c:formatCode>
                <c:ptCount val="10"/>
                <c:pt idx="0">
                  <c:v>4.5000000000000009</c:v>
                </c:pt>
                <c:pt idx="1">
                  <c:v>4.0333333333333332</c:v>
                </c:pt>
                <c:pt idx="2">
                  <c:v>3.5666666666666687</c:v>
                </c:pt>
                <c:pt idx="3">
                  <c:v>3.1000000000000005</c:v>
                </c:pt>
                <c:pt idx="4">
                  <c:v>2.633333333333332</c:v>
                </c:pt>
                <c:pt idx="5">
                  <c:v>2.1666666666666665</c:v>
                </c:pt>
                <c:pt idx="6">
                  <c:v>1.7</c:v>
                </c:pt>
                <c:pt idx="7">
                  <c:v>1.2333333333333336</c:v>
                </c:pt>
                <c:pt idx="8">
                  <c:v>0</c:v>
                </c:pt>
                <c:pt idx="9">
                  <c:v>0</c:v>
                </c:pt>
              </c:numCache>
            </c:numRef>
          </c:xVal>
          <c:yVal>
            <c:numRef>
              <c:f>'ATP TII N2'!$A$137:$J$137</c:f>
              <c:numCache>
                <c:formatCode>General</c:formatCode>
                <c:ptCount val="10"/>
                <c:pt idx="0">
                  <c:v>-8.84</c:v>
                </c:pt>
                <c:pt idx="1">
                  <c:v>-8.9066666666666681</c:v>
                </c:pt>
                <c:pt idx="2">
                  <c:v>-8.9733333333333327</c:v>
                </c:pt>
                <c:pt idx="3">
                  <c:v>-9.0400000000000009</c:v>
                </c:pt>
                <c:pt idx="4">
                  <c:v>-9.1066666666666674</c:v>
                </c:pt>
                <c:pt idx="5">
                  <c:v>-9.1733333333333338</c:v>
                </c:pt>
                <c:pt idx="6">
                  <c:v>-9.24</c:v>
                </c:pt>
                <c:pt idx="7">
                  <c:v>-9.3066666666666684</c:v>
                </c:pt>
                <c:pt idx="8">
                  <c:v>0</c:v>
                </c:pt>
                <c:pt idx="9">
                  <c:v>0</c:v>
                </c:pt>
              </c:numCache>
            </c:numRef>
          </c:yVal>
          <c:smooth val="0"/>
          <c:extLst>
            <c:ext xmlns:c16="http://schemas.microsoft.com/office/drawing/2014/chart" uri="{C3380CC4-5D6E-409C-BE32-E72D297353CC}">
              <c16:uniqueId val="{00000002-C221-478D-AC04-D52EDF8FF095}"/>
            </c:ext>
          </c:extLst>
        </c:ser>
        <c:dLbls>
          <c:showLegendKey val="0"/>
          <c:showVal val="0"/>
          <c:showCatName val="0"/>
          <c:showSerName val="0"/>
          <c:showPercent val="0"/>
          <c:showBubbleSize val="0"/>
        </c:dLbls>
        <c:axId val="763771231"/>
        <c:axId val="763758751"/>
      </c:scatterChart>
      <c:valAx>
        <c:axId val="763771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58751"/>
        <c:crosses val="autoZero"/>
        <c:crossBetween val="midCat"/>
      </c:valAx>
      <c:valAx>
        <c:axId val="76375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712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mj-lt"/>
                <a:ea typeface="+mn-ea"/>
                <a:cs typeface="+mn-cs"/>
              </a:defRPr>
            </a:pPr>
            <a:r>
              <a:rPr lang="en-US"/>
              <a:t>TI and TII GWP vs ATP yield</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mj-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10"/>
            <c:spPr>
              <a:solidFill>
                <a:schemeClr val="tx1"/>
              </a:solidFill>
              <a:ln w="15875">
                <a:solidFill>
                  <a:schemeClr val="tx1"/>
                </a:solidFill>
              </a:ln>
              <a:effectLst/>
            </c:spPr>
          </c:marker>
          <c:xVal>
            <c:numRef>
              <c:f>'ATP TII nitrate'!$W$134:$AF$134</c:f>
              <c:numCache>
                <c:formatCode>General</c:formatCode>
                <c:ptCount val="10"/>
                <c:pt idx="0">
                  <c:v>5.9999999999999947</c:v>
                </c:pt>
                <c:pt idx="1">
                  <c:v>5.5750000000000046</c:v>
                </c:pt>
                <c:pt idx="2">
                  <c:v>5.149999999999995</c:v>
                </c:pt>
                <c:pt idx="3">
                  <c:v>4.7249999999999979</c:v>
                </c:pt>
                <c:pt idx="4">
                  <c:v>4.2999999999999972</c:v>
                </c:pt>
                <c:pt idx="5">
                  <c:v>3.8749999999999956</c:v>
                </c:pt>
                <c:pt idx="6">
                  <c:v>3.4499999999999957</c:v>
                </c:pt>
                <c:pt idx="7">
                  <c:v>3.0249999999999972</c:v>
                </c:pt>
                <c:pt idx="8">
                  <c:v>2.5980505415162432</c:v>
                </c:pt>
                <c:pt idx="9">
                  <c:v>2.0991335740072183</c:v>
                </c:pt>
              </c:numCache>
            </c:numRef>
          </c:xVal>
          <c:yVal>
            <c:numRef>
              <c:f>'ATP TII nitrate'!$W$137:$AF$137</c:f>
              <c:numCache>
                <c:formatCode>General</c:formatCode>
                <c:ptCount val="10"/>
                <c:pt idx="0">
                  <c:v>-8.8400000000011403</c:v>
                </c:pt>
                <c:pt idx="1">
                  <c:v>4.8100000000008949</c:v>
                </c:pt>
                <c:pt idx="2">
                  <c:v>18.459999999999198</c:v>
                </c:pt>
                <c:pt idx="3">
                  <c:v>32.109999999999481</c:v>
                </c:pt>
                <c:pt idx="4">
                  <c:v>45.759999999999387</c:v>
                </c:pt>
                <c:pt idx="5">
                  <c:v>59.409999999999059</c:v>
                </c:pt>
                <c:pt idx="6">
                  <c:v>73.059999999999249</c:v>
                </c:pt>
                <c:pt idx="7">
                  <c:v>86.709999999999482</c:v>
                </c:pt>
                <c:pt idx="8">
                  <c:v>100</c:v>
                </c:pt>
                <c:pt idx="9">
                  <c:v>100</c:v>
                </c:pt>
              </c:numCache>
            </c:numRef>
          </c:yVal>
          <c:smooth val="0"/>
          <c:extLst>
            <c:ext xmlns:c16="http://schemas.microsoft.com/office/drawing/2014/chart" uri="{C3380CC4-5D6E-409C-BE32-E72D297353CC}">
              <c16:uniqueId val="{00000000-D08A-4F28-9C92-D0B58E29D27D}"/>
            </c:ext>
          </c:extLst>
        </c:ser>
        <c:ser>
          <c:idx val="2"/>
          <c:order val="1"/>
          <c:spPr>
            <a:ln w="25400" cap="rnd">
              <a:noFill/>
              <a:round/>
            </a:ln>
            <a:effectLst/>
          </c:spPr>
          <c:marker>
            <c:symbol val="circle"/>
            <c:size val="10"/>
            <c:spPr>
              <a:pattFill prst="dkDnDiag">
                <a:fgClr>
                  <a:schemeClr val="tx1"/>
                </a:fgClr>
                <a:bgClr>
                  <a:schemeClr val="bg1"/>
                </a:bgClr>
              </a:pattFill>
              <a:ln w="15875">
                <a:solidFill>
                  <a:schemeClr val="tx1"/>
                </a:solidFill>
              </a:ln>
              <a:effectLst/>
            </c:spPr>
          </c:marker>
          <c:xVal>
            <c:numRef>
              <c:f>'ATP TII nitrate'!$A$134:$J$134</c:f>
              <c:numCache>
                <c:formatCode>General</c:formatCode>
                <c:ptCount val="10"/>
                <c:pt idx="0">
                  <c:v>4.4999999999999947</c:v>
                </c:pt>
                <c:pt idx="1">
                  <c:v>4.0749999999999993</c:v>
                </c:pt>
                <c:pt idx="2">
                  <c:v>3.6499999999999964</c:v>
                </c:pt>
                <c:pt idx="3">
                  <c:v>3.2249999999999965</c:v>
                </c:pt>
                <c:pt idx="4">
                  <c:v>2.8000000000000012</c:v>
                </c:pt>
                <c:pt idx="5">
                  <c:v>2.3749999999999956</c:v>
                </c:pt>
                <c:pt idx="6">
                  <c:v>1.9499999999999971</c:v>
                </c:pt>
                <c:pt idx="7">
                  <c:v>1.5249999999999979</c:v>
                </c:pt>
                <c:pt idx="8">
                  <c:v>1.0989064398541921</c:v>
                </c:pt>
                <c:pt idx="9">
                  <c:v>0.63244228432563809</c:v>
                </c:pt>
              </c:numCache>
            </c:numRef>
          </c:xVal>
          <c:yVal>
            <c:numRef>
              <c:f>'ATP TII nitrate'!$A$137:$J$137</c:f>
              <c:numCache>
                <c:formatCode>General</c:formatCode>
                <c:ptCount val="10"/>
                <c:pt idx="0">
                  <c:v>-8.8400000000010426</c:v>
                </c:pt>
                <c:pt idx="1">
                  <c:v>4.8099999999997438</c:v>
                </c:pt>
                <c:pt idx="2">
                  <c:v>18.459999999999198</c:v>
                </c:pt>
                <c:pt idx="3">
                  <c:v>32.109999999999424</c:v>
                </c:pt>
                <c:pt idx="4">
                  <c:v>45.760000000000311</c:v>
                </c:pt>
                <c:pt idx="5">
                  <c:v>59.409999999999044</c:v>
                </c:pt>
                <c:pt idx="6">
                  <c:v>73.059999999999434</c:v>
                </c:pt>
                <c:pt idx="7">
                  <c:v>86.709999999999525</c:v>
                </c:pt>
                <c:pt idx="8">
                  <c:v>100</c:v>
                </c:pt>
                <c:pt idx="9">
                  <c:v>100</c:v>
                </c:pt>
              </c:numCache>
            </c:numRef>
          </c:yVal>
          <c:smooth val="0"/>
          <c:extLst>
            <c:ext xmlns:c16="http://schemas.microsoft.com/office/drawing/2014/chart" uri="{C3380CC4-5D6E-409C-BE32-E72D297353CC}">
              <c16:uniqueId val="{00000001-D08A-4F28-9C92-D0B58E29D27D}"/>
            </c:ext>
          </c:extLst>
        </c:ser>
        <c:ser>
          <c:idx val="1"/>
          <c:order val="2"/>
          <c:spPr>
            <a:ln w="25400" cap="rnd">
              <a:noFill/>
              <a:round/>
            </a:ln>
            <a:effectLst/>
          </c:spPr>
          <c:marker>
            <c:symbol val="circle"/>
            <c:size val="10"/>
            <c:spPr>
              <a:solidFill>
                <a:schemeClr val="bg1">
                  <a:lumMod val="50000"/>
                </a:schemeClr>
              </a:solidFill>
              <a:ln w="15875">
                <a:solidFill>
                  <a:schemeClr val="bg1">
                    <a:lumMod val="50000"/>
                  </a:schemeClr>
                </a:solidFill>
              </a:ln>
              <a:effectLst/>
            </c:spPr>
          </c:marker>
          <c:xVal>
            <c:numRef>
              <c:f>'[2]ATP TI nitrate'!$W$128:$AF$128</c:f>
              <c:numCache>
                <c:formatCode>General</c:formatCode>
                <c:ptCount val="10"/>
                <c:pt idx="0">
                  <c:v>4.9999999999999982</c:v>
                </c:pt>
                <c:pt idx="1">
                  <c:v>4.5750000000000028</c:v>
                </c:pt>
                <c:pt idx="2">
                  <c:v>4.1500000000000048</c:v>
                </c:pt>
                <c:pt idx="3">
                  <c:v>3.7250000000000005</c:v>
                </c:pt>
                <c:pt idx="4">
                  <c:v>3.3000000000000016</c:v>
                </c:pt>
                <c:pt idx="5">
                  <c:v>2.8749999999999991</c:v>
                </c:pt>
                <c:pt idx="6">
                  <c:v>2.4499999999999997</c:v>
                </c:pt>
                <c:pt idx="7">
                  <c:v>2.0250000000000017</c:v>
                </c:pt>
                <c:pt idx="8">
                  <c:v>1.5996727272727271</c:v>
                </c:pt>
                <c:pt idx="9">
                  <c:v>1.1622636363636363</c:v>
                </c:pt>
              </c:numCache>
            </c:numRef>
          </c:xVal>
          <c:yVal>
            <c:numRef>
              <c:f>'[2]ATP TI nitrate'!$W$131:$AF$131</c:f>
              <c:numCache>
                <c:formatCode>General</c:formatCode>
                <c:ptCount val="10"/>
                <c:pt idx="0">
                  <c:v>-8.8400000000000283</c:v>
                </c:pt>
                <c:pt idx="1">
                  <c:v>4.8100000000004624</c:v>
                </c:pt>
                <c:pt idx="2">
                  <c:v>18.460000000000697</c:v>
                </c:pt>
                <c:pt idx="3">
                  <c:v>32.110000000000198</c:v>
                </c:pt>
                <c:pt idx="4">
                  <c:v>45.760000000000147</c:v>
                </c:pt>
                <c:pt idx="5">
                  <c:v>59.409999999999947</c:v>
                </c:pt>
                <c:pt idx="6">
                  <c:v>73.05999999999996</c:v>
                </c:pt>
                <c:pt idx="7">
                  <c:v>86.71000000000025</c:v>
                </c:pt>
                <c:pt idx="8">
                  <c:v>100</c:v>
                </c:pt>
                <c:pt idx="9">
                  <c:v>100</c:v>
                </c:pt>
              </c:numCache>
            </c:numRef>
          </c:yVal>
          <c:smooth val="0"/>
          <c:extLst>
            <c:ext xmlns:c16="http://schemas.microsoft.com/office/drawing/2014/chart" uri="{C3380CC4-5D6E-409C-BE32-E72D297353CC}">
              <c16:uniqueId val="{00000002-D08A-4F28-9C92-D0B58E29D27D}"/>
            </c:ext>
          </c:extLst>
        </c:ser>
        <c:ser>
          <c:idx val="3"/>
          <c:order val="3"/>
          <c:spPr>
            <a:ln w="25400" cap="rnd">
              <a:noFill/>
              <a:round/>
            </a:ln>
            <a:effectLst/>
          </c:spPr>
          <c:marker>
            <c:symbol val="circle"/>
            <c:size val="10"/>
            <c:spPr>
              <a:pattFill prst="dkDnDiag">
                <a:fgClr>
                  <a:schemeClr val="bg1">
                    <a:lumMod val="50000"/>
                  </a:schemeClr>
                </a:fgClr>
                <a:bgClr>
                  <a:schemeClr val="bg1"/>
                </a:bgClr>
              </a:pattFill>
              <a:ln w="15875">
                <a:solidFill>
                  <a:schemeClr val="bg1">
                    <a:lumMod val="50000"/>
                  </a:schemeClr>
                </a:solidFill>
              </a:ln>
              <a:effectLst/>
            </c:spPr>
          </c:marker>
          <c:xVal>
            <c:numRef>
              <c:f>'[2]ATP TI nitrate'!$A$128:$I$128</c:f>
              <c:numCache>
                <c:formatCode>General</c:formatCode>
                <c:ptCount val="9"/>
                <c:pt idx="0">
                  <c:v>3.5000000000000022</c:v>
                </c:pt>
                <c:pt idx="1">
                  <c:v>3.099999999999997</c:v>
                </c:pt>
                <c:pt idx="2">
                  <c:v>2.7000000000000051</c:v>
                </c:pt>
                <c:pt idx="3">
                  <c:v>2.3000000000000025</c:v>
                </c:pt>
                <c:pt idx="4">
                  <c:v>1.900000000000001</c:v>
                </c:pt>
                <c:pt idx="5">
                  <c:v>1.4999999999999982</c:v>
                </c:pt>
                <c:pt idx="6">
                  <c:v>1.1000000000000001</c:v>
                </c:pt>
                <c:pt idx="7">
                  <c:v>0.7000000000000004</c:v>
                </c:pt>
                <c:pt idx="8">
                  <c:v>0.25000000000000022</c:v>
                </c:pt>
              </c:numCache>
            </c:numRef>
          </c:xVal>
          <c:yVal>
            <c:numRef>
              <c:f>'[2]ATP TI nitrate'!$A$131:$I$131</c:f>
              <c:numCache>
                <c:formatCode>General</c:formatCode>
                <c:ptCount val="9"/>
                <c:pt idx="0">
                  <c:v>-8.84</c:v>
                </c:pt>
                <c:pt idx="1">
                  <c:v>-8.9066666666666681</c:v>
                </c:pt>
                <c:pt idx="2">
                  <c:v>-8.9733333333333327</c:v>
                </c:pt>
                <c:pt idx="3">
                  <c:v>-9.0399999999999991</c:v>
                </c:pt>
                <c:pt idx="4">
                  <c:v>-9.1066666666666656</c:v>
                </c:pt>
                <c:pt idx="5">
                  <c:v>-9.1733333333333356</c:v>
                </c:pt>
                <c:pt idx="6">
                  <c:v>-9.24</c:v>
                </c:pt>
                <c:pt idx="7">
                  <c:v>-9.3066666666666666</c:v>
                </c:pt>
                <c:pt idx="8">
                  <c:v>18.059999999999967</c:v>
                </c:pt>
              </c:numCache>
            </c:numRef>
          </c:yVal>
          <c:smooth val="0"/>
          <c:extLst>
            <c:ext xmlns:c16="http://schemas.microsoft.com/office/drawing/2014/chart" uri="{C3380CC4-5D6E-409C-BE32-E72D297353CC}">
              <c16:uniqueId val="{00000003-D08A-4F28-9C92-D0B58E29D27D}"/>
            </c:ext>
          </c:extLst>
        </c:ser>
        <c:dLbls>
          <c:showLegendKey val="0"/>
          <c:showVal val="0"/>
          <c:showCatName val="0"/>
          <c:showSerName val="0"/>
          <c:showPercent val="0"/>
          <c:showBubbleSize val="0"/>
        </c:dLbls>
        <c:axId val="763757791"/>
        <c:axId val="763747231"/>
      </c:scatterChart>
      <c:valAx>
        <c:axId val="763757791"/>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r>
                  <a:rPr lang="en-US"/>
                  <a:t>ATP (methane)-1</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title>
        <c:numFmt formatCode="General" sourceLinked="1"/>
        <c:majorTickMark val="in"/>
        <c:minorTickMark val="none"/>
        <c:tickLblPos val="nextTo"/>
        <c:spPr>
          <a:noFill/>
          <a:ln w="317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crossAx val="763747231"/>
        <c:crosses val="autoZero"/>
        <c:crossBetween val="midCat"/>
      </c:valAx>
      <c:valAx>
        <c:axId val="763747231"/>
        <c:scaling>
          <c:orientation val="minMax"/>
        </c:scaling>
        <c:delete val="0"/>
        <c:axPos val="l"/>
        <c:title>
          <c:tx>
            <c:rich>
              <a:bodyPr rot="-54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r>
                  <a:rPr lang="en-US"/>
                  <a:t>GWP100 (CO2 equivalents per methane)</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title>
        <c:numFmt formatCode="General" sourceLinked="1"/>
        <c:majorTickMark val="in"/>
        <c:minorTickMark val="none"/>
        <c:tickLblPos val="nextTo"/>
        <c:spPr>
          <a:noFill/>
          <a:ln w="317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crossAx val="763757791"/>
        <c:crosses val="autoZero"/>
        <c:crossBetween val="midCat"/>
      </c:valAx>
      <c:spPr>
        <a:noFill/>
        <a:ln w="317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latin typeface="+mj-l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mn-lt"/>
                <a:ea typeface="+mn-ea"/>
                <a:cs typeface="+mn-cs"/>
              </a:defRPr>
            </a:pPr>
            <a:r>
              <a:rPr lang="en-US"/>
              <a:t>TI ATP</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10"/>
            <c:spPr>
              <a:solidFill>
                <a:schemeClr val="accent1"/>
              </a:solidFill>
              <a:ln w="9525">
                <a:solidFill>
                  <a:schemeClr val="accent1"/>
                </a:solidFill>
              </a:ln>
              <a:effectLst/>
            </c:spPr>
          </c:marker>
          <c:xVal>
            <c:numRef>
              <c:f>'ATP TI nitrate'!$W$128:$AF$128</c:f>
              <c:numCache>
                <c:formatCode>General</c:formatCode>
                <c:ptCount val="10"/>
                <c:pt idx="0">
                  <c:v>4.9999999999999982</c:v>
                </c:pt>
                <c:pt idx="1">
                  <c:v>4.5750000000000028</c:v>
                </c:pt>
                <c:pt idx="2">
                  <c:v>4.1500000000000048</c:v>
                </c:pt>
                <c:pt idx="3">
                  <c:v>3.7250000000000005</c:v>
                </c:pt>
                <c:pt idx="4">
                  <c:v>3.3000000000000016</c:v>
                </c:pt>
                <c:pt idx="5">
                  <c:v>2.8749999999999991</c:v>
                </c:pt>
                <c:pt idx="6">
                  <c:v>2.4499999999999997</c:v>
                </c:pt>
                <c:pt idx="7">
                  <c:v>2.0250000000000017</c:v>
                </c:pt>
                <c:pt idx="8">
                  <c:v>1.5996727272727271</c:v>
                </c:pt>
                <c:pt idx="9">
                  <c:v>1.1622636363636363</c:v>
                </c:pt>
              </c:numCache>
            </c:numRef>
          </c:xVal>
          <c:yVal>
            <c:numRef>
              <c:f>'ATP TI nitrate'!$W$131:$AF$131</c:f>
              <c:numCache>
                <c:formatCode>General</c:formatCode>
                <c:ptCount val="10"/>
                <c:pt idx="0">
                  <c:v>-8.8400000000000283</c:v>
                </c:pt>
                <c:pt idx="1">
                  <c:v>4.8100000000004624</c:v>
                </c:pt>
                <c:pt idx="2">
                  <c:v>18.460000000000697</c:v>
                </c:pt>
                <c:pt idx="3">
                  <c:v>32.110000000000198</c:v>
                </c:pt>
                <c:pt idx="4">
                  <c:v>45.760000000000147</c:v>
                </c:pt>
                <c:pt idx="5">
                  <c:v>59.409999999999947</c:v>
                </c:pt>
                <c:pt idx="6">
                  <c:v>73.05999999999996</c:v>
                </c:pt>
                <c:pt idx="7">
                  <c:v>86.71000000000025</c:v>
                </c:pt>
                <c:pt idx="8">
                  <c:v>100</c:v>
                </c:pt>
                <c:pt idx="9">
                  <c:v>100</c:v>
                </c:pt>
              </c:numCache>
            </c:numRef>
          </c:yVal>
          <c:smooth val="0"/>
          <c:extLst>
            <c:ext xmlns:c16="http://schemas.microsoft.com/office/drawing/2014/chart" uri="{C3380CC4-5D6E-409C-BE32-E72D297353CC}">
              <c16:uniqueId val="{00000000-7950-4FD2-A045-1F86596A382B}"/>
            </c:ext>
          </c:extLst>
        </c:ser>
        <c:ser>
          <c:idx val="1"/>
          <c:order val="1"/>
          <c:spPr>
            <a:ln w="25400" cap="rnd">
              <a:noFill/>
              <a:round/>
            </a:ln>
            <a:effectLst/>
          </c:spPr>
          <c:marker>
            <c:symbol val="circle"/>
            <c:size val="10"/>
            <c:spPr>
              <a:solidFill>
                <a:schemeClr val="accent2"/>
              </a:solidFill>
              <a:ln w="9525">
                <a:solidFill>
                  <a:schemeClr val="accent2"/>
                </a:solidFill>
              </a:ln>
              <a:effectLst/>
            </c:spPr>
          </c:marker>
          <c:xVal>
            <c:numRef>
              <c:f>'ATP TI nitrate'!$A$128:$I$128</c:f>
              <c:numCache>
                <c:formatCode>General</c:formatCode>
                <c:ptCount val="9"/>
                <c:pt idx="0">
                  <c:v>3.5000000000000022</c:v>
                </c:pt>
                <c:pt idx="1">
                  <c:v>3.099999999999997</c:v>
                </c:pt>
                <c:pt idx="2">
                  <c:v>2.7000000000000051</c:v>
                </c:pt>
                <c:pt idx="3">
                  <c:v>2.3000000000000025</c:v>
                </c:pt>
                <c:pt idx="4">
                  <c:v>1.900000000000001</c:v>
                </c:pt>
                <c:pt idx="5">
                  <c:v>1.4999999999999982</c:v>
                </c:pt>
                <c:pt idx="6">
                  <c:v>1.1000000000000001</c:v>
                </c:pt>
                <c:pt idx="7">
                  <c:v>0.7000000000000004</c:v>
                </c:pt>
                <c:pt idx="8">
                  <c:v>0.25000000000000022</c:v>
                </c:pt>
              </c:numCache>
            </c:numRef>
          </c:xVal>
          <c:yVal>
            <c:numRef>
              <c:f>'ATP TI nitrate'!$A$131:$I$131</c:f>
              <c:numCache>
                <c:formatCode>General</c:formatCode>
                <c:ptCount val="9"/>
                <c:pt idx="0">
                  <c:v>-8.84</c:v>
                </c:pt>
                <c:pt idx="1">
                  <c:v>-8.9066666666666681</c:v>
                </c:pt>
                <c:pt idx="2">
                  <c:v>-8.9733333333333327</c:v>
                </c:pt>
                <c:pt idx="3">
                  <c:v>-9.0399999999999991</c:v>
                </c:pt>
                <c:pt idx="4">
                  <c:v>-9.1066666666666656</c:v>
                </c:pt>
                <c:pt idx="5">
                  <c:v>-9.1733333333333356</c:v>
                </c:pt>
                <c:pt idx="6">
                  <c:v>-9.24</c:v>
                </c:pt>
                <c:pt idx="7">
                  <c:v>-9.3066666666666666</c:v>
                </c:pt>
                <c:pt idx="8">
                  <c:v>18.059999999999967</c:v>
                </c:pt>
              </c:numCache>
            </c:numRef>
          </c:yVal>
          <c:smooth val="0"/>
          <c:extLst>
            <c:ext xmlns:c16="http://schemas.microsoft.com/office/drawing/2014/chart" uri="{C3380CC4-5D6E-409C-BE32-E72D297353CC}">
              <c16:uniqueId val="{00000001-7950-4FD2-A045-1F86596A382B}"/>
            </c:ext>
          </c:extLst>
        </c:ser>
        <c:dLbls>
          <c:showLegendKey val="0"/>
          <c:showVal val="0"/>
          <c:showCatName val="0"/>
          <c:showSerName val="0"/>
          <c:showPercent val="0"/>
          <c:showBubbleSize val="0"/>
        </c:dLbls>
        <c:axId val="731266799"/>
        <c:axId val="731267279"/>
      </c:scatterChart>
      <c:valAx>
        <c:axId val="731266799"/>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ATP (methane)-1</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317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731267279"/>
        <c:crosses val="autoZero"/>
        <c:crossBetween val="midCat"/>
      </c:valAx>
      <c:valAx>
        <c:axId val="731267279"/>
        <c:scaling>
          <c:orientation val="minMax"/>
        </c:scaling>
        <c:delete val="0"/>
        <c:axPos val="l"/>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GWP100</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317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731266799"/>
        <c:crosses val="autoZero"/>
        <c:crossBetween val="midCat"/>
      </c:valAx>
      <c:spPr>
        <a:noFill/>
        <a:ln w="31750">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latin typeface="+mn-lt"/>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II methanotroph biomass summary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'biomass summary'!$AL$9:$AL$18</c:f>
              <c:numCache>
                <c:formatCode>General</c:formatCode>
                <c:ptCount val="10"/>
                <c:pt idx="0">
                  <c:v>5.4999999999999956</c:v>
                </c:pt>
                <c:pt idx="1">
                  <c:v>5.0749999999999975</c:v>
                </c:pt>
                <c:pt idx="2">
                  <c:v>4.6499999999999924</c:v>
                </c:pt>
                <c:pt idx="3">
                  <c:v>4.2249999999999925</c:v>
                </c:pt>
                <c:pt idx="4">
                  <c:v>3.7999999999999936</c:v>
                </c:pt>
                <c:pt idx="5">
                  <c:v>3.3749999999999956</c:v>
                </c:pt>
                <c:pt idx="6">
                  <c:v>2.95</c:v>
                </c:pt>
                <c:pt idx="7">
                  <c:v>2.5249999999999946</c:v>
                </c:pt>
                <c:pt idx="8">
                  <c:v>2.0989064398541908</c:v>
                </c:pt>
                <c:pt idx="9">
                  <c:v>1.632442284325635</c:v>
                </c:pt>
              </c:numCache>
            </c:numRef>
          </c:xVal>
          <c:yVal>
            <c:numRef>
              <c:f>'biomass summary'!$AM$9:$AM$18</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0-AA2B-4B73-9392-89EC5C4687E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'biomass summary'!$AN$9:$AN$18</c:f>
              <c:numCache>
                <c:formatCode>General</c:formatCode>
                <c:ptCount val="10"/>
                <c:pt idx="0">
                  <c:v>4.4999999999999947</c:v>
                </c:pt>
                <c:pt idx="1">
                  <c:v>4.0749999999999993</c:v>
                </c:pt>
                <c:pt idx="2">
                  <c:v>3.6499999999999964</c:v>
                </c:pt>
                <c:pt idx="3">
                  <c:v>3.2249999999999965</c:v>
                </c:pt>
                <c:pt idx="4">
                  <c:v>2.8000000000000012</c:v>
                </c:pt>
                <c:pt idx="5">
                  <c:v>2.3749999999999956</c:v>
                </c:pt>
                <c:pt idx="6">
                  <c:v>1.9499999999999971</c:v>
                </c:pt>
                <c:pt idx="7">
                  <c:v>1.5249999999999979</c:v>
                </c:pt>
                <c:pt idx="8">
                  <c:v>1.0989064398541921</c:v>
                </c:pt>
                <c:pt idx="9">
                  <c:v>0.63244228432563809</c:v>
                </c:pt>
              </c:numCache>
            </c:numRef>
          </c:xVal>
          <c:yVal>
            <c:numRef>
              <c:f>'biomass summary'!$AO$9:$AO$18</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1-AA2B-4B73-9392-89EC5C4687EA}"/>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'biomass summary'!$AP$9:$AP$18</c:f>
              <c:numCache>
                <c:formatCode>General</c:formatCode>
                <c:ptCount val="10"/>
                <c:pt idx="0">
                  <c:v>5.9999999999999947</c:v>
                </c:pt>
                <c:pt idx="1">
                  <c:v>5.5750000000000046</c:v>
                </c:pt>
                <c:pt idx="2">
                  <c:v>5.149999999999995</c:v>
                </c:pt>
                <c:pt idx="3">
                  <c:v>4.7249999999999979</c:v>
                </c:pt>
                <c:pt idx="4">
                  <c:v>4.2999999999999972</c:v>
                </c:pt>
                <c:pt idx="5">
                  <c:v>3.8749999999999956</c:v>
                </c:pt>
                <c:pt idx="6">
                  <c:v>3.4499999999999957</c:v>
                </c:pt>
                <c:pt idx="7">
                  <c:v>3.0249999999999972</c:v>
                </c:pt>
                <c:pt idx="8">
                  <c:v>2.5980505415162432</c:v>
                </c:pt>
                <c:pt idx="9">
                  <c:v>2.0991335740072183</c:v>
                </c:pt>
              </c:numCache>
            </c:numRef>
          </c:xVal>
          <c:yVal>
            <c:numRef>
              <c:f>'biomass summary'!$AQ$9:$AQ$18</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2-AA2B-4B73-9392-89EC5C4687EA}"/>
            </c:ext>
          </c:extLst>
        </c:ser>
        <c:dLbls>
          <c:showLegendKey val="0"/>
          <c:showVal val="0"/>
          <c:showCatName val="0"/>
          <c:showSerName val="0"/>
          <c:showPercent val="0"/>
          <c:showBubbleSize val="0"/>
        </c:dLbls>
        <c:axId val="1399372431"/>
        <c:axId val="1399381071"/>
      </c:scatterChart>
      <c:valAx>
        <c:axId val="1399372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solidFill>
                  </a:rPr>
                  <a:t>ATP/CH4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381071"/>
        <c:crosses val="autoZero"/>
        <c:crossBetween val="midCat"/>
      </c:valAx>
      <c:valAx>
        <c:axId val="1399381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solidFill>
                  </a:rPr>
                  <a:t>O2/CH4</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372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I methanotroph biomass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'biomass summary'!$AD$9:$AD$18</c:f>
              <c:numCache>
                <c:formatCode>General</c:formatCode>
                <c:ptCount val="10"/>
                <c:pt idx="0">
                  <c:v>4.4999999999999982</c:v>
                </c:pt>
                <c:pt idx="1">
                  <c:v>4.0999999999999996</c:v>
                </c:pt>
                <c:pt idx="2">
                  <c:v>3.7000000000000055</c:v>
                </c:pt>
                <c:pt idx="3">
                  <c:v>3.2999999999999914</c:v>
                </c:pt>
                <c:pt idx="4">
                  <c:v>2.8999999999999972</c:v>
                </c:pt>
                <c:pt idx="5">
                  <c:v>2.500000000000004</c:v>
                </c:pt>
                <c:pt idx="6">
                  <c:v>2.0999999999999988</c:v>
                </c:pt>
                <c:pt idx="7">
                  <c:v>1.7000000000000011</c:v>
                </c:pt>
                <c:pt idx="8">
                  <c:v>1.2499999999999987</c:v>
                </c:pt>
                <c:pt idx="9">
                  <c:v>0.75000000000000222</c:v>
                </c:pt>
              </c:numCache>
            </c:numRef>
          </c:xVal>
          <c:yVal>
            <c:numRef>
              <c:f>'biomass summary'!$AE$9:$AE$18</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0-9FE2-4DD0-8901-BA8ED7135F5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'biomass summary'!$AF$9:$AF$17</c:f>
              <c:numCache>
                <c:formatCode>General</c:formatCode>
                <c:ptCount val="9"/>
                <c:pt idx="0">
                  <c:v>3.5000000000000022</c:v>
                </c:pt>
                <c:pt idx="1">
                  <c:v>3.099999999999997</c:v>
                </c:pt>
                <c:pt idx="2">
                  <c:v>2.7000000000000051</c:v>
                </c:pt>
                <c:pt idx="3">
                  <c:v>2.3000000000000025</c:v>
                </c:pt>
                <c:pt idx="4">
                  <c:v>1.900000000000001</c:v>
                </c:pt>
                <c:pt idx="5">
                  <c:v>1.4999999999999982</c:v>
                </c:pt>
                <c:pt idx="6">
                  <c:v>1.1000000000000001</c:v>
                </c:pt>
                <c:pt idx="7">
                  <c:v>0.7000000000000004</c:v>
                </c:pt>
                <c:pt idx="8">
                  <c:v>0.25000000000000022</c:v>
                </c:pt>
              </c:numCache>
            </c:numRef>
          </c:xVal>
          <c:yVal>
            <c:numRef>
              <c:f>'biomass summary'!$AG$9:$AG$17</c:f>
              <c:numCache>
                <c:formatCode>General</c:formatCode>
                <c:ptCount val="9"/>
                <c:pt idx="0">
                  <c:v>2</c:v>
                </c:pt>
                <c:pt idx="1">
                  <c:v>1.9</c:v>
                </c:pt>
                <c:pt idx="2">
                  <c:v>1.8</c:v>
                </c:pt>
                <c:pt idx="3">
                  <c:v>1.7</c:v>
                </c:pt>
                <c:pt idx="4">
                  <c:v>1.6</c:v>
                </c:pt>
                <c:pt idx="5">
                  <c:v>1.5</c:v>
                </c:pt>
                <c:pt idx="6">
                  <c:v>1.4</c:v>
                </c:pt>
                <c:pt idx="7">
                  <c:v>1.3</c:v>
                </c:pt>
                <c:pt idx="8">
                  <c:v>1.2</c:v>
                </c:pt>
              </c:numCache>
            </c:numRef>
          </c:yVal>
          <c:smooth val="0"/>
          <c:extLst>
            <c:ext xmlns:c16="http://schemas.microsoft.com/office/drawing/2014/chart" uri="{C3380CC4-5D6E-409C-BE32-E72D297353CC}">
              <c16:uniqueId val="{00000001-9FE2-4DD0-8901-BA8ED7135F58}"/>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'biomass summary'!$AH$9:$AH$18</c:f>
              <c:numCache>
                <c:formatCode>General</c:formatCode>
                <c:ptCount val="10"/>
                <c:pt idx="0">
                  <c:v>4.9999999999999982</c:v>
                </c:pt>
                <c:pt idx="1">
                  <c:v>4.5750000000000028</c:v>
                </c:pt>
                <c:pt idx="2">
                  <c:v>4.1500000000000048</c:v>
                </c:pt>
                <c:pt idx="3">
                  <c:v>3.7250000000000005</c:v>
                </c:pt>
                <c:pt idx="4">
                  <c:v>3.3000000000000016</c:v>
                </c:pt>
                <c:pt idx="5">
                  <c:v>2.8749999999999991</c:v>
                </c:pt>
                <c:pt idx="6">
                  <c:v>2.4499999999999997</c:v>
                </c:pt>
                <c:pt idx="7">
                  <c:v>2.0250000000000017</c:v>
                </c:pt>
                <c:pt idx="8">
                  <c:v>1.5996727272727271</c:v>
                </c:pt>
                <c:pt idx="9">
                  <c:v>1.1622636363636363</c:v>
                </c:pt>
              </c:numCache>
            </c:numRef>
          </c:xVal>
          <c:yVal>
            <c:numRef>
              <c:f>'biomass summary'!$AI$9:$AI$18</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2-9FE2-4DD0-8901-BA8ED7135F58}"/>
            </c:ext>
          </c:extLst>
        </c:ser>
        <c:dLbls>
          <c:showLegendKey val="0"/>
          <c:showVal val="0"/>
          <c:showCatName val="0"/>
          <c:showSerName val="0"/>
          <c:showPercent val="0"/>
          <c:showBubbleSize val="0"/>
        </c:dLbls>
        <c:axId val="1399397871"/>
        <c:axId val="1399396911"/>
      </c:scatterChart>
      <c:valAx>
        <c:axId val="139939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solidFill>
                  </a:rPr>
                  <a:t>ATP/CH4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396911"/>
        <c:crosses val="autoZero"/>
        <c:crossBetween val="midCat"/>
      </c:valAx>
      <c:valAx>
        <c:axId val="1399396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solidFill>
                  </a:rPr>
                  <a:t>O2/CH4</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397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10"/>
            <c:spPr>
              <a:solidFill>
                <a:schemeClr val="bg1"/>
              </a:solidFill>
              <a:ln w="15875">
                <a:solidFill>
                  <a:schemeClr val="tx1"/>
                </a:solidFill>
              </a:ln>
              <a:effectLst/>
            </c:spPr>
          </c:marker>
          <c:xVal>
            <c:numRef>
              <c:f>'biomass summary'!$AH$9:$AH$18</c:f>
              <c:numCache>
                <c:formatCode>General</c:formatCode>
                <c:ptCount val="10"/>
                <c:pt idx="0">
                  <c:v>4.9999999999999982</c:v>
                </c:pt>
                <c:pt idx="1">
                  <c:v>4.5750000000000028</c:v>
                </c:pt>
                <c:pt idx="2">
                  <c:v>4.1500000000000048</c:v>
                </c:pt>
                <c:pt idx="3">
                  <c:v>3.7250000000000005</c:v>
                </c:pt>
                <c:pt idx="4">
                  <c:v>3.3000000000000016</c:v>
                </c:pt>
                <c:pt idx="5">
                  <c:v>2.8749999999999991</c:v>
                </c:pt>
                <c:pt idx="6">
                  <c:v>2.4499999999999997</c:v>
                </c:pt>
                <c:pt idx="7">
                  <c:v>2.0250000000000017</c:v>
                </c:pt>
                <c:pt idx="8">
                  <c:v>1.5996727272727271</c:v>
                </c:pt>
                <c:pt idx="9">
                  <c:v>1.1622636363636363</c:v>
                </c:pt>
              </c:numCache>
            </c:numRef>
          </c:xVal>
          <c:yVal>
            <c:numRef>
              <c:f>'biomass summary'!$AI$9:$AI$18</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0-5B3D-4B4F-9525-1738F8BE4776}"/>
            </c:ext>
          </c:extLst>
        </c:ser>
        <c:ser>
          <c:idx val="1"/>
          <c:order val="1"/>
          <c:spPr>
            <a:ln w="25400" cap="rnd">
              <a:noFill/>
              <a:round/>
            </a:ln>
            <a:effectLst/>
          </c:spPr>
          <c:marker>
            <c:symbol val="circle"/>
            <c:size val="10"/>
            <c:spPr>
              <a:pattFill prst="narHorz">
                <a:fgClr>
                  <a:schemeClr val="tx1"/>
                </a:fgClr>
                <a:bgClr>
                  <a:schemeClr val="bg1"/>
                </a:bgClr>
              </a:pattFill>
              <a:ln w="15875">
                <a:solidFill>
                  <a:schemeClr val="tx1"/>
                </a:solidFill>
              </a:ln>
              <a:effectLst/>
            </c:spPr>
          </c:marker>
          <c:xVal>
            <c:numRef>
              <c:f>'biomass summary'!$AP$9:$AP$18</c:f>
              <c:numCache>
                <c:formatCode>General</c:formatCode>
                <c:ptCount val="10"/>
                <c:pt idx="0">
                  <c:v>5.9999999999999947</c:v>
                </c:pt>
                <c:pt idx="1">
                  <c:v>5.5750000000000046</c:v>
                </c:pt>
                <c:pt idx="2">
                  <c:v>5.149999999999995</c:v>
                </c:pt>
                <c:pt idx="3">
                  <c:v>4.7249999999999979</c:v>
                </c:pt>
                <c:pt idx="4">
                  <c:v>4.2999999999999972</c:v>
                </c:pt>
                <c:pt idx="5">
                  <c:v>3.8749999999999956</c:v>
                </c:pt>
                <c:pt idx="6">
                  <c:v>3.4499999999999957</c:v>
                </c:pt>
                <c:pt idx="7">
                  <c:v>3.0249999999999972</c:v>
                </c:pt>
                <c:pt idx="8">
                  <c:v>2.5980505415162432</c:v>
                </c:pt>
                <c:pt idx="9">
                  <c:v>2.0991335740072183</c:v>
                </c:pt>
              </c:numCache>
            </c:numRef>
          </c:xVal>
          <c:yVal>
            <c:numRef>
              <c:f>'biomass summary'!$AQ$9:$AQ$18</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1-5B3D-4B4F-9525-1738F8BE4776}"/>
            </c:ext>
          </c:extLst>
        </c:ser>
        <c:ser>
          <c:idx val="2"/>
          <c:order val="2"/>
          <c:spPr>
            <a:ln w="25400" cap="rnd">
              <a:noFill/>
              <a:round/>
            </a:ln>
            <a:effectLst/>
          </c:spPr>
          <c:marker>
            <c:symbol val="circle"/>
            <c:size val="10"/>
            <c:spPr>
              <a:solidFill>
                <a:schemeClr val="tx1"/>
              </a:solidFill>
              <a:ln w="15875">
                <a:solidFill>
                  <a:schemeClr val="tx1"/>
                </a:solidFill>
              </a:ln>
              <a:effectLst/>
            </c:spPr>
          </c:marker>
          <c:xVal>
            <c:numRef>
              <c:f>'biomass summary'!$AN$9:$AN$18</c:f>
              <c:numCache>
                <c:formatCode>General</c:formatCode>
                <c:ptCount val="10"/>
                <c:pt idx="0">
                  <c:v>4.4999999999999947</c:v>
                </c:pt>
                <c:pt idx="1">
                  <c:v>4.0749999999999993</c:v>
                </c:pt>
                <c:pt idx="2">
                  <c:v>3.6499999999999964</c:v>
                </c:pt>
                <c:pt idx="3">
                  <c:v>3.2249999999999965</c:v>
                </c:pt>
                <c:pt idx="4">
                  <c:v>2.8000000000000012</c:v>
                </c:pt>
                <c:pt idx="5">
                  <c:v>2.3749999999999956</c:v>
                </c:pt>
                <c:pt idx="6">
                  <c:v>1.9499999999999971</c:v>
                </c:pt>
                <c:pt idx="7">
                  <c:v>1.5249999999999979</c:v>
                </c:pt>
                <c:pt idx="8">
                  <c:v>1.0989064398541921</c:v>
                </c:pt>
                <c:pt idx="9">
                  <c:v>0.63244228432563809</c:v>
                </c:pt>
              </c:numCache>
            </c:numRef>
          </c:xVal>
          <c:yVal>
            <c:numRef>
              <c:f>'biomass summary'!$AO$9:$AO$18</c:f>
              <c:numCache>
                <c:formatCode>General</c:formatCode>
                <c:ptCount val="10"/>
                <c:pt idx="0">
                  <c:v>2</c:v>
                </c:pt>
                <c:pt idx="1">
                  <c:v>1.9</c:v>
                </c:pt>
                <c:pt idx="2">
                  <c:v>1.8</c:v>
                </c:pt>
                <c:pt idx="3">
                  <c:v>1.7</c:v>
                </c:pt>
                <c:pt idx="4">
                  <c:v>1.6</c:v>
                </c:pt>
                <c:pt idx="5">
                  <c:v>1.5</c:v>
                </c:pt>
                <c:pt idx="6">
                  <c:v>1.4</c:v>
                </c:pt>
                <c:pt idx="7">
                  <c:v>1.3</c:v>
                </c:pt>
                <c:pt idx="8">
                  <c:v>1.2</c:v>
                </c:pt>
                <c:pt idx="9">
                  <c:v>1.1000000000000001</c:v>
                </c:pt>
              </c:numCache>
            </c:numRef>
          </c:yVal>
          <c:smooth val="0"/>
          <c:extLst>
            <c:ext xmlns:c16="http://schemas.microsoft.com/office/drawing/2014/chart" uri="{C3380CC4-5D6E-409C-BE32-E72D297353CC}">
              <c16:uniqueId val="{00000002-5B3D-4B4F-9525-1738F8BE4776}"/>
            </c:ext>
          </c:extLst>
        </c:ser>
        <c:ser>
          <c:idx val="3"/>
          <c:order val="3"/>
          <c:spPr>
            <a:ln w="25400" cap="rnd">
              <a:noFill/>
              <a:round/>
            </a:ln>
            <a:effectLst/>
          </c:spPr>
          <c:marker>
            <c:symbol val="circle"/>
            <c:size val="10"/>
            <c:spPr>
              <a:pattFill prst="narHorz">
                <a:fgClr>
                  <a:schemeClr val="bg1">
                    <a:lumMod val="50000"/>
                  </a:schemeClr>
                </a:fgClr>
                <a:bgClr>
                  <a:schemeClr val="bg1"/>
                </a:bgClr>
              </a:pattFill>
              <a:ln w="15875">
                <a:solidFill>
                  <a:schemeClr val="bg1">
                    <a:lumMod val="50000"/>
                  </a:schemeClr>
                </a:solidFill>
              </a:ln>
              <a:effectLst/>
            </c:spPr>
          </c:marker>
          <c:xVal>
            <c:numRef>
              <c:f>'biomass summary'!$AF$9:$AF$17</c:f>
              <c:numCache>
                <c:formatCode>General</c:formatCode>
                <c:ptCount val="9"/>
                <c:pt idx="0">
                  <c:v>3.5000000000000022</c:v>
                </c:pt>
                <c:pt idx="1">
                  <c:v>3.099999999999997</c:v>
                </c:pt>
                <c:pt idx="2">
                  <c:v>2.7000000000000051</c:v>
                </c:pt>
                <c:pt idx="3">
                  <c:v>2.3000000000000025</c:v>
                </c:pt>
                <c:pt idx="4">
                  <c:v>1.900000000000001</c:v>
                </c:pt>
                <c:pt idx="5">
                  <c:v>1.4999999999999982</c:v>
                </c:pt>
                <c:pt idx="6">
                  <c:v>1.1000000000000001</c:v>
                </c:pt>
                <c:pt idx="7">
                  <c:v>0.7000000000000004</c:v>
                </c:pt>
                <c:pt idx="8">
                  <c:v>0.25000000000000022</c:v>
                </c:pt>
              </c:numCache>
            </c:numRef>
          </c:xVal>
          <c:yVal>
            <c:numRef>
              <c:f>'biomass summary'!$AG$9:$AG$17</c:f>
              <c:numCache>
                <c:formatCode>General</c:formatCode>
                <c:ptCount val="9"/>
                <c:pt idx="0">
                  <c:v>2</c:v>
                </c:pt>
                <c:pt idx="1">
                  <c:v>1.9</c:v>
                </c:pt>
                <c:pt idx="2">
                  <c:v>1.8</c:v>
                </c:pt>
                <c:pt idx="3">
                  <c:v>1.7</c:v>
                </c:pt>
                <c:pt idx="4">
                  <c:v>1.6</c:v>
                </c:pt>
                <c:pt idx="5">
                  <c:v>1.5</c:v>
                </c:pt>
                <c:pt idx="6">
                  <c:v>1.4</c:v>
                </c:pt>
                <c:pt idx="7">
                  <c:v>1.3</c:v>
                </c:pt>
                <c:pt idx="8">
                  <c:v>1.2</c:v>
                </c:pt>
              </c:numCache>
            </c:numRef>
          </c:yVal>
          <c:smooth val="0"/>
          <c:extLst>
            <c:ext xmlns:c16="http://schemas.microsoft.com/office/drawing/2014/chart" uri="{C3380CC4-5D6E-409C-BE32-E72D297353CC}">
              <c16:uniqueId val="{00000003-5B3D-4B4F-9525-1738F8BE4776}"/>
            </c:ext>
          </c:extLst>
        </c:ser>
        <c:dLbls>
          <c:showLegendKey val="0"/>
          <c:showVal val="0"/>
          <c:showCatName val="0"/>
          <c:showSerName val="0"/>
          <c:showPercent val="0"/>
          <c:showBubbleSize val="0"/>
        </c:dLbls>
        <c:axId val="1755086831"/>
        <c:axId val="1755087311"/>
      </c:scatterChart>
      <c:valAx>
        <c:axId val="1755086831"/>
        <c:scaling>
          <c:orientation val="minMax"/>
          <c:max val="6"/>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ATP/CH4</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317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755087311"/>
        <c:crosses val="autoZero"/>
        <c:crossBetween val="midCat"/>
      </c:valAx>
      <c:valAx>
        <c:axId val="1755087311"/>
        <c:scaling>
          <c:orientation val="minMax"/>
        </c:scaling>
        <c:delete val="0"/>
        <c:axPos val="l"/>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O2/CH4</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317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755086831"/>
        <c:crosses val="autoZero"/>
        <c:crossBetween val="midCat"/>
      </c:valAx>
      <c:spPr>
        <a:noFill/>
        <a:ln w="317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TII N2 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'biomass TII DoR N2'!$B$128:$G$128</c:f>
              <c:numCache>
                <c:formatCode>General</c:formatCode>
                <c:ptCount val="6"/>
                <c:pt idx="0">
                  <c:v>0.1</c:v>
                </c:pt>
                <c:pt idx="1">
                  <c:v>0.15000000000000002</c:v>
                </c:pt>
                <c:pt idx="2">
                  <c:v>0.2</c:v>
                </c:pt>
                <c:pt idx="3">
                  <c:v>0.25</c:v>
                </c:pt>
                <c:pt idx="4">
                  <c:v>0.3</c:v>
                </c:pt>
                <c:pt idx="5">
                  <c:v>0.35000000000000003</c:v>
                </c:pt>
              </c:numCache>
            </c:numRef>
          </c:xVal>
          <c:yVal>
            <c:numRef>
              <c:f>'biomass TII DoR N2'!$B$146:$G$146</c:f>
              <c:numCache>
                <c:formatCode>General</c:formatCode>
                <c:ptCount val="6"/>
                <c:pt idx="0">
                  <c:v>0.59094016658747428</c:v>
                </c:pt>
                <c:pt idx="1">
                  <c:v>0.64915793308817804</c:v>
                </c:pt>
                <c:pt idx="2">
                  <c:v>0.68279127292832531</c:v>
                </c:pt>
                <c:pt idx="3">
                  <c:v>0.70469781354612548</c:v>
                </c:pt>
                <c:pt idx="4">
                  <c:v>0.7137801545517799</c:v>
                </c:pt>
                <c:pt idx="5">
                  <c:v>0.72499945477683281</c:v>
                </c:pt>
              </c:numCache>
            </c:numRef>
          </c:yVal>
          <c:smooth val="0"/>
          <c:extLst>
            <c:ext xmlns:c16="http://schemas.microsoft.com/office/drawing/2014/chart" uri="{C3380CC4-5D6E-409C-BE32-E72D297353CC}">
              <c16:uniqueId val="{00000000-872B-4F32-954B-C4E213F8D2A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'biomass TII DoR N2'!$I$128:$N$128</c:f>
              <c:numCache>
                <c:formatCode>General</c:formatCode>
                <c:ptCount val="6"/>
                <c:pt idx="0">
                  <c:v>0.1</c:v>
                </c:pt>
                <c:pt idx="1">
                  <c:v>0.15000000000000002</c:v>
                </c:pt>
                <c:pt idx="2">
                  <c:v>0.2</c:v>
                </c:pt>
                <c:pt idx="3">
                  <c:v>0.25</c:v>
                </c:pt>
                <c:pt idx="4">
                  <c:v>0.3</c:v>
                </c:pt>
                <c:pt idx="5">
                  <c:v>0.35000000000000003</c:v>
                </c:pt>
              </c:numCache>
            </c:numRef>
          </c:xVal>
          <c:yVal>
            <c:numRef>
              <c:f>'biomass TII DoR N2'!$I$146:$N$146</c:f>
              <c:numCache>
                <c:formatCode>General</c:formatCode>
                <c:ptCount val="6"/>
                <c:pt idx="0">
                  <c:v>0.58171274835311448</c:v>
                </c:pt>
                <c:pt idx="1">
                  <c:v>0.63803994130032549</c:v>
                </c:pt>
                <c:pt idx="2">
                  <c:v>0.67050227889006297</c:v>
                </c:pt>
                <c:pt idx="3">
                  <c:v>0.69161516882626184</c:v>
                </c:pt>
                <c:pt idx="4">
                  <c:v>0.70036132191016809</c:v>
                </c:pt>
                <c:pt idx="5">
                  <c:v>0.71115955818682408</c:v>
                </c:pt>
              </c:numCache>
            </c:numRef>
          </c:yVal>
          <c:smooth val="0"/>
          <c:extLst>
            <c:ext xmlns:c16="http://schemas.microsoft.com/office/drawing/2014/chart" uri="{C3380CC4-5D6E-409C-BE32-E72D297353CC}">
              <c16:uniqueId val="{00000001-872B-4F32-954B-C4E213F8D2AB}"/>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'biomass TII DoR N2'!$P$128:$U$128</c:f>
              <c:numCache>
                <c:formatCode>General</c:formatCode>
                <c:ptCount val="6"/>
                <c:pt idx="0">
                  <c:v>0.1</c:v>
                </c:pt>
                <c:pt idx="1">
                  <c:v>0.15000000000000002</c:v>
                </c:pt>
                <c:pt idx="2">
                  <c:v>0.2</c:v>
                </c:pt>
                <c:pt idx="3">
                  <c:v>0.25</c:v>
                </c:pt>
                <c:pt idx="4">
                  <c:v>0.3</c:v>
                </c:pt>
                <c:pt idx="5">
                  <c:v>0.35000000000000003</c:v>
                </c:pt>
              </c:numCache>
            </c:numRef>
          </c:xVal>
          <c:yVal>
            <c:numRef>
              <c:f>'biomass TII DoR N2'!$P$146:$U$146</c:f>
              <c:numCache>
                <c:formatCode>General</c:formatCode>
                <c:ptCount val="6"/>
                <c:pt idx="0">
                  <c:v>0.57270950730375336</c:v>
                </c:pt>
                <c:pt idx="1">
                  <c:v>0.62722492744843372</c:v>
                </c:pt>
                <c:pt idx="2">
                  <c:v>0.65856906328099107</c:v>
                </c:pt>
                <c:pt idx="3">
                  <c:v>0.67892572239812787</c:v>
                </c:pt>
                <c:pt idx="4">
                  <c:v>0.687351923626074</c:v>
                </c:pt>
                <c:pt idx="5">
                  <c:v>0.69774974760935615</c:v>
                </c:pt>
              </c:numCache>
            </c:numRef>
          </c:yVal>
          <c:smooth val="0"/>
          <c:extLst>
            <c:ext xmlns:c16="http://schemas.microsoft.com/office/drawing/2014/chart" uri="{C3380CC4-5D6E-409C-BE32-E72D297353CC}">
              <c16:uniqueId val="{00000002-872B-4F32-954B-C4E213F8D2AB}"/>
            </c:ext>
          </c:extLst>
        </c:ser>
        <c:ser>
          <c:idx val="3"/>
          <c:order val="3"/>
          <c:spPr>
            <a:ln w="25400" cap="rnd">
              <a:noFill/>
              <a:round/>
            </a:ln>
            <a:effectLst/>
          </c:spPr>
          <c:marker>
            <c:symbol val="circle"/>
            <c:size val="5"/>
            <c:spPr>
              <a:solidFill>
                <a:schemeClr val="accent4"/>
              </a:solidFill>
              <a:ln w="9525">
                <a:solidFill>
                  <a:schemeClr val="accent4"/>
                </a:solidFill>
              </a:ln>
              <a:effectLst/>
            </c:spPr>
          </c:marker>
          <c:xVal>
            <c:numRef>
              <c:f>'biomass TII DoR N2'!$W$128:$AB$128</c:f>
              <c:numCache>
                <c:formatCode>General</c:formatCode>
                <c:ptCount val="6"/>
                <c:pt idx="0">
                  <c:v>0.1</c:v>
                </c:pt>
                <c:pt idx="1">
                  <c:v>0.15000000000000002</c:v>
                </c:pt>
                <c:pt idx="2">
                  <c:v>0.2</c:v>
                </c:pt>
                <c:pt idx="3">
                  <c:v>0.25</c:v>
                </c:pt>
                <c:pt idx="4">
                  <c:v>0.3</c:v>
                </c:pt>
                <c:pt idx="5">
                  <c:v>0.35000000000000003</c:v>
                </c:pt>
              </c:numCache>
            </c:numRef>
          </c:xVal>
          <c:yVal>
            <c:numRef>
              <c:f>'biomass TII DoR N2'!$W$146:$AB$146</c:f>
              <c:numCache>
                <c:formatCode>General</c:formatCode>
                <c:ptCount val="6"/>
                <c:pt idx="0">
                  <c:v>0.5639229598711506</c:v>
                </c:pt>
                <c:pt idx="1">
                  <c:v>0.61670137631368682</c:v>
                </c:pt>
                <c:pt idx="2">
                  <c:v>0.64697717012185818</c:v>
                </c:pt>
                <c:pt idx="3">
                  <c:v>0.66661283180924691</c:v>
                </c:pt>
                <c:pt idx="4">
                  <c:v>0.6747343439232496</c:v>
                </c:pt>
                <c:pt idx="5">
                  <c:v>0.68475114862829878</c:v>
                </c:pt>
              </c:numCache>
            </c:numRef>
          </c:yVal>
          <c:smooth val="0"/>
          <c:extLst>
            <c:ext xmlns:c16="http://schemas.microsoft.com/office/drawing/2014/chart" uri="{C3380CC4-5D6E-409C-BE32-E72D297353CC}">
              <c16:uniqueId val="{00000003-872B-4F32-954B-C4E213F8D2AB}"/>
            </c:ext>
          </c:extLst>
        </c:ser>
        <c:dLbls>
          <c:showLegendKey val="0"/>
          <c:showVal val="0"/>
          <c:showCatName val="0"/>
          <c:showSerName val="0"/>
          <c:showPercent val="0"/>
          <c:showBubbleSize val="0"/>
        </c:dLbls>
        <c:axId val="731287919"/>
        <c:axId val="731288399"/>
      </c:scatterChart>
      <c:valAx>
        <c:axId val="7312879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88399"/>
        <c:crosses val="autoZero"/>
        <c:crossBetween val="midCat"/>
      </c:valAx>
      <c:valAx>
        <c:axId val="73128839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879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mj-lt"/>
                <a:ea typeface="+mn-ea"/>
                <a:cs typeface="+mn-cs"/>
              </a:defRPr>
            </a:pPr>
            <a:r>
              <a:rPr lang="en-US"/>
              <a:t>TII DoR</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mj-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10"/>
            <c:spPr>
              <a:solidFill>
                <a:schemeClr val="accent1"/>
              </a:solidFill>
              <a:ln w="9525">
                <a:solidFill>
                  <a:schemeClr val="accent1"/>
                </a:solidFill>
              </a:ln>
              <a:effectLst/>
            </c:spPr>
          </c:marker>
          <c:xVal>
            <c:numRef>
              <c:f>'biomass TII DoR'!$W$128:$AB$128</c:f>
              <c:numCache>
                <c:formatCode>General</c:formatCode>
                <c:ptCount val="6"/>
                <c:pt idx="0">
                  <c:v>0.1</c:v>
                </c:pt>
                <c:pt idx="1">
                  <c:v>0.15000000000000002</c:v>
                </c:pt>
                <c:pt idx="2">
                  <c:v>0.2</c:v>
                </c:pt>
                <c:pt idx="3">
                  <c:v>0.25</c:v>
                </c:pt>
                <c:pt idx="4">
                  <c:v>0.3</c:v>
                </c:pt>
                <c:pt idx="5">
                  <c:v>0.35000000000000003</c:v>
                </c:pt>
              </c:numCache>
            </c:numRef>
          </c:xVal>
          <c:yVal>
            <c:numRef>
              <c:f>'biomass TII DoR'!$W$146:$AB$146</c:f>
              <c:numCache>
                <c:formatCode>General</c:formatCode>
                <c:ptCount val="6"/>
                <c:pt idx="0">
                  <c:v>0.57017960657607147</c:v>
                </c:pt>
                <c:pt idx="1">
                  <c:v>0.62419174358406171</c:v>
                </c:pt>
                <c:pt idx="2">
                  <c:v>0.65522595973290254</c:v>
                </c:pt>
                <c:pt idx="3">
                  <c:v>0.67537330847813137</c:v>
                </c:pt>
                <c:pt idx="4">
                  <c:v>0.68371102036550957</c:v>
                </c:pt>
                <c:pt idx="5">
                  <c:v>0.69399815723741332</c:v>
                </c:pt>
              </c:numCache>
            </c:numRef>
          </c:yVal>
          <c:smooth val="0"/>
          <c:extLst>
            <c:ext xmlns:c16="http://schemas.microsoft.com/office/drawing/2014/chart" uri="{C3380CC4-5D6E-409C-BE32-E72D297353CC}">
              <c16:uniqueId val="{00000000-6A31-4809-8EB2-1503E0B25EE3}"/>
            </c:ext>
          </c:extLst>
        </c:ser>
        <c:ser>
          <c:idx val="1"/>
          <c:order val="1"/>
          <c:spPr>
            <a:ln w="25400" cap="rnd">
              <a:noFill/>
              <a:round/>
            </a:ln>
            <a:effectLst/>
          </c:spPr>
          <c:marker>
            <c:symbol val="circle"/>
            <c:size val="10"/>
            <c:spPr>
              <a:solidFill>
                <a:schemeClr val="accent2"/>
              </a:solidFill>
              <a:ln w="9525">
                <a:solidFill>
                  <a:schemeClr val="accent2"/>
                </a:solidFill>
              </a:ln>
              <a:effectLst/>
            </c:spPr>
          </c:marker>
          <c:xVal>
            <c:numRef>
              <c:f>'biomass TII DoR'!$P$128:$U$128</c:f>
              <c:numCache>
                <c:formatCode>General</c:formatCode>
                <c:ptCount val="6"/>
                <c:pt idx="0">
                  <c:v>0.1</c:v>
                </c:pt>
                <c:pt idx="1">
                  <c:v>0.15000000000000002</c:v>
                </c:pt>
                <c:pt idx="2">
                  <c:v>0.2</c:v>
                </c:pt>
                <c:pt idx="3">
                  <c:v>0.25</c:v>
                </c:pt>
                <c:pt idx="4">
                  <c:v>0.3</c:v>
                </c:pt>
                <c:pt idx="5">
                  <c:v>0.35000000000000003</c:v>
                </c:pt>
              </c:numCache>
            </c:numRef>
          </c:xVal>
          <c:yVal>
            <c:numRef>
              <c:f>'biomass TII DoR'!$P$146:$U$146</c:f>
              <c:numCache>
                <c:formatCode>General</c:formatCode>
                <c:ptCount val="6"/>
                <c:pt idx="0">
                  <c:v>0.57916375973022594</c:v>
                </c:pt>
                <c:pt idx="1">
                  <c:v>0.63497471716522536</c:v>
                </c:pt>
                <c:pt idx="2">
                  <c:v>0.66711804102323979</c:v>
                </c:pt>
                <c:pt idx="3">
                  <c:v>0.68801502072901632</c:v>
                </c:pt>
                <c:pt idx="4">
                  <c:v>0.6966697862620872</c:v>
                </c:pt>
                <c:pt idx="5">
                  <c:v>0.70735362141092317</c:v>
                </c:pt>
              </c:numCache>
            </c:numRef>
          </c:yVal>
          <c:smooth val="0"/>
          <c:extLst>
            <c:ext xmlns:c16="http://schemas.microsoft.com/office/drawing/2014/chart" uri="{C3380CC4-5D6E-409C-BE32-E72D297353CC}">
              <c16:uniqueId val="{00000001-6A31-4809-8EB2-1503E0B25EE3}"/>
            </c:ext>
          </c:extLst>
        </c:ser>
        <c:ser>
          <c:idx val="2"/>
          <c:order val="2"/>
          <c:spPr>
            <a:ln w="25400" cap="rnd">
              <a:noFill/>
              <a:round/>
            </a:ln>
            <a:effectLst/>
          </c:spPr>
          <c:marker>
            <c:symbol val="circle"/>
            <c:size val="9"/>
            <c:spPr>
              <a:solidFill>
                <a:schemeClr val="accent3"/>
              </a:solidFill>
              <a:ln w="9525">
                <a:solidFill>
                  <a:schemeClr val="accent3"/>
                </a:solidFill>
              </a:ln>
              <a:effectLst/>
            </c:spPr>
          </c:marker>
          <c:xVal>
            <c:numRef>
              <c:f>'biomass TII DoR'!$I$128:$N$128</c:f>
              <c:numCache>
                <c:formatCode>General</c:formatCode>
                <c:ptCount val="6"/>
                <c:pt idx="0">
                  <c:v>0.1</c:v>
                </c:pt>
                <c:pt idx="1">
                  <c:v>0.15000000000000002</c:v>
                </c:pt>
                <c:pt idx="2">
                  <c:v>0.2</c:v>
                </c:pt>
                <c:pt idx="3">
                  <c:v>0.25</c:v>
                </c:pt>
                <c:pt idx="4">
                  <c:v>0.3</c:v>
                </c:pt>
                <c:pt idx="5">
                  <c:v>0.35000000000000003</c:v>
                </c:pt>
              </c:numCache>
            </c:numRef>
          </c:xVal>
          <c:yVal>
            <c:numRef>
              <c:f>'biomass TII DoR'!$I$146:$N$146</c:f>
              <c:numCache>
                <c:formatCode>General</c:formatCode>
                <c:ptCount val="6"/>
                <c:pt idx="0">
                  <c:v>0.58837270301449329</c:v>
                </c:pt>
                <c:pt idx="1">
                  <c:v>0.64606099761272606</c:v>
                </c:pt>
                <c:pt idx="2">
                  <c:v>0.6793659619242074</c:v>
                </c:pt>
                <c:pt idx="3">
                  <c:v>0.70104976978399491</c:v>
                </c:pt>
                <c:pt idx="4">
                  <c:v>0.71003772051337466</c:v>
                </c:pt>
                <c:pt idx="5">
                  <c:v>0.72113876605535354</c:v>
                </c:pt>
              </c:numCache>
            </c:numRef>
          </c:yVal>
          <c:smooth val="0"/>
          <c:extLst>
            <c:ext xmlns:c16="http://schemas.microsoft.com/office/drawing/2014/chart" uri="{C3380CC4-5D6E-409C-BE32-E72D297353CC}">
              <c16:uniqueId val="{00000002-6A31-4809-8EB2-1503E0B25EE3}"/>
            </c:ext>
          </c:extLst>
        </c:ser>
        <c:ser>
          <c:idx val="3"/>
          <c:order val="3"/>
          <c:spPr>
            <a:ln w="25400" cap="rnd">
              <a:noFill/>
              <a:round/>
            </a:ln>
            <a:effectLst/>
          </c:spPr>
          <c:marker>
            <c:symbol val="circle"/>
            <c:size val="10"/>
            <c:spPr>
              <a:solidFill>
                <a:schemeClr val="accent4"/>
              </a:solidFill>
              <a:ln w="9525">
                <a:solidFill>
                  <a:schemeClr val="accent4"/>
                </a:solidFill>
              </a:ln>
              <a:effectLst/>
            </c:spPr>
          </c:marker>
          <c:xVal>
            <c:numRef>
              <c:f>'biomass TII DoR'!$B$128:$G$128</c:f>
              <c:numCache>
                <c:formatCode>General</c:formatCode>
                <c:ptCount val="6"/>
                <c:pt idx="0">
                  <c:v>0.1</c:v>
                </c:pt>
                <c:pt idx="1">
                  <c:v>0.15000000000000002</c:v>
                </c:pt>
                <c:pt idx="2">
                  <c:v>0.2</c:v>
                </c:pt>
                <c:pt idx="3">
                  <c:v>0.25</c:v>
                </c:pt>
                <c:pt idx="4">
                  <c:v>0.3</c:v>
                </c:pt>
                <c:pt idx="5">
                  <c:v>0.35000000000000003</c:v>
                </c:pt>
              </c:numCache>
            </c:numRef>
          </c:xVal>
          <c:yVal>
            <c:numRef>
              <c:f>'biomass TII DoR'!$B$146:$G$146</c:f>
              <c:numCache>
                <c:formatCode>General</c:formatCode>
                <c:ptCount val="6"/>
                <c:pt idx="0">
                  <c:v>0.59781433247711424</c:v>
                </c:pt>
                <c:pt idx="1">
                  <c:v>0.65746278163772387</c:v>
                </c:pt>
                <c:pt idx="2">
                  <c:v>0.69198506887501787</c:v>
                </c:pt>
                <c:pt idx="3">
                  <c:v>0.71449524976836998</c:v>
                </c:pt>
                <c:pt idx="4">
                  <c:v>0.72383356378964747</c:v>
                </c:pt>
                <c:pt idx="5">
                  <c:v>0.73537368641633283</c:v>
                </c:pt>
              </c:numCache>
            </c:numRef>
          </c:yVal>
          <c:smooth val="0"/>
          <c:extLst>
            <c:ext xmlns:c16="http://schemas.microsoft.com/office/drawing/2014/chart" uri="{C3380CC4-5D6E-409C-BE32-E72D297353CC}">
              <c16:uniqueId val="{00000003-6A31-4809-8EB2-1503E0B25EE3}"/>
            </c:ext>
          </c:extLst>
        </c:ser>
        <c:dLbls>
          <c:showLegendKey val="0"/>
          <c:showVal val="0"/>
          <c:showCatName val="0"/>
          <c:showSerName val="0"/>
          <c:showPercent val="0"/>
          <c:showBubbleSize val="0"/>
        </c:dLbls>
        <c:axId val="731199599"/>
        <c:axId val="731236079"/>
      </c:scatterChart>
      <c:valAx>
        <c:axId val="731199599"/>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r>
                  <a:rPr lang="en-US"/>
                  <a:t>specific growth rate (h-1)</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title>
        <c:numFmt formatCode="General" sourceLinked="1"/>
        <c:majorTickMark val="in"/>
        <c:minorTickMark val="none"/>
        <c:tickLblPos val="nextTo"/>
        <c:spPr>
          <a:noFill/>
          <a:ln w="2540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crossAx val="731236079"/>
        <c:crosses val="autoZero"/>
        <c:crossBetween val="midCat"/>
      </c:valAx>
      <c:valAx>
        <c:axId val="731236079"/>
        <c:scaling>
          <c:orientation val="minMax"/>
        </c:scaling>
        <c:delete val="0"/>
        <c:axPos val="l"/>
        <c:title>
          <c:tx>
            <c:rich>
              <a:bodyPr rot="-54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r>
                  <a:rPr lang="en-US"/>
                  <a:t>biomass yield (g/g)</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title>
        <c:numFmt formatCode="General" sourceLinked="1"/>
        <c:majorTickMark val="in"/>
        <c:minorTickMark val="none"/>
        <c:tickLblPos val="nextTo"/>
        <c:spPr>
          <a:noFill/>
          <a:ln w="2540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j-lt"/>
                <a:ea typeface="+mn-ea"/>
                <a:cs typeface="+mn-cs"/>
              </a:defRPr>
            </a:pPr>
            <a:endParaRPr lang="en-US"/>
          </a:p>
        </c:txPr>
        <c:crossAx val="731199599"/>
        <c:crosses val="autoZero"/>
        <c:crossBetween val="midCat"/>
      </c:valAx>
      <c:spPr>
        <a:noFill/>
        <a:ln w="254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latin typeface="+mj-lt"/>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'biomass TII DoR'!$W$134:$AB$134</c:f>
              <c:numCache>
                <c:formatCode>General</c:formatCode>
                <c:ptCount val="6"/>
                <c:pt idx="0">
                  <c:v>-9.2049409076054065</c:v>
                </c:pt>
                <c:pt idx="1">
                  <c:v>-9.2395111343796863</c:v>
                </c:pt>
                <c:pt idx="2">
                  <c:v>-9.2593744456548652</c:v>
                </c:pt>
                <c:pt idx="3">
                  <c:v>-9.2722696661294801</c:v>
                </c:pt>
                <c:pt idx="4">
                  <c:v>-9.2846856476457269</c:v>
                </c:pt>
                <c:pt idx="5">
                  <c:v>-9.2913764014672129</c:v>
                </c:pt>
              </c:numCache>
            </c:numRef>
          </c:xVal>
          <c:yVal>
            <c:numRef>
              <c:f>'biomass TII DoR'!$W$146:$AB$146</c:f>
              <c:numCache>
                <c:formatCode>General</c:formatCode>
                <c:ptCount val="6"/>
                <c:pt idx="0">
                  <c:v>0.57017960657607147</c:v>
                </c:pt>
                <c:pt idx="1">
                  <c:v>0.62419174358406171</c:v>
                </c:pt>
                <c:pt idx="2">
                  <c:v>0.65522595973290254</c:v>
                </c:pt>
                <c:pt idx="3">
                  <c:v>0.67537330847813137</c:v>
                </c:pt>
                <c:pt idx="4">
                  <c:v>0.68371102036550957</c:v>
                </c:pt>
                <c:pt idx="5">
                  <c:v>0.69399815723741332</c:v>
                </c:pt>
              </c:numCache>
            </c:numRef>
          </c:yVal>
          <c:smooth val="0"/>
          <c:extLst>
            <c:ext xmlns:c16="http://schemas.microsoft.com/office/drawing/2014/chart" uri="{C3380CC4-5D6E-409C-BE32-E72D297353CC}">
              <c16:uniqueId val="{00000000-035B-4DC3-B46C-2C379972D44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'biomass TII DoR'!$P$134:$U$134</c:f>
              <c:numCache>
                <c:formatCode>General</c:formatCode>
                <c:ptCount val="6"/>
                <c:pt idx="0">
                  <c:v>-9.210691174658681</c:v>
                </c:pt>
                <c:pt idx="1">
                  <c:v>-9.2464127284037616</c:v>
                </c:pt>
                <c:pt idx="2">
                  <c:v>-9.2669859191087731</c:v>
                </c:pt>
                <c:pt idx="3">
                  <c:v>-9.2803609375276768</c:v>
                </c:pt>
                <c:pt idx="4">
                  <c:v>-9.2931140289848617</c:v>
                </c:pt>
                <c:pt idx="5">
                  <c:v>-9.3000627953656636</c:v>
                </c:pt>
              </c:numCache>
            </c:numRef>
          </c:xVal>
          <c:yVal>
            <c:numRef>
              <c:f>'biomass TII DoR'!$P$146:$U$146</c:f>
              <c:numCache>
                <c:formatCode>General</c:formatCode>
                <c:ptCount val="6"/>
                <c:pt idx="0">
                  <c:v>0.57916375973022594</c:v>
                </c:pt>
                <c:pt idx="1">
                  <c:v>0.63497471716522536</c:v>
                </c:pt>
                <c:pt idx="2">
                  <c:v>0.66711804102323979</c:v>
                </c:pt>
                <c:pt idx="3">
                  <c:v>0.68801502072901632</c:v>
                </c:pt>
                <c:pt idx="4">
                  <c:v>0.6966697862620872</c:v>
                </c:pt>
                <c:pt idx="5">
                  <c:v>0.70735362141092317</c:v>
                </c:pt>
              </c:numCache>
            </c:numRef>
          </c:yVal>
          <c:smooth val="0"/>
          <c:extLst>
            <c:ext xmlns:c16="http://schemas.microsoft.com/office/drawing/2014/chart" uri="{C3380CC4-5D6E-409C-BE32-E72D297353CC}">
              <c16:uniqueId val="{00000001-035B-4DC3-B46C-2C379972D446}"/>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'biomass TII DoR'!$I$134:$N$134</c:f>
              <c:numCache>
                <c:formatCode>General</c:formatCode>
                <c:ptCount val="6"/>
                <c:pt idx="0">
                  <c:v>-9.2165853176295762</c:v>
                </c:pt>
                <c:pt idx="1">
                  <c:v>-9.2535084526313849</c:v>
                </c:pt>
                <c:pt idx="2">
                  <c:v>-9.2748251461143116</c:v>
                </c:pt>
                <c:pt idx="3">
                  <c:v>-9.2887037703748518</c:v>
                </c:pt>
                <c:pt idx="4">
                  <c:v>-9.3018085334218981</c:v>
                </c:pt>
                <c:pt idx="5">
                  <c:v>-9.309028653442402</c:v>
                </c:pt>
              </c:numCache>
            </c:numRef>
          </c:xVal>
          <c:yVal>
            <c:numRef>
              <c:f>'biomass TII DoR'!$I$146:$N$146</c:f>
              <c:numCache>
                <c:formatCode>General</c:formatCode>
                <c:ptCount val="6"/>
                <c:pt idx="0">
                  <c:v>0.58837270301449329</c:v>
                </c:pt>
                <c:pt idx="1">
                  <c:v>0.64606099761272606</c:v>
                </c:pt>
                <c:pt idx="2">
                  <c:v>0.6793659619242074</c:v>
                </c:pt>
                <c:pt idx="3">
                  <c:v>0.70104976978399491</c:v>
                </c:pt>
                <c:pt idx="4">
                  <c:v>0.71003772051337466</c:v>
                </c:pt>
                <c:pt idx="5">
                  <c:v>0.72113876605535354</c:v>
                </c:pt>
              </c:numCache>
            </c:numRef>
          </c:yVal>
          <c:smooth val="0"/>
          <c:extLst>
            <c:ext xmlns:c16="http://schemas.microsoft.com/office/drawing/2014/chart" uri="{C3380CC4-5D6E-409C-BE32-E72D297353CC}">
              <c16:uniqueId val="{00000002-035B-4DC3-B46C-2C379972D446}"/>
            </c:ext>
          </c:extLst>
        </c:ser>
        <c:ser>
          <c:idx val="3"/>
          <c:order val="3"/>
          <c:spPr>
            <a:ln w="25400" cap="rnd">
              <a:noFill/>
              <a:round/>
            </a:ln>
            <a:effectLst/>
          </c:spPr>
          <c:marker>
            <c:symbol val="circle"/>
            <c:size val="5"/>
            <c:spPr>
              <a:solidFill>
                <a:schemeClr val="accent4"/>
              </a:solidFill>
              <a:ln w="9525">
                <a:solidFill>
                  <a:schemeClr val="accent4"/>
                </a:solidFill>
              </a:ln>
              <a:effectLst/>
            </c:spPr>
          </c:marker>
          <c:xVal>
            <c:numRef>
              <c:f>'biomass TII DoR'!$B$134:$G$134</c:f>
              <c:numCache>
                <c:formatCode>General</c:formatCode>
                <c:ptCount val="6"/>
                <c:pt idx="0">
                  <c:v>-9.2226283903484578</c:v>
                </c:pt>
                <c:pt idx="1">
                  <c:v>-9.2608061135129986</c:v>
                </c:pt>
                <c:pt idx="2">
                  <c:v>-9.2829019490912774</c:v>
                </c:pt>
                <c:pt idx="3">
                  <c:v>-9.2973094897167883</c:v>
                </c:pt>
                <c:pt idx="4">
                  <c:v>-9.3107813498887868</c:v>
                </c:pt>
                <c:pt idx="5">
                  <c:v>-9.3182870456451816</c:v>
                </c:pt>
              </c:numCache>
            </c:numRef>
          </c:xVal>
          <c:yVal>
            <c:numRef>
              <c:f>'biomass TII DoR'!$B$146:$G$146</c:f>
              <c:numCache>
                <c:formatCode>General</c:formatCode>
                <c:ptCount val="6"/>
                <c:pt idx="0">
                  <c:v>0.59781433247711424</c:v>
                </c:pt>
                <c:pt idx="1">
                  <c:v>0.65746278163772387</c:v>
                </c:pt>
                <c:pt idx="2">
                  <c:v>0.69198506887501787</c:v>
                </c:pt>
                <c:pt idx="3">
                  <c:v>0.71449524976836998</c:v>
                </c:pt>
                <c:pt idx="4">
                  <c:v>0.72383356378964747</c:v>
                </c:pt>
                <c:pt idx="5">
                  <c:v>0.73537368641633283</c:v>
                </c:pt>
              </c:numCache>
            </c:numRef>
          </c:yVal>
          <c:smooth val="0"/>
          <c:extLst>
            <c:ext xmlns:c16="http://schemas.microsoft.com/office/drawing/2014/chart" uri="{C3380CC4-5D6E-409C-BE32-E72D297353CC}">
              <c16:uniqueId val="{00000003-035B-4DC3-B46C-2C379972D446}"/>
            </c:ext>
          </c:extLst>
        </c:ser>
        <c:dLbls>
          <c:showLegendKey val="0"/>
          <c:showVal val="0"/>
          <c:showCatName val="0"/>
          <c:showSerName val="0"/>
          <c:showPercent val="0"/>
          <c:showBubbleSize val="0"/>
        </c:dLbls>
        <c:axId val="763707391"/>
        <c:axId val="763702591"/>
      </c:scatterChart>
      <c:valAx>
        <c:axId val="76370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GWP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02591"/>
        <c:crosses val="autoZero"/>
        <c:crossBetween val="midCat"/>
      </c:valAx>
      <c:valAx>
        <c:axId val="76370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biomass 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073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'biomass TII MMO N2'!$B$128:$G$128</c:f>
              <c:numCache>
                <c:formatCode>General</c:formatCode>
                <c:ptCount val="6"/>
                <c:pt idx="0">
                  <c:v>0.1</c:v>
                </c:pt>
                <c:pt idx="1">
                  <c:v>0.15000000000000002</c:v>
                </c:pt>
                <c:pt idx="2">
                  <c:v>0.2</c:v>
                </c:pt>
                <c:pt idx="3">
                  <c:v>0.25</c:v>
                </c:pt>
                <c:pt idx="4">
                  <c:v>0.3</c:v>
                </c:pt>
                <c:pt idx="5">
                  <c:v>0.35000000000000003</c:v>
                </c:pt>
              </c:numCache>
            </c:numRef>
          </c:xVal>
          <c:yVal>
            <c:numRef>
              <c:f>'biomass TII MMO N2'!$B$146:$G$146</c:f>
              <c:numCache>
                <c:formatCode>General</c:formatCode>
                <c:ptCount val="6"/>
                <c:pt idx="0">
                  <c:v>0.44320512494060588</c:v>
                </c:pt>
                <c:pt idx="1">
                  <c:v>0.48686844981613353</c:v>
                </c:pt>
                <c:pt idx="2">
                  <c:v>0.51209345469624401</c:v>
                </c:pt>
                <c:pt idx="3">
                  <c:v>0.52852336015959411</c:v>
                </c:pt>
                <c:pt idx="4">
                  <c:v>0.53533511591383509</c:v>
                </c:pt>
                <c:pt idx="5">
                  <c:v>0.54374959108262455</c:v>
                </c:pt>
              </c:numCache>
            </c:numRef>
          </c:yVal>
          <c:smooth val="0"/>
          <c:extLst>
            <c:ext xmlns:c16="http://schemas.microsoft.com/office/drawing/2014/chart" uri="{C3380CC4-5D6E-409C-BE32-E72D297353CC}">
              <c16:uniqueId val="{00000000-4C60-42C4-9BAF-090C4BE79BCD}"/>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'biomass TII MMO N2'!$I$128:$N$128</c:f>
              <c:numCache>
                <c:formatCode>General</c:formatCode>
                <c:ptCount val="6"/>
                <c:pt idx="0">
                  <c:v>0.1</c:v>
                </c:pt>
                <c:pt idx="1">
                  <c:v>0.15000000000000002</c:v>
                </c:pt>
                <c:pt idx="2">
                  <c:v>0.2</c:v>
                </c:pt>
                <c:pt idx="3">
                  <c:v>0.25</c:v>
                </c:pt>
                <c:pt idx="4">
                  <c:v>0.3</c:v>
                </c:pt>
                <c:pt idx="5">
                  <c:v>0.35000000000000003</c:v>
                </c:pt>
              </c:numCache>
            </c:numRef>
          </c:xVal>
          <c:yVal>
            <c:numRef>
              <c:f>'biomass TII MMO N2'!$I$146:$N$146</c:f>
              <c:numCache>
                <c:formatCode>General</c:formatCode>
                <c:ptCount val="6"/>
                <c:pt idx="0">
                  <c:v>0.54169515270518487</c:v>
                </c:pt>
                <c:pt idx="1">
                  <c:v>0.59506143866416306</c:v>
                </c:pt>
                <c:pt idx="2">
                  <c:v>0.62589200018429825</c:v>
                </c:pt>
                <c:pt idx="3">
                  <c:v>0.63420107164512807</c:v>
                </c:pt>
                <c:pt idx="4">
                  <c:v>0.62496697329002959</c:v>
                </c:pt>
                <c:pt idx="5">
                  <c:v>0.62496697329002959</c:v>
                </c:pt>
              </c:numCache>
            </c:numRef>
          </c:yVal>
          <c:smooth val="0"/>
          <c:extLst>
            <c:ext xmlns:c16="http://schemas.microsoft.com/office/drawing/2014/chart" uri="{C3380CC4-5D6E-409C-BE32-E72D297353CC}">
              <c16:uniqueId val="{00000001-4C60-42C4-9BAF-090C4BE79BCD}"/>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'biomass TII MMO N2'!$P$128:$U$128</c:f>
              <c:numCache>
                <c:formatCode>General</c:formatCode>
                <c:ptCount val="6"/>
                <c:pt idx="0">
                  <c:v>0.1</c:v>
                </c:pt>
                <c:pt idx="1">
                  <c:v>0.15000000000000002</c:v>
                </c:pt>
                <c:pt idx="2">
                  <c:v>0.2</c:v>
                </c:pt>
                <c:pt idx="3">
                  <c:v>0.25</c:v>
                </c:pt>
                <c:pt idx="4">
                  <c:v>0.3</c:v>
                </c:pt>
                <c:pt idx="5">
                  <c:v>0.35000000000000003</c:v>
                </c:pt>
              </c:numCache>
            </c:numRef>
          </c:xVal>
          <c:yVal>
            <c:numRef>
              <c:f>'biomass TII MMO N2'!$P$146:$U$146</c:f>
              <c:numCache>
                <c:formatCode>General</c:formatCode>
                <c:ptCount val="6"/>
                <c:pt idx="0">
                  <c:v>0.59094016658747428</c:v>
                </c:pt>
                <c:pt idx="1">
                  <c:v>0.64915793308817804</c:v>
                </c:pt>
                <c:pt idx="2">
                  <c:v>0.68279127292832531</c:v>
                </c:pt>
                <c:pt idx="3">
                  <c:v>0.70469781354612548</c:v>
                </c:pt>
                <c:pt idx="4">
                  <c:v>0.7137801545517799</c:v>
                </c:pt>
                <c:pt idx="5">
                  <c:v>0.72499945477683281</c:v>
                </c:pt>
              </c:numCache>
            </c:numRef>
          </c:yVal>
          <c:smooth val="0"/>
          <c:extLst>
            <c:ext xmlns:c16="http://schemas.microsoft.com/office/drawing/2014/chart" uri="{C3380CC4-5D6E-409C-BE32-E72D297353CC}">
              <c16:uniqueId val="{00000002-4C60-42C4-9BAF-090C4BE79BCD}"/>
            </c:ext>
          </c:extLst>
        </c:ser>
        <c:dLbls>
          <c:showLegendKey val="0"/>
          <c:showVal val="0"/>
          <c:showCatName val="0"/>
          <c:showSerName val="0"/>
          <c:showPercent val="0"/>
          <c:showBubbleSize val="0"/>
        </c:dLbls>
        <c:axId val="437603695"/>
        <c:axId val="437605135"/>
      </c:scatterChart>
      <c:valAx>
        <c:axId val="437603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specific growth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05135"/>
        <c:crosses val="autoZero"/>
        <c:crossBetween val="midCat"/>
      </c:valAx>
      <c:valAx>
        <c:axId val="437605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biomass 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036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'biomass TII MMO N2'!$P$134:$U$134</c:f>
              <c:numCache>
                <c:formatCode>General</c:formatCode>
                <c:ptCount val="6"/>
                <c:pt idx="0">
                  <c:v>-9.2182286112089322</c:v>
                </c:pt>
                <c:pt idx="1">
                  <c:v>-9.2554906323343626</c:v>
                </c:pt>
                <c:pt idx="2">
                  <c:v>-9.2770175011060658</c:v>
                </c:pt>
                <c:pt idx="3">
                  <c:v>-9.2910386844724133</c:v>
                </c:pt>
                <c:pt idx="4">
                  <c:v>-9.3042426125204774</c:v>
                </c:pt>
                <c:pt idx="5">
                  <c:v>-9.3115396453868513</c:v>
                </c:pt>
              </c:numCache>
            </c:numRef>
          </c:xVal>
          <c:yVal>
            <c:numRef>
              <c:f>'biomass TII MMO N2'!$P$146:$U$146</c:f>
              <c:numCache>
                <c:formatCode>General</c:formatCode>
                <c:ptCount val="6"/>
                <c:pt idx="0">
                  <c:v>0.59094016658747428</c:v>
                </c:pt>
                <c:pt idx="1">
                  <c:v>0.64915793308817804</c:v>
                </c:pt>
                <c:pt idx="2">
                  <c:v>0.68279127292832531</c:v>
                </c:pt>
                <c:pt idx="3">
                  <c:v>0.70469781354612548</c:v>
                </c:pt>
                <c:pt idx="4">
                  <c:v>0.7137801545517799</c:v>
                </c:pt>
                <c:pt idx="5">
                  <c:v>0.72499945477683281</c:v>
                </c:pt>
              </c:numCache>
            </c:numRef>
          </c:yVal>
          <c:smooth val="0"/>
          <c:extLst>
            <c:ext xmlns:c16="http://schemas.microsoft.com/office/drawing/2014/chart" uri="{C3380CC4-5D6E-409C-BE32-E72D297353CC}">
              <c16:uniqueId val="{00000000-A53E-47BF-B376-F9C773D8C84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'biomass TII MMO N2'!$I$134:$N$134</c:f>
              <c:numCache>
                <c:formatCode>General</c:formatCode>
                <c:ptCount val="6"/>
                <c:pt idx="0">
                  <c:v>-9.1867095602748563</c:v>
                </c:pt>
                <c:pt idx="1">
                  <c:v>-9.2208664129731659</c:v>
                </c:pt>
                <c:pt idx="2">
                  <c:v>-9.2405993760138951</c:v>
                </c:pt>
                <c:pt idx="3">
                  <c:v>-9.2459175600480137</c:v>
                </c:pt>
                <c:pt idx="4">
                  <c:v>-9.2464785194278338</c:v>
                </c:pt>
                <c:pt idx="5">
                  <c:v>-9.2464785194278356</c:v>
                </c:pt>
              </c:numCache>
            </c:numRef>
          </c:xVal>
          <c:yVal>
            <c:numRef>
              <c:f>'biomass TII MMO N2'!$I$146:$N$146</c:f>
              <c:numCache>
                <c:formatCode>General</c:formatCode>
                <c:ptCount val="6"/>
                <c:pt idx="0">
                  <c:v>0.54169515270518487</c:v>
                </c:pt>
                <c:pt idx="1">
                  <c:v>0.59506143866416306</c:v>
                </c:pt>
                <c:pt idx="2">
                  <c:v>0.62589200018429825</c:v>
                </c:pt>
                <c:pt idx="3">
                  <c:v>0.63420107164512807</c:v>
                </c:pt>
                <c:pt idx="4">
                  <c:v>0.62496697329002959</c:v>
                </c:pt>
                <c:pt idx="5">
                  <c:v>0.62496697329002959</c:v>
                </c:pt>
              </c:numCache>
            </c:numRef>
          </c:yVal>
          <c:smooth val="0"/>
          <c:extLst>
            <c:ext xmlns:c16="http://schemas.microsoft.com/office/drawing/2014/chart" uri="{C3380CC4-5D6E-409C-BE32-E72D297353CC}">
              <c16:uniqueId val="{00000001-A53E-47BF-B376-F9C773D8C848}"/>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'biomass TII MMO N2'!$B$134:$G$134</c:f>
              <c:numCache>
                <c:formatCode>General</c:formatCode>
                <c:ptCount val="6"/>
                <c:pt idx="0">
                  <c:v>-9.1236714584067009</c:v>
                </c:pt>
                <c:pt idx="1">
                  <c:v>-9.1516179742507742</c:v>
                </c:pt>
                <c:pt idx="2">
                  <c:v>-9.1677631258295502</c:v>
                </c:pt>
                <c:pt idx="3">
                  <c:v>-9.1782790133543095</c:v>
                </c:pt>
                <c:pt idx="4">
                  <c:v>-9.1881819593903575</c:v>
                </c:pt>
                <c:pt idx="5">
                  <c:v>-9.1936547340401376</c:v>
                </c:pt>
              </c:numCache>
            </c:numRef>
          </c:xVal>
          <c:yVal>
            <c:numRef>
              <c:f>'biomass TII MMO N2'!$B$146:$G$146</c:f>
              <c:numCache>
                <c:formatCode>General</c:formatCode>
                <c:ptCount val="6"/>
                <c:pt idx="0">
                  <c:v>0.44320512494060588</c:v>
                </c:pt>
                <c:pt idx="1">
                  <c:v>0.48686844981613353</c:v>
                </c:pt>
                <c:pt idx="2">
                  <c:v>0.51209345469624401</c:v>
                </c:pt>
                <c:pt idx="3">
                  <c:v>0.52852336015959411</c:v>
                </c:pt>
                <c:pt idx="4">
                  <c:v>0.53533511591383509</c:v>
                </c:pt>
                <c:pt idx="5">
                  <c:v>0.54374959108262455</c:v>
                </c:pt>
              </c:numCache>
            </c:numRef>
          </c:yVal>
          <c:smooth val="0"/>
          <c:extLst>
            <c:ext xmlns:c16="http://schemas.microsoft.com/office/drawing/2014/chart" uri="{C3380CC4-5D6E-409C-BE32-E72D297353CC}">
              <c16:uniqueId val="{00000002-A53E-47BF-B376-F9C773D8C848}"/>
            </c:ext>
          </c:extLst>
        </c:ser>
        <c:ser>
          <c:idx val="3"/>
          <c:order val="3"/>
          <c:spPr>
            <a:ln w="25400" cap="rnd">
              <a:noFill/>
              <a:round/>
            </a:ln>
            <a:effectLst/>
          </c:spPr>
          <c:marker>
            <c:symbol val="circle"/>
            <c:size val="5"/>
            <c:spPr>
              <a:solidFill>
                <a:schemeClr val="accent4"/>
              </a:solidFill>
              <a:ln w="9525">
                <a:solidFill>
                  <a:schemeClr val="accent4"/>
                </a:solidFill>
              </a:ln>
              <a:effectLst/>
            </c:spPr>
          </c:marker>
          <c:xVal>
            <c:numRef>
              <c:f>'[2]biomass TII DoR'!$B$134:$AB$134</c:f>
              <c:numCache>
                <c:formatCode>General</c:formatCode>
                <c:ptCount val="27"/>
                <c:pt idx="0">
                  <c:v>-9.2226283903484578</c:v>
                </c:pt>
                <c:pt idx="1">
                  <c:v>-9.2608061135129986</c:v>
                </c:pt>
                <c:pt idx="2">
                  <c:v>-9.2829019490912774</c:v>
                </c:pt>
                <c:pt idx="3">
                  <c:v>-9.2973094897167883</c:v>
                </c:pt>
                <c:pt idx="4">
                  <c:v>-9.3107813498887868</c:v>
                </c:pt>
                <c:pt idx="5">
                  <c:v>-9.3182870456451816</c:v>
                </c:pt>
                <c:pt idx="7">
                  <c:v>-9.2165853176295762</c:v>
                </c:pt>
                <c:pt idx="8">
                  <c:v>-9.2535084526313849</c:v>
                </c:pt>
                <c:pt idx="9">
                  <c:v>-9.2748251461143116</c:v>
                </c:pt>
                <c:pt idx="10">
                  <c:v>-9.2887037703748518</c:v>
                </c:pt>
                <c:pt idx="11">
                  <c:v>-9.3018085334218981</c:v>
                </c:pt>
                <c:pt idx="12">
                  <c:v>-9.309028653442402</c:v>
                </c:pt>
                <c:pt idx="14">
                  <c:v>-9.210691174658681</c:v>
                </c:pt>
                <c:pt idx="15">
                  <c:v>-9.2464127284037616</c:v>
                </c:pt>
                <c:pt idx="16">
                  <c:v>-9.2669859191087731</c:v>
                </c:pt>
                <c:pt idx="17">
                  <c:v>-9.2803609375276768</c:v>
                </c:pt>
                <c:pt idx="18">
                  <c:v>-9.2931140289848617</c:v>
                </c:pt>
                <c:pt idx="19">
                  <c:v>-9.3000627953656636</c:v>
                </c:pt>
                <c:pt idx="21">
                  <c:v>-9.2049409076054065</c:v>
                </c:pt>
                <c:pt idx="22">
                  <c:v>-9.2395111343796863</c:v>
                </c:pt>
                <c:pt idx="23">
                  <c:v>-9.2593744456548652</c:v>
                </c:pt>
                <c:pt idx="24">
                  <c:v>-9.2722696661294801</c:v>
                </c:pt>
                <c:pt idx="25">
                  <c:v>-9.2846856476457269</c:v>
                </c:pt>
                <c:pt idx="26">
                  <c:v>-9.2913764014672129</c:v>
                </c:pt>
              </c:numCache>
            </c:numRef>
          </c:xVal>
          <c:yVal>
            <c:numRef>
              <c:f>'[2]biomass TII DoR'!$B$146:$AB$146</c:f>
              <c:numCache>
                <c:formatCode>General</c:formatCode>
                <c:ptCount val="27"/>
                <c:pt idx="0">
                  <c:v>0.59781433247711424</c:v>
                </c:pt>
                <c:pt idx="1">
                  <c:v>0.65746278163772387</c:v>
                </c:pt>
                <c:pt idx="2">
                  <c:v>0.69198506887501787</c:v>
                </c:pt>
                <c:pt idx="3">
                  <c:v>0.71449524976836998</c:v>
                </c:pt>
                <c:pt idx="4">
                  <c:v>0.72383356378964747</c:v>
                </c:pt>
                <c:pt idx="5">
                  <c:v>0.73537368641633283</c:v>
                </c:pt>
                <c:pt idx="7">
                  <c:v>0.58837270301449329</c:v>
                </c:pt>
                <c:pt idx="8">
                  <c:v>0.64606099761272606</c:v>
                </c:pt>
                <c:pt idx="9">
                  <c:v>0.6793659619242074</c:v>
                </c:pt>
                <c:pt idx="10">
                  <c:v>0.70104976978399491</c:v>
                </c:pt>
                <c:pt idx="11">
                  <c:v>0.71003772051337466</c:v>
                </c:pt>
                <c:pt idx="12">
                  <c:v>0.72113876605535354</c:v>
                </c:pt>
                <c:pt idx="14">
                  <c:v>0.57916375973022594</c:v>
                </c:pt>
                <c:pt idx="15">
                  <c:v>0.63497471716522536</c:v>
                </c:pt>
                <c:pt idx="16">
                  <c:v>0.66711804102323979</c:v>
                </c:pt>
                <c:pt idx="17">
                  <c:v>0.68801502072901632</c:v>
                </c:pt>
                <c:pt idx="18">
                  <c:v>0.6966697862620872</c:v>
                </c:pt>
                <c:pt idx="19">
                  <c:v>0.70735362141092317</c:v>
                </c:pt>
                <c:pt idx="21">
                  <c:v>0.57017960657607147</c:v>
                </c:pt>
                <c:pt idx="22">
                  <c:v>0.62419174358406171</c:v>
                </c:pt>
                <c:pt idx="23">
                  <c:v>0.65522595973290254</c:v>
                </c:pt>
                <c:pt idx="24">
                  <c:v>0.67537330847813137</c:v>
                </c:pt>
                <c:pt idx="25">
                  <c:v>0.68371102036550957</c:v>
                </c:pt>
                <c:pt idx="26">
                  <c:v>0.69399815723741332</c:v>
                </c:pt>
              </c:numCache>
            </c:numRef>
          </c:yVal>
          <c:smooth val="0"/>
          <c:extLst>
            <c:ext xmlns:c16="http://schemas.microsoft.com/office/drawing/2014/chart" uri="{C3380CC4-5D6E-409C-BE32-E72D297353CC}">
              <c16:uniqueId val="{00000003-A53E-47BF-B376-F9C773D8C848}"/>
            </c:ext>
          </c:extLst>
        </c:ser>
        <c:dLbls>
          <c:showLegendKey val="0"/>
          <c:showVal val="0"/>
          <c:showCatName val="0"/>
          <c:showSerName val="0"/>
          <c:showPercent val="0"/>
          <c:showBubbleSize val="0"/>
        </c:dLbls>
        <c:axId val="6936031"/>
        <c:axId val="6921151"/>
      </c:scatterChart>
      <c:valAx>
        <c:axId val="6936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GWP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151"/>
        <c:crosses val="autoZero"/>
        <c:crossBetween val="midCat"/>
      </c:valAx>
      <c:valAx>
        <c:axId val="6921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Biomass 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60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r>
              <a:rPr lang="en-US"/>
              <a:t>methane consumption for biomass synthesis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1187979234871587"/>
                  <c:y val="-8.38952835107071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'ATP maintenance calculations  '!$E$18:$E$22</c:f>
              <c:numCache>
                <c:formatCode>0.00</c:formatCode>
                <c:ptCount val="5"/>
                <c:pt idx="0">
                  <c:v>0.24750000000000003</c:v>
                </c:pt>
                <c:pt idx="1">
                  <c:v>0.18000000000000002</c:v>
                </c:pt>
                <c:pt idx="2">
                  <c:v>0.20791666666666667</c:v>
                </c:pt>
                <c:pt idx="3">
                  <c:v>0.13999999999999999</c:v>
                </c:pt>
                <c:pt idx="4">
                  <c:v>0.20666666666666667</c:v>
                </c:pt>
              </c:numCache>
            </c:numRef>
          </c:xVal>
          <c:yVal>
            <c:numRef>
              <c:f>'ATP maintenance calculations  '!$G$18:$G$22</c:f>
              <c:numCache>
                <c:formatCode>0.00</c:formatCode>
                <c:ptCount val="5"/>
                <c:pt idx="0">
                  <c:v>535.625</c:v>
                </c:pt>
                <c:pt idx="1">
                  <c:v>407.5</c:v>
                </c:pt>
                <c:pt idx="2">
                  <c:v>451.25</c:v>
                </c:pt>
                <c:pt idx="3">
                  <c:v>334.375</c:v>
                </c:pt>
                <c:pt idx="4">
                  <c:v>479.375</c:v>
                </c:pt>
              </c:numCache>
            </c:numRef>
          </c:yVal>
          <c:smooth val="0"/>
          <c:extLst>
            <c:ext xmlns:c16="http://schemas.microsoft.com/office/drawing/2014/chart" uri="{C3380CC4-5D6E-409C-BE32-E72D297353CC}">
              <c16:uniqueId val="{00000000-A482-4173-9681-ECFFCDEAF38C}"/>
            </c:ext>
          </c:extLst>
        </c:ser>
        <c:ser>
          <c:idx val="4"/>
          <c:order val="1"/>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1"/>
            <c:dispEq val="1"/>
            <c:trendlineLbl>
              <c:layout>
                <c:manualLayout>
                  <c:x val="-0.43535158012616881"/>
                  <c:y val="-0.133739861464685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rendlineLbl>
          </c:trendline>
          <c:xVal>
            <c:numRef>
              <c:f>'ATP maintenance calculations  '!$B$67:$B$72</c:f>
              <c:numCache>
                <c:formatCode>General</c:formatCode>
                <c:ptCount val="6"/>
                <c:pt idx="0">
                  <c:v>0.1</c:v>
                </c:pt>
                <c:pt idx="1">
                  <c:v>0.15000000000000002</c:v>
                </c:pt>
                <c:pt idx="2">
                  <c:v>0.2</c:v>
                </c:pt>
                <c:pt idx="3">
                  <c:v>0.25</c:v>
                </c:pt>
                <c:pt idx="4">
                  <c:v>0.3</c:v>
                </c:pt>
                <c:pt idx="5">
                  <c:v>0.35000000000000003</c:v>
                </c:pt>
              </c:numCache>
            </c:numRef>
          </c:xVal>
          <c:yVal>
            <c:numRef>
              <c:f>'ATP maintenance calculations  '!$D$67:$D$72</c:f>
              <c:numCache>
                <c:formatCode>General</c:formatCode>
                <c:ptCount val="6"/>
                <c:pt idx="0">
                  <c:v>259.07820833333329</c:v>
                </c:pt>
                <c:pt idx="1">
                  <c:v>353.61731250000014</c:v>
                </c:pt>
                <c:pt idx="2">
                  <c:v>448.15641666666676</c:v>
                </c:pt>
                <c:pt idx="3">
                  <c:v>542.69552083333349</c:v>
                </c:pt>
                <c:pt idx="4">
                  <c:v>637.23462499999994</c:v>
                </c:pt>
                <c:pt idx="5">
                  <c:v>731.77372916666695</c:v>
                </c:pt>
              </c:numCache>
            </c:numRef>
          </c:yVal>
          <c:smooth val="0"/>
          <c:extLst>
            <c:ext xmlns:c16="http://schemas.microsoft.com/office/drawing/2014/chart" uri="{C3380CC4-5D6E-409C-BE32-E72D297353CC}">
              <c16:uniqueId val="{00000002-6B1F-4764-9D8A-3AFB8BD22F41}"/>
            </c:ext>
          </c:extLst>
        </c:ser>
        <c:ser>
          <c:idx val="1"/>
          <c:order val="2"/>
          <c:spPr>
            <a:ln w="25400" cap="rnd">
              <a:noFill/>
              <a:round/>
            </a:ln>
            <a:effectLst/>
          </c:spPr>
          <c:marker>
            <c:symbol val="circle"/>
            <c:size val="5"/>
            <c:spPr>
              <a:solidFill>
                <a:schemeClr val="accent2"/>
              </a:solidFill>
              <a:ln w="9525">
                <a:solidFill>
                  <a:schemeClr val="accent2"/>
                </a:solidFill>
              </a:ln>
              <a:effectLst/>
            </c:spPr>
          </c:marker>
          <c:xVal>
            <c:numRef>
              <c:f>'ATP maintenance calculations  '!$B$44:$B$48</c:f>
              <c:numCache>
                <c:formatCode>General</c:formatCode>
                <c:ptCount val="5"/>
                <c:pt idx="0">
                  <c:v>0.1</c:v>
                </c:pt>
                <c:pt idx="1">
                  <c:v>0.15</c:v>
                </c:pt>
                <c:pt idx="2">
                  <c:v>0.2</c:v>
                </c:pt>
                <c:pt idx="3">
                  <c:v>0.25</c:v>
                </c:pt>
                <c:pt idx="4">
                  <c:v>0.3</c:v>
                </c:pt>
              </c:numCache>
            </c:numRef>
          </c:xVal>
          <c:yVal>
            <c:numRef>
              <c:f>'ATP maintenance calculations  '!$C$44:$C$48</c:f>
              <c:numCache>
                <c:formatCode>General</c:formatCode>
                <c:ptCount val="5"/>
                <c:pt idx="0">
                  <c:v>305.84781012967949</c:v>
                </c:pt>
                <c:pt idx="1">
                  <c:v>458.77171519451923</c:v>
                </c:pt>
                <c:pt idx="2">
                  <c:v>611.69562025935898</c:v>
                </c:pt>
                <c:pt idx="3">
                  <c:v>764.61952532419878</c:v>
                </c:pt>
                <c:pt idx="4">
                  <c:v>917.54343038903846</c:v>
                </c:pt>
              </c:numCache>
            </c:numRef>
          </c:yVal>
          <c:smooth val="0"/>
          <c:extLst>
            <c:ext xmlns:c16="http://schemas.microsoft.com/office/drawing/2014/chart" uri="{C3380CC4-5D6E-409C-BE32-E72D297353CC}">
              <c16:uniqueId val="{00000005-5214-439A-9610-C32CBEFF564D}"/>
            </c:ext>
          </c:extLst>
        </c:ser>
        <c:ser>
          <c:idx val="2"/>
          <c:order val="3"/>
          <c:spPr>
            <a:ln w="25400" cap="rnd">
              <a:noFill/>
              <a:round/>
            </a:ln>
            <a:effectLst/>
          </c:spPr>
          <c:marker>
            <c:symbol val="circle"/>
            <c:size val="5"/>
            <c:spPr>
              <a:solidFill>
                <a:schemeClr val="accent3"/>
              </a:solidFill>
              <a:ln w="9525">
                <a:solidFill>
                  <a:schemeClr val="accent3"/>
                </a:solidFill>
              </a:ln>
              <a:effectLst/>
            </c:spPr>
          </c:marker>
          <c:xVal>
            <c:numRef>
              <c:f>'ATP maintenance calculations  '!$B$44:$B$48</c:f>
              <c:numCache>
                <c:formatCode>General</c:formatCode>
                <c:ptCount val="5"/>
                <c:pt idx="0">
                  <c:v>0.1</c:v>
                </c:pt>
                <c:pt idx="1">
                  <c:v>0.15</c:v>
                </c:pt>
                <c:pt idx="2">
                  <c:v>0.2</c:v>
                </c:pt>
                <c:pt idx="3">
                  <c:v>0.25</c:v>
                </c:pt>
                <c:pt idx="4">
                  <c:v>0.3</c:v>
                </c:pt>
              </c:numCache>
            </c:numRef>
          </c:xVal>
          <c:yVal>
            <c:numRef>
              <c:f>'ATP maintenance calculations  '!$D$44:$D$48</c:f>
              <c:numCache>
                <c:formatCode>General</c:formatCode>
                <c:ptCount val="5"/>
                <c:pt idx="0">
                  <c:v>330.63316250619937</c:v>
                </c:pt>
                <c:pt idx="1">
                  <c:v>495.94974375929905</c:v>
                </c:pt>
                <c:pt idx="2">
                  <c:v>661.26632501239874</c:v>
                </c:pt>
                <c:pt idx="3">
                  <c:v>826.58290626549842</c:v>
                </c:pt>
                <c:pt idx="4">
                  <c:v>991.89948751859811</c:v>
                </c:pt>
              </c:numCache>
            </c:numRef>
          </c:yVal>
          <c:smooth val="0"/>
          <c:extLst>
            <c:ext xmlns:c16="http://schemas.microsoft.com/office/drawing/2014/chart" uri="{C3380CC4-5D6E-409C-BE32-E72D297353CC}">
              <c16:uniqueId val="{00000006-5214-439A-9610-C32CBEFF564D}"/>
            </c:ext>
          </c:extLst>
        </c:ser>
        <c:ser>
          <c:idx val="3"/>
          <c:order val="4"/>
          <c:spPr>
            <a:ln w="25400" cap="rnd">
              <a:noFill/>
              <a:round/>
            </a:ln>
            <a:effectLst/>
          </c:spPr>
          <c:marker>
            <c:symbol val="circle"/>
            <c:size val="5"/>
            <c:spPr>
              <a:solidFill>
                <a:schemeClr val="accent4"/>
              </a:solidFill>
              <a:ln w="9525">
                <a:solidFill>
                  <a:schemeClr val="accent4"/>
                </a:solidFill>
              </a:ln>
              <a:effectLst/>
            </c:spPr>
          </c:marker>
          <c:xVal>
            <c:numRef>
              <c:f>'ATP maintenance calculations  '!$B$44:$B$48</c:f>
              <c:numCache>
                <c:formatCode>General</c:formatCode>
                <c:ptCount val="5"/>
                <c:pt idx="0">
                  <c:v>0.1</c:v>
                </c:pt>
                <c:pt idx="1">
                  <c:v>0.15</c:v>
                </c:pt>
                <c:pt idx="2">
                  <c:v>0.2</c:v>
                </c:pt>
                <c:pt idx="3">
                  <c:v>0.25</c:v>
                </c:pt>
                <c:pt idx="4">
                  <c:v>0.3</c:v>
                </c:pt>
              </c:numCache>
            </c:numRef>
          </c:xVal>
          <c:yVal>
            <c:numRef>
              <c:f>'ATP maintenance calculations  '!$E$44:$E$48</c:f>
              <c:numCache>
                <c:formatCode>General</c:formatCode>
                <c:ptCount val="5"/>
                <c:pt idx="0">
                  <c:v>180.46958185197886</c:v>
                </c:pt>
                <c:pt idx="1">
                  <c:v>270.70437277796827</c:v>
                </c:pt>
                <c:pt idx="2">
                  <c:v>360.93916370395772</c:v>
                </c:pt>
                <c:pt idx="3">
                  <c:v>451.1739546299471</c:v>
                </c:pt>
                <c:pt idx="4">
                  <c:v>541.40874555593655</c:v>
                </c:pt>
              </c:numCache>
            </c:numRef>
          </c:yVal>
          <c:smooth val="0"/>
          <c:extLst>
            <c:ext xmlns:c16="http://schemas.microsoft.com/office/drawing/2014/chart" uri="{C3380CC4-5D6E-409C-BE32-E72D297353CC}">
              <c16:uniqueId val="{00000007-5214-439A-9610-C32CBEFF564D}"/>
            </c:ext>
          </c:extLst>
        </c:ser>
        <c:dLbls>
          <c:showLegendKey val="0"/>
          <c:showVal val="0"/>
          <c:showCatName val="0"/>
          <c:showSerName val="0"/>
          <c:showPercent val="0"/>
          <c:showBubbleSize val="0"/>
        </c:dLbls>
        <c:axId val="1074631792"/>
        <c:axId val="1074630832"/>
      </c:scatterChart>
      <c:valAx>
        <c:axId val="107463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US"/>
                  <a:t>specific growth rate (1/h)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074630832"/>
        <c:crosses val="autoZero"/>
        <c:crossBetween val="midCat"/>
      </c:valAx>
      <c:valAx>
        <c:axId val="107463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US"/>
                  <a:t>mmol methane / (Cmol X 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0746317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r>
              <a:rPr lang="en-US"/>
              <a:t>GAM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rendlineLbl>
          </c:trendline>
          <c:xVal>
            <c:numRef>
              <c:f>'ATP maintenance calculations  '!$B$57:$B$61</c:f>
              <c:numCache>
                <c:formatCode>General</c:formatCode>
                <c:ptCount val="5"/>
                <c:pt idx="0">
                  <c:v>0.1</c:v>
                </c:pt>
                <c:pt idx="1">
                  <c:v>0.15</c:v>
                </c:pt>
                <c:pt idx="2">
                  <c:v>0.2</c:v>
                </c:pt>
                <c:pt idx="3">
                  <c:v>0.25</c:v>
                </c:pt>
                <c:pt idx="4">
                  <c:v>0.3</c:v>
                </c:pt>
              </c:numCache>
            </c:numRef>
          </c:xVal>
          <c:yVal>
            <c:numRef>
              <c:f>'ATP maintenance calculations  '!$G$57:$G$61</c:f>
              <c:numCache>
                <c:formatCode>General</c:formatCode>
                <c:ptCount val="5"/>
                <c:pt idx="0">
                  <c:v>51.659999999999741</c:v>
                </c:pt>
                <c:pt idx="1">
                  <c:v>77.490000000000123</c:v>
                </c:pt>
                <c:pt idx="2">
                  <c:v>103.31999999999982</c:v>
                </c:pt>
                <c:pt idx="3">
                  <c:v>129.14999999999986</c:v>
                </c:pt>
                <c:pt idx="4">
                  <c:v>154.9799999999999</c:v>
                </c:pt>
              </c:numCache>
            </c:numRef>
          </c:yVal>
          <c:smooth val="0"/>
          <c:extLst>
            <c:ext xmlns:c16="http://schemas.microsoft.com/office/drawing/2014/chart" uri="{C3380CC4-5D6E-409C-BE32-E72D297353CC}">
              <c16:uniqueId val="{00000000-363C-40BA-B0DD-E54C429D5503}"/>
            </c:ext>
          </c:extLst>
        </c:ser>
        <c:dLbls>
          <c:showLegendKey val="0"/>
          <c:showVal val="0"/>
          <c:showCatName val="0"/>
          <c:showSerName val="0"/>
          <c:showPercent val="0"/>
          <c:showBubbleSize val="0"/>
        </c:dLbls>
        <c:axId val="606894527"/>
        <c:axId val="606900767"/>
      </c:scatterChart>
      <c:valAx>
        <c:axId val="606894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US"/>
                  <a:t>specific growth rate (h-1)</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06900767"/>
        <c:crosses val="autoZero"/>
        <c:crossBetween val="midCat"/>
      </c:valAx>
      <c:valAx>
        <c:axId val="606900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US"/>
                  <a:t>mmol ATP / (Cmol x 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068945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r>
              <a:rPr lang="en-US"/>
              <a:t>methane consumption predicted vs experimental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722703412073492"/>
                  <c:y val="2.273148148148148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rendlineLbl>
          </c:trendline>
          <c:xVal>
            <c:numRef>
              <c:f>'ATP maintenance calculations  '!$G$18:$G$22</c:f>
              <c:numCache>
                <c:formatCode>0.00</c:formatCode>
                <c:ptCount val="5"/>
                <c:pt idx="0">
                  <c:v>535.625</c:v>
                </c:pt>
                <c:pt idx="1">
                  <c:v>407.5</c:v>
                </c:pt>
                <c:pt idx="2">
                  <c:v>451.25</c:v>
                </c:pt>
                <c:pt idx="3">
                  <c:v>334.375</c:v>
                </c:pt>
                <c:pt idx="4">
                  <c:v>479.375</c:v>
                </c:pt>
              </c:numCache>
            </c:numRef>
          </c:xVal>
          <c:yVal>
            <c:numRef>
              <c:f>'ATP maintenance calculations  '!$J$18:$J$22</c:f>
              <c:numCache>
                <c:formatCode>General</c:formatCode>
                <c:ptCount val="5"/>
                <c:pt idx="0">
                  <c:v>537.97299999999996</c:v>
                </c:pt>
                <c:pt idx="1">
                  <c:v>410.34400000000005</c:v>
                </c:pt>
                <c:pt idx="2">
                  <c:v>463.12883333333332</c:v>
                </c:pt>
                <c:pt idx="3">
                  <c:v>334.71199999999999</c:v>
                </c:pt>
                <c:pt idx="4">
                  <c:v>460.76533333333333</c:v>
                </c:pt>
              </c:numCache>
            </c:numRef>
          </c:yVal>
          <c:smooth val="0"/>
          <c:extLst>
            <c:ext xmlns:c16="http://schemas.microsoft.com/office/drawing/2014/chart" uri="{C3380CC4-5D6E-409C-BE32-E72D297353CC}">
              <c16:uniqueId val="{00000000-2C05-443A-B4F5-85B4BF29CB7E}"/>
            </c:ext>
          </c:extLst>
        </c:ser>
        <c:dLbls>
          <c:showLegendKey val="0"/>
          <c:showVal val="0"/>
          <c:showCatName val="0"/>
          <c:showSerName val="0"/>
          <c:showPercent val="0"/>
          <c:showBubbleSize val="0"/>
        </c:dLbls>
        <c:axId val="1833283392"/>
        <c:axId val="1833281472"/>
      </c:scatterChart>
      <c:valAx>
        <c:axId val="183328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US"/>
                  <a:t>experimental methane consumption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833281472"/>
        <c:crosses val="autoZero"/>
        <c:crossBetween val="midCat"/>
      </c:valAx>
      <c:valAx>
        <c:axId val="1833281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US"/>
                  <a:t>predicted methane consumption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833283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12"/>
            <c:spPr>
              <a:solidFill>
                <a:schemeClr val="bg1"/>
              </a:solidFill>
              <a:ln w="15875">
                <a:solidFill>
                  <a:schemeClr val="tx1"/>
                </a:solidFill>
              </a:ln>
              <a:effectLst/>
            </c:spPr>
          </c:marker>
          <c:trendline>
            <c:spPr>
              <a:ln w="31750" cap="rnd">
                <a:solidFill>
                  <a:schemeClr val="tx1"/>
                </a:solidFill>
                <a:prstDash val="sysDot"/>
              </a:ln>
              <a:effectLst/>
            </c:spPr>
            <c:trendlineType val="linear"/>
            <c:dispRSqr val="1"/>
            <c:dispEq val="1"/>
            <c:trendlineLbl>
              <c:layout>
                <c:manualLayout>
                  <c:x val="0.11106479953478869"/>
                  <c:y val="0.45012224823248448"/>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Aptos Display" panose="020B0004020202020204" pitchFamily="34" charset="0"/>
                      <a:ea typeface="+mn-ea"/>
                      <a:cs typeface="+mn-cs"/>
                    </a:defRPr>
                  </a:pPr>
                  <a:endParaRPr lang="en-US"/>
                </a:p>
              </c:txPr>
            </c:trendlineLbl>
          </c:trendline>
          <c:xVal>
            <c:numRef>
              <c:f>'ATP maintenance calculations  '!$C$93:$C$97</c:f>
              <c:numCache>
                <c:formatCode>General</c:formatCode>
                <c:ptCount val="5"/>
                <c:pt idx="0">
                  <c:v>0.67</c:v>
                </c:pt>
                <c:pt idx="1">
                  <c:v>0.67</c:v>
                </c:pt>
                <c:pt idx="2">
                  <c:v>0.47</c:v>
                </c:pt>
                <c:pt idx="3">
                  <c:v>0.47</c:v>
                </c:pt>
                <c:pt idx="4">
                  <c:v>0.67</c:v>
                </c:pt>
              </c:numCache>
            </c:numRef>
          </c:xVal>
          <c:yVal>
            <c:numRef>
              <c:f>'ATP maintenance calculations  '!$D$93:$D$97</c:f>
              <c:numCache>
                <c:formatCode>General</c:formatCode>
                <c:ptCount val="5"/>
                <c:pt idx="0">
                  <c:v>0.69</c:v>
                </c:pt>
                <c:pt idx="1">
                  <c:v>0.67</c:v>
                </c:pt>
                <c:pt idx="2">
                  <c:v>0.5</c:v>
                </c:pt>
                <c:pt idx="3">
                  <c:v>0.5</c:v>
                </c:pt>
                <c:pt idx="4">
                  <c:v>0.67</c:v>
                </c:pt>
              </c:numCache>
            </c:numRef>
          </c:yVal>
          <c:smooth val="0"/>
          <c:extLst>
            <c:ext xmlns:c16="http://schemas.microsoft.com/office/drawing/2014/chart" uri="{C3380CC4-5D6E-409C-BE32-E72D297353CC}">
              <c16:uniqueId val="{00000000-A6AB-4A81-8146-385A3AD2B712}"/>
            </c:ext>
          </c:extLst>
        </c:ser>
        <c:ser>
          <c:idx val="1"/>
          <c:order val="1"/>
          <c:spPr>
            <a:ln w="25400" cap="rnd">
              <a:noFill/>
              <a:round/>
            </a:ln>
            <a:effectLst/>
          </c:spPr>
          <c:marker>
            <c:symbol val="circle"/>
            <c:size val="12"/>
            <c:spPr>
              <a:pattFill prst="dkDnDiag">
                <a:fgClr>
                  <a:schemeClr val="tx1"/>
                </a:fgClr>
                <a:bgClr>
                  <a:schemeClr val="bg1"/>
                </a:bgClr>
              </a:pattFill>
              <a:ln w="15875">
                <a:solidFill>
                  <a:schemeClr val="tx1"/>
                </a:solidFill>
              </a:ln>
              <a:effectLst/>
            </c:spPr>
          </c:marker>
          <c:xVal>
            <c:numRef>
              <c:f>'ATP maintenance calculations  '!$C$97</c:f>
              <c:numCache>
                <c:formatCode>General</c:formatCode>
                <c:ptCount val="1"/>
                <c:pt idx="0">
                  <c:v>0.67</c:v>
                </c:pt>
              </c:numCache>
            </c:numRef>
          </c:xVal>
          <c:yVal>
            <c:numRef>
              <c:f>'ATP maintenance calculations  '!$D$97</c:f>
              <c:numCache>
                <c:formatCode>General</c:formatCode>
                <c:ptCount val="1"/>
                <c:pt idx="0">
                  <c:v>0.67</c:v>
                </c:pt>
              </c:numCache>
            </c:numRef>
          </c:yVal>
          <c:smooth val="0"/>
          <c:extLst>
            <c:ext xmlns:c16="http://schemas.microsoft.com/office/drawing/2014/chart" uri="{C3380CC4-5D6E-409C-BE32-E72D297353CC}">
              <c16:uniqueId val="{00000003-A6AB-4A81-8146-385A3AD2B712}"/>
            </c:ext>
          </c:extLst>
        </c:ser>
        <c:ser>
          <c:idx val="2"/>
          <c:order val="2"/>
          <c:spPr>
            <a:ln w="25400" cap="rnd">
              <a:noFill/>
              <a:round/>
            </a:ln>
            <a:effectLst/>
          </c:spPr>
          <c:marker>
            <c:symbol val="circle"/>
            <c:size val="12"/>
            <c:spPr>
              <a:solidFill>
                <a:schemeClr val="accent3"/>
              </a:solidFill>
              <a:ln w="15875">
                <a:solidFill>
                  <a:schemeClr val="tx1"/>
                </a:solidFill>
              </a:ln>
              <a:effectLst/>
            </c:spPr>
          </c:marker>
          <c:xVal>
            <c:numRef>
              <c:f>'ATP maintenance calculations  '!$C$93:$C$94</c:f>
              <c:numCache>
                <c:formatCode>General</c:formatCode>
                <c:ptCount val="2"/>
                <c:pt idx="0">
                  <c:v>0.67</c:v>
                </c:pt>
                <c:pt idx="1">
                  <c:v>0.67</c:v>
                </c:pt>
              </c:numCache>
            </c:numRef>
          </c:xVal>
          <c:yVal>
            <c:numRef>
              <c:f>'ATP maintenance calculations  '!$D$93:$D$94</c:f>
              <c:numCache>
                <c:formatCode>General</c:formatCode>
                <c:ptCount val="2"/>
                <c:pt idx="0">
                  <c:v>0.69</c:v>
                </c:pt>
                <c:pt idx="1">
                  <c:v>0.67</c:v>
                </c:pt>
              </c:numCache>
            </c:numRef>
          </c:yVal>
          <c:smooth val="0"/>
          <c:extLst>
            <c:ext xmlns:c16="http://schemas.microsoft.com/office/drawing/2014/chart" uri="{C3380CC4-5D6E-409C-BE32-E72D297353CC}">
              <c16:uniqueId val="{00000004-A6AB-4A81-8146-385A3AD2B712}"/>
            </c:ext>
          </c:extLst>
        </c:ser>
        <c:dLbls>
          <c:showLegendKey val="0"/>
          <c:showVal val="0"/>
          <c:showCatName val="0"/>
          <c:showSerName val="0"/>
          <c:showPercent val="0"/>
          <c:showBubbleSize val="0"/>
        </c:dLbls>
        <c:axId val="1833267072"/>
        <c:axId val="1833295392"/>
      </c:scatterChart>
      <c:valAx>
        <c:axId val="1833267072"/>
        <c:scaling>
          <c:orientation val="minMax"/>
          <c:max val="0.8"/>
          <c:min val="0"/>
        </c:scaling>
        <c:delete val="0"/>
        <c:axPos val="b"/>
        <c:title>
          <c:tx>
            <c:rich>
              <a:bodyPr rot="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r>
                  <a:rPr lang="en-US" i="1"/>
                  <a:t>in silico </a:t>
                </a:r>
                <a:r>
                  <a:rPr lang="en-US" i="0"/>
                  <a:t>yield (g </a:t>
                </a:r>
                <a:r>
                  <a:rPr lang="en-US"/>
                  <a:t>cdw (g methane)</a:t>
                </a:r>
                <a:r>
                  <a:rPr lang="en-US" baseline="30000"/>
                  <a:t>-1 </a:t>
                </a:r>
                <a:r>
                  <a:rPr lang="en-US"/>
                  <a:t>)</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endParaRPr lang="en-US"/>
            </a:p>
          </c:txPr>
        </c:title>
        <c:numFmt formatCode="General" sourceLinked="1"/>
        <c:majorTickMark val="in"/>
        <c:minorTickMark val="none"/>
        <c:tickLblPos val="nextTo"/>
        <c:spPr>
          <a:noFill/>
          <a:ln w="317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endParaRPr lang="en-US"/>
          </a:p>
        </c:txPr>
        <c:crossAx val="1833295392"/>
        <c:crosses val="autoZero"/>
        <c:crossBetween val="midCat"/>
      </c:valAx>
      <c:valAx>
        <c:axId val="183329539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r>
                  <a:rPr lang="en-US"/>
                  <a:t>experimental yield</a:t>
                </a:r>
              </a:p>
              <a:p>
                <a:pPr>
                  <a:defRPr/>
                </a:pPr>
                <a:r>
                  <a:rPr lang="en-US"/>
                  <a:t> ( g cdw  (g methane)</a:t>
                </a:r>
                <a:r>
                  <a:rPr lang="en-US" baseline="30000"/>
                  <a:t>-1 </a:t>
                </a:r>
                <a:r>
                  <a:rPr lang="en-US"/>
                  <a:t>)</a:t>
                </a:r>
              </a:p>
            </c:rich>
          </c:tx>
          <c:layout>
            <c:manualLayout>
              <c:xMode val="edge"/>
              <c:yMode val="edge"/>
              <c:x val="2.1290751829673986E-2"/>
              <c:y val="0.1792624120183175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endParaRPr lang="en-US"/>
            </a:p>
          </c:txPr>
        </c:title>
        <c:numFmt formatCode="General" sourceLinked="1"/>
        <c:majorTickMark val="in"/>
        <c:minorTickMark val="none"/>
        <c:tickLblPos val="nextTo"/>
        <c:spPr>
          <a:noFill/>
          <a:ln w="317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ptos Display" panose="020B0004020202020204" pitchFamily="34" charset="0"/>
                <a:ea typeface="+mn-ea"/>
                <a:cs typeface="+mn-cs"/>
              </a:defRPr>
            </a:pPr>
            <a:endParaRPr lang="en-US"/>
          </a:p>
        </c:txPr>
        <c:crossAx val="1833267072"/>
        <c:crosses val="autoZero"/>
        <c:crossBetween val="midCat"/>
        <c:majorUnit val="0.2"/>
      </c:valAx>
      <c:spPr>
        <a:noFill/>
        <a:ln w="3175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chemeClr val="tx1"/>
          </a:solidFill>
          <a:latin typeface="Aptos Display" panose="020B00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r>
              <a:rPr lang="en-US"/>
              <a:t>qmethane vs. mu, NGAM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backward val="0.13800000000000001"/>
            <c:dispRSqr val="1"/>
            <c:dispEq val="1"/>
            <c:trendlineLbl>
              <c:layout>
                <c:manualLayout>
                  <c:x val="-0.3559634733158355"/>
                  <c:y val="1.469696969696969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rendlineLbl>
          </c:trendline>
          <c:xVal>
            <c:numRef>
              <c:f>'ATP maintenance calculations  '!$E$18:$E$22</c:f>
              <c:numCache>
                <c:formatCode>0.00</c:formatCode>
                <c:ptCount val="5"/>
                <c:pt idx="0">
                  <c:v>0.24750000000000003</c:v>
                </c:pt>
                <c:pt idx="1">
                  <c:v>0.18000000000000002</c:v>
                </c:pt>
                <c:pt idx="2">
                  <c:v>0.20791666666666667</c:v>
                </c:pt>
                <c:pt idx="3">
                  <c:v>0.13999999999999999</c:v>
                </c:pt>
                <c:pt idx="4">
                  <c:v>0.20666666666666667</c:v>
                </c:pt>
              </c:numCache>
            </c:numRef>
          </c:xVal>
          <c:yVal>
            <c:numRef>
              <c:f>'ATP maintenance calculations  '!$G$18:$G$22</c:f>
              <c:numCache>
                <c:formatCode>0.00</c:formatCode>
                <c:ptCount val="5"/>
                <c:pt idx="0">
                  <c:v>535.625</c:v>
                </c:pt>
                <c:pt idx="1">
                  <c:v>407.5</c:v>
                </c:pt>
                <c:pt idx="2">
                  <c:v>451.25</c:v>
                </c:pt>
                <c:pt idx="3">
                  <c:v>334.375</c:v>
                </c:pt>
                <c:pt idx="4">
                  <c:v>479.375</c:v>
                </c:pt>
              </c:numCache>
            </c:numRef>
          </c:yVal>
          <c:smooth val="0"/>
          <c:extLst>
            <c:ext xmlns:c16="http://schemas.microsoft.com/office/drawing/2014/chart" uri="{C3380CC4-5D6E-409C-BE32-E72D297353CC}">
              <c16:uniqueId val="{00000000-F60A-4E06-8914-C3733E2F4613}"/>
            </c:ext>
          </c:extLst>
        </c:ser>
        <c:dLbls>
          <c:showLegendKey val="0"/>
          <c:showVal val="0"/>
          <c:showCatName val="0"/>
          <c:showSerName val="0"/>
          <c:showPercent val="0"/>
          <c:showBubbleSize val="0"/>
        </c:dLbls>
        <c:axId val="781004943"/>
        <c:axId val="781014543"/>
      </c:scatterChart>
      <c:valAx>
        <c:axId val="78100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US"/>
                  <a:t>specific growth rate (1/h)</a:t>
                </a:r>
              </a:p>
            </c:rich>
          </c:tx>
          <c:layout>
            <c:manualLayout>
              <c:xMode val="edge"/>
              <c:yMode val="edge"/>
              <c:x val="0.3051165791776028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781014543"/>
        <c:crosses val="autoZero"/>
        <c:crossBetween val="midCat"/>
      </c:valAx>
      <c:valAx>
        <c:axId val="781014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US"/>
                  <a:t>methane consumption (mmol/(Cmol 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781004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16</xdr:col>
      <xdr:colOff>238125</xdr:colOff>
      <xdr:row>3</xdr:row>
      <xdr:rowOff>100012</xdr:rowOff>
    </xdr:from>
    <xdr:to>
      <xdr:col>23</xdr:col>
      <xdr:colOff>542925</xdr:colOff>
      <xdr:row>17</xdr:row>
      <xdr:rowOff>176212</xdr:rowOff>
    </xdr:to>
    <xdr:graphicFrame macro="">
      <xdr:nvGraphicFramePr>
        <xdr:cNvPr id="2" name="Chart 1">
          <a:extLst>
            <a:ext uri="{FF2B5EF4-FFF2-40B4-BE49-F238E27FC236}">
              <a16:creationId xmlns:a16="http://schemas.microsoft.com/office/drawing/2014/main" id="{0F97AAC8-208B-46A4-A2B1-BDD32193C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228600</xdr:colOff>
      <xdr:row>18</xdr:row>
      <xdr:rowOff>71437</xdr:rowOff>
    </xdr:from>
    <xdr:to>
      <xdr:col>23</xdr:col>
      <xdr:colOff>533400</xdr:colOff>
      <xdr:row>32</xdr:row>
      <xdr:rowOff>147637</xdr:rowOff>
    </xdr:to>
    <xdr:graphicFrame macro="">
      <xdr:nvGraphicFramePr>
        <xdr:cNvPr id="3" name="Chart 2">
          <a:extLst>
            <a:ext uri="{FF2B5EF4-FFF2-40B4-BE49-F238E27FC236}">
              <a16:creationId xmlns:a16="http://schemas.microsoft.com/office/drawing/2014/main" id="{02C03737-8422-427D-94E0-DFDC4179B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44</xdr:col>
      <xdr:colOff>61912</xdr:colOff>
      <xdr:row>1</xdr:row>
      <xdr:rowOff>185737</xdr:rowOff>
    </xdr:from>
    <xdr:to>
      <xdr:col>51</xdr:col>
      <xdr:colOff>366712</xdr:colOff>
      <xdr:row>16</xdr:row>
      <xdr:rowOff>71437</xdr:rowOff>
    </xdr:to>
    <xdr:graphicFrame macro="">
      <xdr:nvGraphicFramePr>
        <xdr:cNvPr id="2" name="Chart 1">
          <a:extLst>
            <a:ext uri="{FF2B5EF4-FFF2-40B4-BE49-F238E27FC236}">
              <a16:creationId xmlns:a16="http://schemas.microsoft.com/office/drawing/2014/main" id="{BD4006D0-3A70-4F9D-8F18-070F31B88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41</xdr:col>
      <xdr:colOff>604837</xdr:colOff>
      <xdr:row>2</xdr:row>
      <xdr:rowOff>4761</xdr:rowOff>
    </xdr:from>
    <xdr:to>
      <xdr:col>51</xdr:col>
      <xdr:colOff>85725</xdr:colOff>
      <xdr:row>22</xdr:row>
      <xdr:rowOff>104774</xdr:rowOff>
    </xdr:to>
    <xdr:graphicFrame macro="">
      <xdr:nvGraphicFramePr>
        <xdr:cNvPr id="2" name="Chart 1">
          <a:extLst>
            <a:ext uri="{FF2B5EF4-FFF2-40B4-BE49-F238E27FC236}">
              <a16:creationId xmlns:a16="http://schemas.microsoft.com/office/drawing/2014/main" id="{282D99C1-11DF-4E21-A8D9-12C0CC953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42</xdr:col>
      <xdr:colOff>423862</xdr:colOff>
      <xdr:row>1</xdr:row>
      <xdr:rowOff>166687</xdr:rowOff>
    </xdr:from>
    <xdr:to>
      <xdr:col>51</xdr:col>
      <xdr:colOff>304800</xdr:colOff>
      <xdr:row>20</xdr:row>
      <xdr:rowOff>28575</xdr:rowOff>
    </xdr:to>
    <xdr:graphicFrame macro="">
      <xdr:nvGraphicFramePr>
        <xdr:cNvPr id="2" name="Chart 1">
          <a:extLst>
            <a:ext uri="{FF2B5EF4-FFF2-40B4-BE49-F238E27FC236}">
              <a16:creationId xmlns:a16="http://schemas.microsoft.com/office/drawing/2014/main" id="{DC091A20-298F-424C-8943-5DA05FB86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37</xdr:col>
      <xdr:colOff>38100</xdr:colOff>
      <xdr:row>21</xdr:row>
      <xdr:rowOff>66675</xdr:rowOff>
    </xdr:from>
    <xdr:to>
      <xdr:col>43</xdr:col>
      <xdr:colOff>169333</xdr:colOff>
      <xdr:row>35</xdr:row>
      <xdr:rowOff>142875</xdr:rowOff>
    </xdr:to>
    <xdr:graphicFrame macro="">
      <xdr:nvGraphicFramePr>
        <xdr:cNvPr id="2" name="Chart 1">
          <a:extLst>
            <a:ext uri="{FF2B5EF4-FFF2-40B4-BE49-F238E27FC236}">
              <a16:creationId xmlns:a16="http://schemas.microsoft.com/office/drawing/2014/main" id="{C9BC7B1A-74D9-4411-BBE7-5189DA1E5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585258</xdr:colOff>
      <xdr:row>21</xdr:row>
      <xdr:rowOff>47625</xdr:rowOff>
    </xdr:from>
    <xdr:to>
      <xdr:col>35</xdr:col>
      <xdr:colOff>190500</xdr:colOff>
      <xdr:row>35</xdr:row>
      <xdr:rowOff>123825</xdr:rowOff>
    </xdr:to>
    <xdr:graphicFrame macro="">
      <xdr:nvGraphicFramePr>
        <xdr:cNvPr id="3" name="Chart 2">
          <a:extLst>
            <a:ext uri="{FF2B5EF4-FFF2-40B4-BE49-F238E27FC236}">
              <a16:creationId xmlns:a16="http://schemas.microsoft.com/office/drawing/2014/main" id="{47F4DE4B-05C6-4F25-851D-1D46A3D0E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111126</xdr:colOff>
      <xdr:row>36</xdr:row>
      <xdr:rowOff>94191</xdr:rowOff>
    </xdr:from>
    <xdr:to>
      <xdr:col>39</xdr:col>
      <xdr:colOff>402168</xdr:colOff>
      <xdr:row>50</xdr:row>
      <xdr:rowOff>170391</xdr:rowOff>
    </xdr:to>
    <xdr:graphicFrame macro="">
      <xdr:nvGraphicFramePr>
        <xdr:cNvPr id="7" name="Chart 6">
          <a:extLst>
            <a:ext uri="{FF2B5EF4-FFF2-40B4-BE49-F238E27FC236}">
              <a16:creationId xmlns:a16="http://schemas.microsoft.com/office/drawing/2014/main" id="{20DF68B5-367B-496E-94EC-92FAA85E5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21</xdr:col>
      <xdr:colOff>109537</xdr:colOff>
      <xdr:row>148</xdr:row>
      <xdr:rowOff>109537</xdr:rowOff>
    </xdr:from>
    <xdr:to>
      <xdr:col>28</xdr:col>
      <xdr:colOff>414337</xdr:colOff>
      <xdr:row>162</xdr:row>
      <xdr:rowOff>185737</xdr:rowOff>
    </xdr:to>
    <xdr:graphicFrame macro="">
      <xdr:nvGraphicFramePr>
        <xdr:cNvPr id="2" name="Chart 1">
          <a:extLst>
            <a:ext uri="{FF2B5EF4-FFF2-40B4-BE49-F238E27FC236}">
              <a16:creationId xmlns:a16="http://schemas.microsoft.com/office/drawing/2014/main" id="{89838E2A-72C2-477A-A524-CB3D7B701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40</xdr:col>
      <xdr:colOff>9525</xdr:colOff>
      <xdr:row>1</xdr:row>
      <xdr:rowOff>23812</xdr:rowOff>
    </xdr:from>
    <xdr:to>
      <xdr:col>47</xdr:col>
      <xdr:colOff>314325</xdr:colOff>
      <xdr:row>19</xdr:row>
      <xdr:rowOff>114300</xdr:rowOff>
    </xdr:to>
    <xdr:graphicFrame macro="">
      <xdr:nvGraphicFramePr>
        <xdr:cNvPr id="2" name="Chart 1">
          <a:extLst>
            <a:ext uri="{FF2B5EF4-FFF2-40B4-BE49-F238E27FC236}">
              <a16:creationId xmlns:a16="http://schemas.microsoft.com/office/drawing/2014/main" id="{88F105FD-C4B2-4BBD-ADEC-8E93EAD4F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71437</xdr:colOff>
      <xdr:row>133</xdr:row>
      <xdr:rowOff>4762</xdr:rowOff>
    </xdr:from>
    <xdr:to>
      <xdr:col>38</xdr:col>
      <xdr:colOff>376237</xdr:colOff>
      <xdr:row>147</xdr:row>
      <xdr:rowOff>80962</xdr:rowOff>
    </xdr:to>
    <xdr:graphicFrame macro="">
      <xdr:nvGraphicFramePr>
        <xdr:cNvPr id="3" name="Chart 2">
          <a:extLst>
            <a:ext uri="{FF2B5EF4-FFF2-40B4-BE49-F238E27FC236}">
              <a16:creationId xmlns:a16="http://schemas.microsoft.com/office/drawing/2014/main" id="{A409325F-6CB8-40BC-8A99-5F33B2800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33</xdr:col>
      <xdr:colOff>109537</xdr:colOff>
      <xdr:row>1</xdr:row>
      <xdr:rowOff>80962</xdr:rowOff>
    </xdr:from>
    <xdr:to>
      <xdr:col>40</xdr:col>
      <xdr:colOff>414337</xdr:colOff>
      <xdr:row>15</xdr:row>
      <xdr:rowOff>157162</xdr:rowOff>
    </xdr:to>
    <xdr:graphicFrame macro="">
      <xdr:nvGraphicFramePr>
        <xdr:cNvPr id="2" name="Chart 1">
          <a:extLst>
            <a:ext uri="{FF2B5EF4-FFF2-40B4-BE49-F238E27FC236}">
              <a16:creationId xmlns:a16="http://schemas.microsoft.com/office/drawing/2014/main" id="{17F50293-43E2-45BF-8393-6E3ED7AE6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90487</xdr:colOff>
      <xdr:row>16</xdr:row>
      <xdr:rowOff>61912</xdr:rowOff>
    </xdr:from>
    <xdr:to>
      <xdr:col>40</xdr:col>
      <xdr:colOff>395287</xdr:colOff>
      <xdr:row>30</xdr:row>
      <xdr:rowOff>138112</xdr:rowOff>
    </xdr:to>
    <xdr:graphicFrame macro="">
      <xdr:nvGraphicFramePr>
        <xdr:cNvPr id="3" name="Chart 2">
          <a:extLst>
            <a:ext uri="{FF2B5EF4-FFF2-40B4-BE49-F238E27FC236}">
              <a16:creationId xmlns:a16="http://schemas.microsoft.com/office/drawing/2014/main" id="{E0329162-116B-430D-B6C4-B1665668E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238125</xdr:colOff>
      <xdr:row>37</xdr:row>
      <xdr:rowOff>28576</xdr:rowOff>
    </xdr:from>
    <xdr:to>
      <xdr:col>6</xdr:col>
      <xdr:colOff>2309811</xdr:colOff>
      <xdr:row>50</xdr:row>
      <xdr:rowOff>85726</xdr:rowOff>
    </xdr:to>
    <xdr:graphicFrame macro="">
      <xdr:nvGraphicFramePr>
        <xdr:cNvPr id="4" name="Chart 3">
          <a:extLst>
            <a:ext uri="{FF2B5EF4-FFF2-40B4-BE49-F238E27FC236}">
              <a16:creationId xmlns:a16="http://schemas.microsoft.com/office/drawing/2014/main" id="{2B7B799E-190E-4E0E-CD4E-33B380407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228599</xdr:colOff>
      <xdr:row>51</xdr:row>
      <xdr:rowOff>76200</xdr:rowOff>
    </xdr:from>
    <xdr:to>
      <xdr:col>8</xdr:col>
      <xdr:colOff>1871661</xdr:colOff>
      <xdr:row>64</xdr:row>
      <xdr:rowOff>152399</xdr:rowOff>
    </xdr:to>
    <xdr:graphicFrame macro="">
      <xdr:nvGraphicFramePr>
        <xdr:cNvPr id="5" name="Chart 4">
          <a:extLst>
            <a:ext uri="{FF2B5EF4-FFF2-40B4-BE49-F238E27FC236}">
              <a16:creationId xmlns:a16="http://schemas.microsoft.com/office/drawing/2014/main" id="{AFCF23F6-0B69-3394-6612-714FD6DB6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614362</xdr:colOff>
      <xdr:row>62</xdr:row>
      <xdr:rowOff>133350</xdr:rowOff>
    </xdr:from>
    <xdr:to>
      <xdr:col>6</xdr:col>
      <xdr:colOff>947737</xdr:colOff>
      <xdr:row>77</xdr:row>
      <xdr:rowOff>19050</xdr:rowOff>
    </xdr:to>
    <xdr:graphicFrame macro="">
      <xdr:nvGraphicFramePr>
        <xdr:cNvPr id="2" name="Chart 1">
          <a:extLst>
            <a:ext uri="{FF2B5EF4-FFF2-40B4-BE49-F238E27FC236}">
              <a16:creationId xmlns:a16="http://schemas.microsoft.com/office/drawing/2014/main" id="{1EFEE30A-E811-1259-E1F7-A4F1D2E20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542924</xdr:colOff>
      <xdr:row>100</xdr:row>
      <xdr:rowOff>19049</xdr:rowOff>
    </xdr:from>
    <xdr:to>
      <xdr:col>3</xdr:col>
      <xdr:colOff>371474</xdr:colOff>
      <xdr:row>116</xdr:row>
      <xdr:rowOff>142874</xdr:rowOff>
    </xdr:to>
    <xdr:graphicFrame macro="">
      <xdr:nvGraphicFramePr>
        <xdr:cNvPr id="6" name="Chart 5">
          <a:extLst>
            <a:ext uri="{FF2B5EF4-FFF2-40B4-BE49-F238E27FC236}">
              <a16:creationId xmlns:a16="http://schemas.microsoft.com/office/drawing/2014/main" id="{F7760861-0E8F-110D-4FFE-C99335D3F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1847850</xdr:colOff>
      <xdr:row>23</xdr:row>
      <xdr:rowOff>133350</xdr:rowOff>
    </xdr:from>
    <xdr:to>
      <xdr:col>6</xdr:col>
      <xdr:colOff>314325</xdr:colOff>
      <xdr:row>36</xdr:row>
      <xdr:rowOff>171450</xdr:rowOff>
    </xdr:to>
    <xdr:graphicFrame macro="">
      <xdr:nvGraphicFramePr>
        <xdr:cNvPr id="7" name="Chart 6">
          <a:extLst>
            <a:ext uri="{FF2B5EF4-FFF2-40B4-BE49-F238E27FC236}">
              <a16:creationId xmlns:a16="http://schemas.microsoft.com/office/drawing/2014/main" id="{BFF29C81-88EE-7B65-802A-B148BCE1F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q87z649\Documents\DATA\Arnold,%20Adrienne\book%20chapter\biomass%20term%20and%20workbook%20book%20chapter%202025.xlsx" TargetMode="External"/><Relationship Id="rId1" Type="http://schemas.openxmlformats.org/officeDocument/2006/relationships/externalLinkPath" Target="/Users/q87z649/Documents/DATA/Arnold,%20Adrienne/book%20chapter/biomass%20term%20and%20workbook%20book%20chapter%20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q87z649\Documents\DATA\Arnold,%20Adrienne\book%20chapter\26_Methanotroph_ATP_summary.xlsx" TargetMode="External"/><Relationship Id="rId1" Type="http://schemas.openxmlformats.org/officeDocument/2006/relationships/externalLinkPath" Target="/Users/q87z649/Documents/DATA/Arnold,%20Adrienne/book%20chapter/26_Methanotroph_ATP_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OB3b specific for type II"/>
      <sheetName val="biomass term alpha type II"/>
      <sheetName val="atp main calculations type II"/>
      <sheetName val="type II biomass w atp main"/>
      <sheetName val="OB3b specific for type I"/>
      <sheetName val="biomass term gamma type I"/>
      <sheetName val="original workbook file"/>
      <sheetName val="workbook file atp maintenance"/>
    </sheetNames>
    <sheetDataSet>
      <sheetData sheetId="0" refreshError="1"/>
      <sheetData sheetId="1">
        <row r="23">
          <cell r="AA23" t="str">
            <v>glc-6-p</v>
          </cell>
          <cell r="AB23" t="str">
            <v>rib-5-p</v>
          </cell>
          <cell r="AC23" t="str">
            <v>ery-4-p</v>
          </cell>
          <cell r="AD23" t="str">
            <v>pep</v>
          </cell>
          <cell r="AE23" t="str">
            <v>pyr</v>
          </cell>
          <cell r="AF23" t="str">
            <v>ace-coa</v>
          </cell>
          <cell r="AG23" t="str">
            <v>akg</v>
          </cell>
          <cell r="AH23" t="str">
            <v>oxalo</v>
          </cell>
          <cell r="AI23" t="str">
            <v>atp</v>
          </cell>
          <cell r="AJ23" t="str">
            <v>nadh</v>
          </cell>
          <cell r="AK23" t="str">
            <v>nadph</v>
          </cell>
          <cell r="AL23" t="str">
            <v>N_GLU</v>
          </cell>
          <cell r="AM23" t="str">
            <v>N_GLN</v>
          </cell>
          <cell r="AN23" t="str">
            <v>co2</v>
          </cell>
          <cell r="AO23" t="str">
            <v>polyhydroxybutyrate</v>
          </cell>
          <cell r="AP23" t="str">
            <v>L-ornithine</v>
          </cell>
        </row>
        <row r="37">
          <cell r="AU37">
            <v>0.33525017878437036</v>
          </cell>
          <cell r="AV37">
            <v>2.7630038957118814</v>
          </cell>
          <cell r="AW37">
            <v>1.5116668292187683</v>
          </cell>
          <cell r="AX37">
            <v>8.1917331996878584</v>
          </cell>
          <cell r="AY37">
            <v>10.783570011780441</v>
          </cell>
          <cell r="AZ37">
            <v>10.98217803623697</v>
          </cell>
          <cell r="BA37">
            <v>4.0076571746961296</v>
          </cell>
          <cell r="BB37">
            <v>5.8795500917648047</v>
          </cell>
          <cell r="BC37">
            <v>45.955146001733027</v>
          </cell>
          <cell r="BD37">
            <v>-12.064074334548579</v>
          </cell>
          <cell r="BF37">
            <v>24.930427166315436</v>
          </cell>
          <cell r="BG37">
            <v>9.8487519155912651</v>
          </cell>
          <cell r="BH37">
            <v>-0.89455375206156573</v>
          </cell>
          <cell r="BI37">
            <v>0.58318242588658697</v>
          </cell>
          <cell r="BJ37">
            <v>0.13172732124854347</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omass TII DoR"/>
      <sheetName val="biomass TII spdcMMO N2"/>
      <sheetName val="biomass TII DoR N2"/>
      <sheetName val="ATP TI nitrate"/>
      <sheetName val="ATP TII nitrate"/>
      <sheetName val="ATP TI N2"/>
      <sheetName val="ATP TII N2"/>
    </sheetNames>
    <sheetDataSet>
      <sheetData sheetId="0">
        <row r="128">
          <cell r="B128">
            <v>0.1</v>
          </cell>
        </row>
        <row r="134">
          <cell r="B134">
            <v>-9.2226283903484578</v>
          </cell>
          <cell r="C134">
            <v>-9.2608061135129986</v>
          </cell>
          <cell r="D134">
            <v>-9.2829019490912774</v>
          </cell>
          <cell r="E134">
            <v>-9.2973094897167883</v>
          </cell>
          <cell r="F134">
            <v>-9.3107813498887868</v>
          </cell>
          <cell r="G134">
            <v>-9.3182870456451816</v>
          </cell>
          <cell r="I134">
            <v>-9.2165853176295762</v>
          </cell>
          <cell r="J134">
            <v>-9.2535084526313849</v>
          </cell>
          <cell r="K134">
            <v>-9.2748251461143116</v>
          </cell>
          <cell r="L134">
            <v>-9.2887037703748518</v>
          </cell>
          <cell r="M134">
            <v>-9.3018085334218981</v>
          </cell>
          <cell r="N134">
            <v>-9.309028653442402</v>
          </cell>
          <cell r="P134">
            <v>-9.210691174658681</v>
          </cell>
          <cell r="Q134">
            <v>-9.2464127284037616</v>
          </cell>
          <cell r="R134">
            <v>-9.2669859191087731</v>
          </cell>
          <cell r="S134">
            <v>-9.2803609375276768</v>
          </cell>
          <cell r="T134">
            <v>-9.2931140289848617</v>
          </cell>
          <cell r="U134">
            <v>-9.3000627953656636</v>
          </cell>
          <cell r="W134">
            <v>-9.2049409076054065</v>
          </cell>
          <cell r="X134">
            <v>-9.2395111343796863</v>
          </cell>
          <cell r="Y134">
            <v>-9.2593744456548652</v>
          </cell>
          <cell r="Z134">
            <v>-9.2722696661294801</v>
          </cell>
          <cell r="AA134">
            <v>-9.2846856476457269</v>
          </cell>
          <cell r="AB134">
            <v>-9.2913764014672129</v>
          </cell>
        </row>
        <row r="146">
          <cell r="B146">
            <v>0.59781433247711424</v>
          </cell>
          <cell r="C146">
            <v>0.65746278163772387</v>
          </cell>
          <cell r="D146">
            <v>0.69198506887501787</v>
          </cell>
          <cell r="E146">
            <v>0.71449524976836998</v>
          </cell>
          <cell r="F146">
            <v>0.72383356378964747</v>
          </cell>
          <cell r="G146">
            <v>0.73537368641633283</v>
          </cell>
          <cell r="I146">
            <v>0.58837270301449329</v>
          </cell>
          <cell r="J146">
            <v>0.64606099761272606</v>
          </cell>
          <cell r="K146">
            <v>0.6793659619242074</v>
          </cell>
          <cell r="L146">
            <v>0.70104976978399491</v>
          </cell>
          <cell r="M146">
            <v>0.71003772051337466</v>
          </cell>
          <cell r="N146">
            <v>0.72113876605535354</v>
          </cell>
          <cell r="P146">
            <v>0.57916375973022594</v>
          </cell>
          <cell r="Q146">
            <v>0.63497471716522536</v>
          </cell>
          <cell r="R146">
            <v>0.66711804102323979</v>
          </cell>
          <cell r="S146">
            <v>0.68801502072901632</v>
          </cell>
          <cell r="T146">
            <v>0.6966697862620872</v>
          </cell>
          <cell r="U146">
            <v>0.70735362141092317</v>
          </cell>
          <cell r="W146">
            <v>0.57017960657607147</v>
          </cell>
          <cell r="X146">
            <v>0.62419174358406171</v>
          </cell>
          <cell r="Y146">
            <v>0.65522595973290254</v>
          </cell>
          <cell r="Z146">
            <v>0.67537330847813137</v>
          </cell>
          <cell r="AA146">
            <v>0.68371102036550957</v>
          </cell>
          <cell r="AB146">
            <v>0.69399815723741332</v>
          </cell>
        </row>
      </sheetData>
      <sheetData sheetId="1">
        <row r="128">
          <cell r="B128">
            <v>0.1</v>
          </cell>
        </row>
      </sheetData>
      <sheetData sheetId="2">
        <row r="128">
          <cell r="B128">
            <v>0.1</v>
          </cell>
        </row>
      </sheetData>
      <sheetData sheetId="3">
        <row r="128">
          <cell r="A128">
            <v>3.5000000000000022</v>
          </cell>
          <cell r="B128">
            <v>3.099999999999997</v>
          </cell>
          <cell r="C128">
            <v>2.7000000000000051</v>
          </cell>
          <cell r="D128">
            <v>2.3000000000000025</v>
          </cell>
          <cell r="E128">
            <v>1.900000000000001</v>
          </cell>
          <cell r="F128">
            <v>1.4999999999999982</v>
          </cell>
          <cell r="G128">
            <v>1.1000000000000001</v>
          </cell>
          <cell r="H128">
            <v>0.7000000000000004</v>
          </cell>
          <cell r="I128">
            <v>0.25000000000000022</v>
          </cell>
          <cell r="W128">
            <v>4.9999999999999982</v>
          </cell>
          <cell r="X128">
            <v>4.5750000000000028</v>
          </cell>
          <cell r="Y128">
            <v>4.1500000000000048</v>
          </cell>
          <cell r="Z128">
            <v>3.7250000000000005</v>
          </cell>
          <cell r="AA128">
            <v>3.3000000000000016</v>
          </cell>
          <cell r="AB128">
            <v>2.8749999999999991</v>
          </cell>
          <cell r="AC128">
            <v>2.4499999999999997</v>
          </cell>
          <cell r="AD128">
            <v>2.0250000000000017</v>
          </cell>
          <cell r="AE128">
            <v>1.5996727272727271</v>
          </cell>
          <cell r="AF128">
            <v>1.1622636363636363</v>
          </cell>
        </row>
        <row r="131">
          <cell r="A131">
            <v>-8.84</v>
          </cell>
          <cell r="B131">
            <v>-8.9066666666666681</v>
          </cell>
          <cell r="C131">
            <v>-8.9733333333333327</v>
          </cell>
          <cell r="D131">
            <v>-9.0399999999999991</v>
          </cell>
          <cell r="E131">
            <v>-9.1066666666666656</v>
          </cell>
          <cell r="F131">
            <v>-9.1733333333333356</v>
          </cell>
          <cell r="G131">
            <v>-9.24</v>
          </cell>
          <cell r="H131">
            <v>-9.3066666666666666</v>
          </cell>
          <cell r="I131">
            <v>18.059999999999967</v>
          </cell>
          <cell r="W131">
            <v>-8.8400000000000283</v>
          </cell>
          <cell r="X131">
            <v>4.8100000000004624</v>
          </cell>
          <cell r="Y131">
            <v>18.460000000000697</v>
          </cell>
          <cell r="Z131">
            <v>32.110000000000198</v>
          </cell>
          <cell r="AA131">
            <v>45.760000000000147</v>
          </cell>
          <cell r="AB131">
            <v>59.409999999999947</v>
          </cell>
          <cell r="AC131">
            <v>73.05999999999996</v>
          </cell>
          <cell r="AD131">
            <v>86.71000000000025</v>
          </cell>
          <cell r="AE131">
            <v>100</v>
          </cell>
          <cell r="AF131">
            <v>100</v>
          </cell>
        </row>
      </sheetData>
      <sheetData sheetId="4">
        <row r="134">
          <cell r="A134">
            <v>4.4999999999999947</v>
          </cell>
        </row>
      </sheetData>
      <sheetData sheetId="5" refreshError="1"/>
      <sheetData sheetId="6">
        <row r="134">
          <cell r="A134">
            <v>4.5000000000000009</v>
          </cell>
        </row>
      </sheetData>
    </sheetDataSet>
  </externalBook>
</externalLink>
</file>

<file path=xl/persons/person.xml><?xml version="1.0" encoding="utf-8"?>
<personList xmlns="http://schemas.microsoft.com/office/spreadsheetml/2018/threadedcomments" xmlns:x="http://schemas.openxmlformats.org/spreadsheetml/2006/main">
  <person displayName="Arnold, Adrienne" id="{2FF93DD0-B1A6-449B-A1B2-F4E3B694FDAC}" userId="S::adriennearnold@msu.montana.edu::69ae79d1-5cba-4c9b-9668-98f8b424d85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6" dT="2021-03-19T18:24:37.58" personId="{2FF93DD0-B1A6-449B-A1B2-F4E3B694FDAC}" id="{F897A07F-CBA3-4763-B009-E44C10B8C8CB}">
    <text>assumes 1 mol biomass = 24 g</text>
  </threadedComment>
  <threadedComment ref="BM6" dT="2021-09-30T19:40:14.62" personId="{2FF93DD0-B1A6-449B-A1B2-F4E3B694FDAC}" id="{66C7BA17-B999-4F09-B4BB-BD2CF26A6A9B}">
    <text>umol/g</text>
  </threadedComment>
  <threadedComment ref="D31" dT="2021-08-09T20:38:37.07" personId="{2FF93DD0-B1A6-449B-A1B2-F4E3B694FDAC}" id="{9E045A0F-C66D-499D-AFDB-30C4CC1290CB}">
    <text>((20 grams RNA)/ (100 g biomass)) * (24 g biomass / 1 mol biomass) * (1 mol RNA / 495 grams RNA) * (.24 mol ATP / mol RNA)</text>
  </threadedComment>
  <threadedComment ref="G31" dT="2021-08-09T20:31:38.27" personId="{2FF93DD0-B1A6-449B-A1B2-F4E3B694FDAC}" id="{934E7923-2B6A-4E2A-B097-16580AA9A888}">
    <text>from counter of 16S rDNA</text>
  </threadedComment>
  <threadedComment ref="C35" dT="2021-08-09T20:09:27.43" personId="{2FF93DD0-B1A6-449B-A1B2-F4E3B694FDAC}" id="{67B42825-1FB0-4C60-B018-E9801FB409B6}">
    <text>DNA and RNA estimated at 23%. Use the ratio of DNA to RNA from E coli w 40 min doubling time from Neidhardt to estimate the ratio in OB3b</text>
  </threadedComment>
  <threadedComment ref="C35" dT="2021-08-09T20:10:29.98" personId="{2FF93DD0-B1A6-449B-A1B2-F4E3B694FDAC}" id="{9D84D38F-13AF-4FB6-ADEE-8177F43E7CCC}" parentId="{67B42825-1FB0-4C60-B018-E9801FB409B6}">
    <text>percent sum value of RNA</text>
  </threadedComment>
  <threadedComment ref="C42" dT="2021-08-09T20:09:34.93" personId="{2FF93DD0-B1A6-449B-A1B2-F4E3B694FDAC}" id="{A7937295-AFF4-42AF-B00D-63B229DC976C}">
    <text>DNA and RNA estimated at 23%. Use the ratio of DNA to RNA from E coli w 40 min doubling time from Neidhardt to estimate the ratio in OB3b</text>
  </threadedComment>
  <threadedComment ref="C42" dT="2021-08-09T20:10:42.52" personId="{2FF93DD0-B1A6-449B-A1B2-F4E3B694FDAC}" id="{8D3F5416-D485-4B33-A93F-5B37F4D50057}" parentId="{A7937295-AFF4-42AF-B00D-63B229DC976C}">
    <text>percent sum value of DNA</text>
  </threadedComment>
  <threadedComment ref="D45" dT="2021-08-11T22:11:51.11" personId="{2FF93DD0-B1A6-449B-A1B2-F4E3B694FDAC}" id="{4C7CE872-7E0A-4AC6-857C-BE62B8CFCD78}">
    <text>(fraction of lipid that is glycerol phosphate in E coli)*(fraction of biomass that is lipid in OB3b)*(24 g biomass / 1 mol biomass)*(1 mol glycerol P / 170 g glycerol P)
((2.19 g glycerol P/10.2 total lipid fraction)*(9.2 grams lipid / g OB3b biomass)*(24 g biomass / 1 mol biomass)*(1 mol glycerol P / 170.06 g glycerol P))</text>
  </threadedComment>
  <threadedComment ref="C48" dT="2021-08-09T21:01:23.97" personId="{2FF93DD0-B1A6-449B-A1B2-F4E3B694FDAC}" id="{B8E504DB-A304-453F-8682-117A518BC322}">
    <text>estimated in Yang et al</text>
  </threadedComment>
  <threadedComment ref="B50" dT="2021-03-19T18:25:18.89" personId="{2FF93DD0-B1A6-449B-A1B2-F4E3B694FDAC}" id="{C56DFFAB-1866-47B8-BA92-72EE98B7A8CD}">
    <text>assume same ratios as in E coli; overall mass percent w/w from Yang et al 2013</text>
  </threadedComment>
  <threadedComment ref="D51" dT="2021-08-11T22:12:54.74" personId="{2FF93DD0-B1A6-449B-A1B2-F4E3B694FDAC}" id="{C6027214-A0EE-4E2C-8690-634E971DA556}">
    <text>(fraction of LPS that is UDP-glucose in E coli)*(fraction of biomass in OB3b that is LPS)*(24 g biomass / mol biomass)*(1 mol UDP glucose / 564 g UDP glucose)</text>
  </threadedComment>
  <threadedComment ref="C58" dT="2021-08-09T20:58:39.40" personId="{2FF93DD0-B1A6-449B-A1B2-F4E3B694FDAC}" id="{36C77BE9-A731-44BC-8A3D-FEE7E1940754}">
    <text>LPS + PG is estimated at 7% in Yang et al 2013. As above, use the ratio of the two from Neidhardt to calculate the relative proportions of each</text>
  </threadedComment>
  <threadedComment ref="D61" dT="2021-08-11T22:12:54.74" personId="{2FF93DD0-B1A6-449B-A1B2-F4E3B694FDAC}" id="{A7D7BABE-EA24-44C2-A53C-181AFDF4C70F}">
    <text>(fraction of peptidoglycan that is glucosamine in E coli)*(fraction of biomass in OB3b that is peptidoglycan)*(24 g biomass / mol biomass)*(1 mol glucosamine / 605.34 g glucosamine)</text>
  </threadedComment>
  <threadedComment ref="C66" dT="2021-08-09T20:58:50.82" personId="{2FF93DD0-B1A6-449B-A1B2-F4E3B694FDAC}" id="{95D62E62-7D24-409A-A3BE-8D0F19CC44FE}">
    <text>LPS + PG is estimated at 7% in Yang et al 2013. As above, use the ratio of the two from Neidhardt to calculate the relative proportions of each</text>
  </threadedComment>
  <threadedComment ref="C70" dT="2021-08-09T20:57:14.28" personId="{2FF93DD0-B1A6-449B-A1B2-F4E3B694FDAC}" id="{3F659907-2122-4184-B236-64A68D5157DD}">
    <text>estimated, citation in Yang et al 2013</text>
  </threadedComment>
  <threadedComment ref="C74" dT="2021-08-09T20:56:48.01" personId="{2FF93DD0-B1A6-449B-A1B2-F4E3B694FDAC}" id="{E842E136-17D1-47F6-BD44-0EFAC0EA2F18}">
    <text>not determined by Yang et al. Assume .7% based on Neidhardt</text>
  </threadedComment>
  <threadedComment ref="C78" dT="2021-08-09T20:57:03.40" personId="{2FF93DD0-B1A6-449B-A1B2-F4E3B694FDAC}" id="{8605E2EF-D128-42FE-8AF9-AF74ABB0F644}">
    <text>not determined by Yang et al. Assume .4% based on Neidhardt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metacyc.org/META/NEW-IMAGE?type=REACTION&amp;object=PHOSPHOGLUCMUT-RXN" TargetMode="External"/><Relationship Id="rId21" Type="http://schemas.openxmlformats.org/officeDocument/2006/relationships/hyperlink" Target="https://metacyc.org/META/NEW-IMAGE?type=REACTION&amp;object=SERINE--GLYOXYLATE-AMINOTRANSFERASE-RXN" TargetMode="External"/><Relationship Id="rId42" Type="http://schemas.openxmlformats.org/officeDocument/2006/relationships/hyperlink" Target="https://metacyc.org/META/NEW-IMAGE?type=REACTION&amp;object=RXN-16391" TargetMode="External"/><Relationship Id="rId63" Type="http://schemas.openxmlformats.org/officeDocument/2006/relationships/hyperlink" Target="https://biocyc.org/MOB3B/NEW-IMAGE?type=REACTION&amp;object=FORMATETHFLIG-RXN" TargetMode="External"/><Relationship Id="rId84" Type="http://schemas.openxmlformats.org/officeDocument/2006/relationships/hyperlink" Target="https://metacyc.org/META/NEW-IMAGE?type=REACTION&amp;object=1.1.1.39-RXN" TargetMode="External"/><Relationship Id="rId138" Type="http://schemas.openxmlformats.org/officeDocument/2006/relationships/hyperlink" Target="https://metacyc.org/META/NEW-IMAGE?type=REACTION&amp;object=RXN0-5224" TargetMode="External"/><Relationship Id="rId159" Type="http://schemas.openxmlformats.org/officeDocument/2006/relationships/hyperlink" Target="https://metacyc.org/META/NEW-IMAGE?type=REACTION&amp;object=FRUCTOSE-6-PHOSPHATE-PHOSPHOKETOLASE-RXN" TargetMode="External"/><Relationship Id="rId107" Type="http://schemas.openxmlformats.org/officeDocument/2006/relationships/hyperlink" Target="https://metacyc.org/META/NEW-IMAGE?type=REACTION&amp;object=TRANS-RXN-370" TargetMode="External"/><Relationship Id="rId11" Type="http://schemas.openxmlformats.org/officeDocument/2006/relationships/hyperlink" Target="https://biocyc.org/META/NEW-IMAGE?type=EC-NUMBER&amp;object=EC-1.1.1.37" TargetMode="External"/><Relationship Id="rId32" Type="http://schemas.openxmlformats.org/officeDocument/2006/relationships/hyperlink" Target="https://biocyc.org/NEW-IMAGE?type=EC-NUMBER&amp;object=EC-2.3.1.9" TargetMode="External"/><Relationship Id="rId53" Type="http://schemas.openxmlformats.org/officeDocument/2006/relationships/hyperlink" Target="https://metacyc.org/META/NEW-IMAGE?type=REACTION&amp;object=R12-RXN" TargetMode="External"/><Relationship Id="rId74" Type="http://schemas.openxmlformats.org/officeDocument/2006/relationships/hyperlink" Target="https://metacyc.org/META/NEW-IMAGE?type=EC-NUMBER&amp;object=EC-1.2.1.105" TargetMode="External"/><Relationship Id="rId128" Type="http://schemas.openxmlformats.org/officeDocument/2006/relationships/hyperlink" Target="https://metacyc.org/META/NEW-IMAGE?type=REACTION&amp;object=6PGLUCONOLACT-RXN" TargetMode="External"/><Relationship Id="rId149" Type="http://schemas.openxmlformats.org/officeDocument/2006/relationships/hyperlink" Target="https://metacyc.org/META/NEW-IMAGE?type=REACTION&amp;object=PHOSGLYPHOS-RXN" TargetMode="External"/><Relationship Id="rId5" Type="http://schemas.openxmlformats.org/officeDocument/2006/relationships/hyperlink" Target="https://metacyc.org/META/NEW-IMAGE?type=EC-NUMBER&amp;object=EC-5.3.1.27" TargetMode="External"/><Relationship Id="rId95" Type="http://schemas.openxmlformats.org/officeDocument/2006/relationships/hyperlink" Target="https://metacyc.org/META/NEW-IMAGE?type=REACTION&amp;object=RXN-21817" TargetMode="External"/><Relationship Id="rId160" Type="http://schemas.openxmlformats.org/officeDocument/2006/relationships/hyperlink" Target="https://metacyc.org/META/NEW-IMAGE?type=REACTION&amp;object=ATP-PYROPHOSPHATASE-RXN" TargetMode="External"/><Relationship Id="rId22" Type="http://schemas.openxmlformats.org/officeDocument/2006/relationships/hyperlink" Target="https://metacyc.org/META/NEW-IMAGE?type=REACTION&amp;object=HYDROXYPYRUVATE-REDUCTASE-RXN" TargetMode="External"/><Relationship Id="rId43" Type="http://schemas.openxmlformats.org/officeDocument/2006/relationships/hyperlink" Target="https://metacyc.org/META/NEW-IMAGE?type=REACTION&amp;object=RXN-8958" TargetMode="External"/><Relationship Id="rId64" Type="http://schemas.openxmlformats.org/officeDocument/2006/relationships/hyperlink" Target="https://metacyc.org/META/NEW-IMAGE?type=REACTION&amp;object=PYRUVDEH-RXN" TargetMode="External"/><Relationship Id="rId118" Type="http://schemas.openxmlformats.org/officeDocument/2006/relationships/hyperlink" Target="https://metacyc.org/META/NEW-IMAGE?type=REACTION&amp;object=GLUC1PADENYLTRANS-RXN" TargetMode="External"/><Relationship Id="rId139" Type="http://schemas.openxmlformats.org/officeDocument/2006/relationships/hyperlink" Target="https://metacyc.org/META/NEW-IMAGE?type=EC-NUMBER&amp;object=EC-4.2.1.1" TargetMode="External"/><Relationship Id="rId85" Type="http://schemas.openxmlformats.org/officeDocument/2006/relationships/hyperlink" Target="https://www.genome.jp/dbget-bin/www_bget?ec:1.4.1.13" TargetMode="External"/><Relationship Id="rId150" Type="http://schemas.openxmlformats.org/officeDocument/2006/relationships/hyperlink" Target="https://metacyc.org/META/NEW-IMAGE?type=REACTION&amp;object=PYRUVATEORTHOPHOSPHATE-DIKINASE-RXN" TargetMode="External"/><Relationship Id="rId12" Type="http://schemas.openxmlformats.org/officeDocument/2006/relationships/hyperlink" Target="https://biocyc.org/META/NEW-IMAGE?type=EC-NUMBER&amp;object=EC-6.2.1.9" TargetMode="External"/><Relationship Id="rId17" Type="http://schemas.openxmlformats.org/officeDocument/2006/relationships/hyperlink" Target="https://metacyc.org/META/NEW-IMAGE?type=REACTION&amp;object=METHANE-MONOOXYGENASE-RXN" TargetMode="External"/><Relationship Id="rId33" Type="http://schemas.openxmlformats.org/officeDocument/2006/relationships/hyperlink" Target="https://biocyc.org/META/NEW-IMAGE?type=EC-NUMBER&amp;object=EC-1.1.1.36" TargetMode="External"/><Relationship Id="rId38" Type="http://schemas.openxmlformats.org/officeDocument/2006/relationships/hyperlink" Target="https://metacyc.org/META/NEW-IMAGE?type=REACTION&amp;object=ACETYL-COA-ACETYLTRANSFER-RXN" TargetMode="External"/><Relationship Id="rId59" Type="http://schemas.openxmlformats.org/officeDocument/2006/relationships/hyperlink" Target="https://metacyc.org/META/NEW-IMAGE?type=REACTION&amp;object=1.2.1.2-RXN" TargetMode="External"/><Relationship Id="rId103" Type="http://schemas.openxmlformats.org/officeDocument/2006/relationships/hyperlink" Target="https://metacyc.org/META/NEW-IMAGE?type=REACTION&amp;object=NITRITE-REDUCTASE-CYTOCHROME-RXN" TargetMode="External"/><Relationship Id="rId108" Type="http://schemas.openxmlformats.org/officeDocument/2006/relationships/hyperlink" Target="https://metacyc.org/META/NEW-IMAGE?type=REACTION&amp;object=GLUTKIN-RXN" TargetMode="External"/><Relationship Id="rId124" Type="http://schemas.openxmlformats.org/officeDocument/2006/relationships/hyperlink" Target="https://biocyc.org/MOB3B/NEW-IMAGE?type=REACTION&amp;object=3-HYDROXYBUTYRATE-DEHYDROGENASE-RXN" TargetMode="External"/><Relationship Id="rId129" Type="http://schemas.openxmlformats.org/officeDocument/2006/relationships/hyperlink" Target="https://metacyc.org/META/NEW-IMAGE?type=EC-NUMBER&amp;object=EC-3.1.1.31" TargetMode="External"/><Relationship Id="rId54" Type="http://schemas.openxmlformats.org/officeDocument/2006/relationships/hyperlink" Target="https://metacyc.org/META/NEW-IMAGE?type=REACTION&amp;object=RXN-2882" TargetMode="External"/><Relationship Id="rId70" Type="http://schemas.openxmlformats.org/officeDocument/2006/relationships/hyperlink" Target="https://metacyc.org/META/NEW-IMAGE?type=EC-NUMBER&amp;object=EC-1.1.1.42" TargetMode="External"/><Relationship Id="rId75" Type="http://schemas.openxmlformats.org/officeDocument/2006/relationships/hyperlink" Target="https://metacyc.org/META/NEW-IMAGE?type=REACTION&amp;object=SUCCCOASYN-RXN" TargetMode="External"/><Relationship Id="rId91" Type="http://schemas.openxmlformats.org/officeDocument/2006/relationships/hyperlink" Target="https://metacyc.org/META/NEW-IMAGE?type=REACTION&amp;object=RIBULP3EPIM-RXN" TargetMode="External"/><Relationship Id="rId96" Type="http://schemas.openxmlformats.org/officeDocument/2006/relationships/hyperlink" Target="https://metacyc.org/META/NEW-IMAGE?type=REACTION&amp;object=3.6.3.26-RXN" TargetMode="External"/><Relationship Id="rId140" Type="http://schemas.openxmlformats.org/officeDocument/2006/relationships/hyperlink" Target="https://metacyc.org/META/NEW-IMAGE?type=REACTION&amp;object=ACETOACETATE-DECARBOXYLASE-RXN" TargetMode="External"/><Relationship Id="rId145" Type="http://schemas.openxmlformats.org/officeDocument/2006/relationships/hyperlink" Target="https://metacyc.org/META/NEW-IMAGE?type=REACTION&amp;object=2.7.1.90-RXN" TargetMode="External"/><Relationship Id="rId161" Type="http://schemas.openxmlformats.org/officeDocument/2006/relationships/hyperlink" Target="https://metacyc.org/META/NEW-IMAGE?type=EC-NUMBER&amp;object=EC-2.7.4.3" TargetMode="External"/><Relationship Id="rId1" Type="http://schemas.openxmlformats.org/officeDocument/2006/relationships/hyperlink" Target="https://biocyc.org/NEW-IMAGE?type=EC-NUMBER&amp;object=EC-4.2.1.147" TargetMode="External"/><Relationship Id="rId6" Type="http://schemas.openxmlformats.org/officeDocument/2006/relationships/hyperlink" Target="https://biocyc.org/META/NEW-IMAGE?type=EC-NUMBER&amp;object=EC-2.1.2.1" TargetMode="External"/><Relationship Id="rId23" Type="http://schemas.openxmlformats.org/officeDocument/2006/relationships/hyperlink" Target="https://metacyc.org/META/NEW-IMAGE?type=REACTION&amp;object=HYDROXYPYRUVATE-REDUCTASE-RXN" TargetMode="External"/><Relationship Id="rId28" Type="http://schemas.openxmlformats.org/officeDocument/2006/relationships/hyperlink" Target="https://metacyc.org/META/NEW-IMAGE?type=REACTION&amp;object=PEPCARBOX-RXN" TargetMode="External"/><Relationship Id="rId49" Type="http://schemas.openxmlformats.org/officeDocument/2006/relationships/hyperlink" Target="https://metacyc.org/META/NEW-IMAGE?type=REACTION&amp;object=METHYLMALONYL-COA-EPIM-RXN" TargetMode="External"/><Relationship Id="rId114" Type="http://schemas.openxmlformats.org/officeDocument/2006/relationships/hyperlink" Target="https://metacyc.org/META/NEW-IMAGE?type=REACTION&amp;object=ORNDECARBOX-RXN" TargetMode="External"/><Relationship Id="rId119" Type="http://schemas.openxmlformats.org/officeDocument/2006/relationships/hyperlink" Target="https://metacyc.org/META/NEW-IMAGE?type=REACTION&amp;object=GLYCOGENSYN-RXN" TargetMode="External"/><Relationship Id="rId44" Type="http://schemas.openxmlformats.org/officeDocument/2006/relationships/hyperlink" Target="https://metacyc.org/META/NEW-IMAGE?type=REACTION&amp;object=RXN-8959" TargetMode="External"/><Relationship Id="rId60" Type="http://schemas.openxmlformats.org/officeDocument/2006/relationships/hyperlink" Target="https://www.brenda-enzymes.org/enzyme.php?ecno=1.2.2.B1" TargetMode="External"/><Relationship Id="rId65" Type="http://schemas.openxmlformats.org/officeDocument/2006/relationships/hyperlink" Target="https://metacyc.org/META/NEW-IMAGE?type=EC-NUMBER&amp;object=EC-1.2.1.104" TargetMode="External"/><Relationship Id="rId81" Type="http://schemas.openxmlformats.org/officeDocument/2006/relationships/hyperlink" Target="https://metacyc.org/META/NEW-IMAGE?type=REACTION&amp;object=MALIC-NADP-RXN" TargetMode="External"/><Relationship Id="rId86" Type="http://schemas.openxmlformats.org/officeDocument/2006/relationships/hyperlink" Target="https://www.genome.jp/dbget-bin/www_bget?ec:6.3.1.2" TargetMode="External"/><Relationship Id="rId130" Type="http://schemas.openxmlformats.org/officeDocument/2006/relationships/hyperlink" Target="https://metacyc.org/META/NEW-IMAGE?type=REACTION&amp;object=PGLUCONDEHYDRAT-RXN" TargetMode="External"/><Relationship Id="rId135" Type="http://schemas.openxmlformats.org/officeDocument/2006/relationships/hyperlink" Target="https://metacyc.org/META/NEW-IMAGE?type=REACTION&amp;object=ACETATEKIN-RXN" TargetMode="External"/><Relationship Id="rId151" Type="http://schemas.openxmlformats.org/officeDocument/2006/relationships/hyperlink" Target="https://biocyc.org/MOB3B/NEW-IMAGE?type=EC-NUMBER&amp;object=EC-5.3.1.1" TargetMode="External"/><Relationship Id="rId156" Type="http://schemas.openxmlformats.org/officeDocument/2006/relationships/hyperlink" Target="https://metacyc.org/META/NEW-IMAGE?type=REACTION&amp;object=RXN-9952" TargetMode="External"/><Relationship Id="rId13" Type="http://schemas.openxmlformats.org/officeDocument/2006/relationships/hyperlink" Target="https://biocyc.org/META/NEW-IMAGE?type=EC-NUMBER&amp;object=EC-4.1.3.24" TargetMode="External"/><Relationship Id="rId18" Type="http://schemas.openxmlformats.org/officeDocument/2006/relationships/hyperlink" Target="https://metacyc.org/META/NEW-IMAGE?type=REACTION&amp;object=RXN-2861" TargetMode="External"/><Relationship Id="rId39" Type="http://schemas.openxmlformats.org/officeDocument/2006/relationships/hyperlink" Target="https://metacyc.org/META/NEW-IMAGE?type=REACTION&amp;object=RXN-5901" TargetMode="External"/><Relationship Id="rId109" Type="http://schemas.openxmlformats.org/officeDocument/2006/relationships/hyperlink" Target="https://www.genome.jp/dbget-bin/www_bget?ec:1.2.1.41" TargetMode="External"/><Relationship Id="rId34" Type="http://schemas.openxmlformats.org/officeDocument/2006/relationships/hyperlink" Target="https://biocyc.org/META/NEW-IMAGE?type=EC-NUMBER&amp;object=EC-1.3.1.85" TargetMode="External"/><Relationship Id="rId50" Type="http://schemas.openxmlformats.org/officeDocument/2006/relationships/hyperlink" Target="https://metacyc.org/META/NEW-IMAGE?type=REACTION&amp;object=METHYLMALONYL-COA-MUT-RXN" TargetMode="External"/><Relationship Id="rId55" Type="http://schemas.openxmlformats.org/officeDocument/2006/relationships/hyperlink" Target="https://metacyc.org/META/NEW-IMAGE?type=REACTION&amp;object=RXN-2883" TargetMode="External"/><Relationship Id="rId76" Type="http://schemas.openxmlformats.org/officeDocument/2006/relationships/hyperlink" Target="https://metacyc.org/META/NEW-IMAGE?type=EC-NUMBER&amp;object=EC-6.2.1.5" TargetMode="External"/><Relationship Id="rId97" Type="http://schemas.openxmlformats.org/officeDocument/2006/relationships/hyperlink" Target="https://biocyc.org/META/NEW-IMAGE?type=REACTION&amp;object=NITRATE-REDUCTASE-NADPORNOPH-RXN" TargetMode="External"/><Relationship Id="rId104" Type="http://schemas.openxmlformats.org/officeDocument/2006/relationships/hyperlink" Target="https://metacyc.org/META/NEW-IMAGE?type=REACTION&amp;object=NITRIC-OXIDE-REDUCTASE-RXN" TargetMode="External"/><Relationship Id="rId120" Type="http://schemas.openxmlformats.org/officeDocument/2006/relationships/hyperlink" Target="https://metacyc.org/META/NEW-IMAGE?type=REACTION&amp;object=RXN0-5184" TargetMode="External"/><Relationship Id="rId125" Type="http://schemas.openxmlformats.org/officeDocument/2006/relationships/hyperlink" Target="https://metacyc.org/META/NEW-IMAGE?type=REACTION&amp;object=ACETOACETATE--COA-LIGASE-RXN" TargetMode="External"/><Relationship Id="rId141" Type="http://schemas.openxmlformats.org/officeDocument/2006/relationships/hyperlink" Target="https://www.genome.jp/entry/4.1.1.4" TargetMode="External"/><Relationship Id="rId146" Type="http://schemas.openxmlformats.org/officeDocument/2006/relationships/hyperlink" Target="https://metacyc.org/META/NEW-IMAGE?type=REACTION&amp;object=PGLUCISOM-RXN" TargetMode="External"/><Relationship Id="rId7" Type="http://schemas.openxmlformats.org/officeDocument/2006/relationships/hyperlink" Target="https://biocyc.org/META/NEW-IMAGE?type=EC-NUMBER&amp;object=EC-2.6.1.45" TargetMode="External"/><Relationship Id="rId71" Type="http://schemas.openxmlformats.org/officeDocument/2006/relationships/hyperlink" Target="https://metacyc.org/META/NEW-IMAGE?type=REACTION&amp;object=ISOCITRATE-DEHYDROGENASE-NAD%2b-RXN" TargetMode="External"/><Relationship Id="rId92" Type="http://schemas.openxmlformats.org/officeDocument/2006/relationships/hyperlink" Target="https://www.genome.jp/dbget-bin/www_bget?ec:7.1.1.8" TargetMode="External"/><Relationship Id="rId2" Type="http://schemas.openxmlformats.org/officeDocument/2006/relationships/hyperlink" Target="https://biocyc.org/META/NEW-IMAGE?type=EC-NUMBER&amp;object=EC-1.5.1" TargetMode="External"/><Relationship Id="rId29" Type="http://schemas.openxmlformats.org/officeDocument/2006/relationships/hyperlink" Target="https://metacyc.org/META/NEW-IMAGE?type=REACTION&amp;object=MALATE-DEH-RXN" TargetMode="External"/><Relationship Id="rId24" Type="http://schemas.openxmlformats.org/officeDocument/2006/relationships/hyperlink" Target="https://metacyc.org/META/NEW-IMAGE?type=EC-NUMBER&amp;object=EC-1.1.1.29" TargetMode="External"/><Relationship Id="rId40" Type="http://schemas.openxmlformats.org/officeDocument/2006/relationships/hyperlink" Target="https://metacyc.org/META/NEW-IMAGE?type=REACTION&amp;object=3-HYDROXBUTYRYL-COA-DEHYDRATASE-RXN" TargetMode="External"/><Relationship Id="rId45" Type="http://schemas.openxmlformats.org/officeDocument/2006/relationships/hyperlink" Target="https://metacyc.org/META/NEW-IMAGE?type=REACTION&amp;object=RXN-8960" TargetMode="External"/><Relationship Id="rId66" Type="http://schemas.openxmlformats.org/officeDocument/2006/relationships/hyperlink" Target="https://metacyc.org/META/NEW-IMAGE?type=REACTION&amp;object=CITSYN-RXN" TargetMode="External"/><Relationship Id="rId87" Type="http://schemas.openxmlformats.org/officeDocument/2006/relationships/hyperlink" Target="https://biocyc.org/MOB3B/NEW-IMAGE?type=EC-NUMBER&amp;object=EC-5.1.3.1" TargetMode="External"/><Relationship Id="rId110" Type="http://schemas.openxmlformats.org/officeDocument/2006/relationships/hyperlink" Target="https://metacyc.org/META/NEW-IMAGE?type=REACTION&amp;object=GLUTSEMIALDEHYDROG-RXN" TargetMode="External"/><Relationship Id="rId115" Type="http://schemas.openxmlformats.org/officeDocument/2006/relationships/hyperlink" Target="https://metacyc.org/META/NEW-IMAGE?type=REACTION&amp;object=HYDROGEN-DEHYDROGENASE-RXN" TargetMode="External"/><Relationship Id="rId131" Type="http://schemas.openxmlformats.org/officeDocument/2006/relationships/hyperlink" Target="https://metacyc.org/META/NEW-IMAGE?type=EC-NUMBER&amp;object=EC-4.2.1.12" TargetMode="External"/><Relationship Id="rId136" Type="http://schemas.openxmlformats.org/officeDocument/2006/relationships/hyperlink" Target="https://metacyc.org/META/NEW-IMAGE?type=REACTION&amp;object=ACETALD-DEHYDROG-RXN" TargetMode="External"/><Relationship Id="rId157" Type="http://schemas.openxmlformats.org/officeDocument/2006/relationships/hyperlink" Target="https://metacyc.org/META/NEW-IMAGE?type=REACTION&amp;object=RXN-3341" TargetMode="External"/><Relationship Id="rId61" Type="http://schemas.openxmlformats.org/officeDocument/2006/relationships/hyperlink" Target="https://biocyc.org/MOB3B/NEW-IMAGE?type=REACTION&amp;object=METHYLENETHFDEHYDROG-NADP-RXN" TargetMode="External"/><Relationship Id="rId82" Type="http://schemas.openxmlformats.org/officeDocument/2006/relationships/hyperlink" Target="https://metacyc.org/META/NEW-IMAGE?type=EC-NUMBER&amp;object=EC-1.1.1.40" TargetMode="External"/><Relationship Id="rId152" Type="http://schemas.openxmlformats.org/officeDocument/2006/relationships/hyperlink" Target="https://biocyc.org/MOB3B/NEW-IMAGE?type=EC-NUMBER&amp;object=EC-1.2.1.12" TargetMode="External"/><Relationship Id="rId19" Type="http://schemas.openxmlformats.org/officeDocument/2006/relationships/hyperlink" Target="https://biocyc.org/META/NEW-IMAGE?type=EC-NUMBER&amp;object=EC-1.5.1" TargetMode="External"/><Relationship Id="rId14" Type="http://schemas.openxmlformats.org/officeDocument/2006/relationships/hyperlink" Target="https://metacyc.org/META/NEW-IMAGE?type=EC-NUMBER&amp;object=EC-1.1.1.29" TargetMode="External"/><Relationship Id="rId30" Type="http://schemas.openxmlformats.org/officeDocument/2006/relationships/hyperlink" Target="https://metacyc.org/META/NEW-IMAGE?type=REACTION&amp;object=MALATE--COA-LIGASE-RXN" TargetMode="External"/><Relationship Id="rId35" Type="http://schemas.openxmlformats.org/officeDocument/2006/relationships/hyperlink" Target="https://biocyc.org/META/NEW-IMAGE?type=EC-NUMBER&amp;object=EC-5.4.99.63" TargetMode="External"/><Relationship Id="rId56" Type="http://schemas.openxmlformats.org/officeDocument/2006/relationships/hyperlink" Target="https://metacyc.org/META/NEW-IMAGE?type=REACTION&amp;object=RXN-2883" TargetMode="External"/><Relationship Id="rId77" Type="http://schemas.openxmlformats.org/officeDocument/2006/relationships/hyperlink" Target="https://metacyc.org/META/NEW-IMAGE?type=REACTION&amp;object=SUCCINATE-DEHYDROGENASE-UBIQUINONE-RXN" TargetMode="External"/><Relationship Id="rId100" Type="http://schemas.openxmlformats.org/officeDocument/2006/relationships/hyperlink" Target="https://metacyc.org/META/NEW-IMAGE?type=REACTION&amp;object=NITROGENASE-RXN" TargetMode="External"/><Relationship Id="rId105" Type="http://schemas.openxmlformats.org/officeDocument/2006/relationships/hyperlink" Target="https://metacyc.org/META/NEW-IMAGE?type=REACTION&amp;object=GLUTAMINESYN-RXN" TargetMode="External"/><Relationship Id="rId126" Type="http://schemas.openxmlformats.org/officeDocument/2006/relationships/hyperlink" Target="https://metacyc.org/META/NEW-IMAGE?type=REACTION&amp;object=GLU6PDEHYDROG-RXN" TargetMode="External"/><Relationship Id="rId147" Type="http://schemas.openxmlformats.org/officeDocument/2006/relationships/hyperlink" Target="https://metacyc.org/META/NEW-IMAGE?type=REACTION&amp;object=TRIOSEPISOMERIZATION-RXN" TargetMode="External"/><Relationship Id="rId8" Type="http://schemas.openxmlformats.org/officeDocument/2006/relationships/hyperlink" Target="https://biocyc.org/META/NEW-IMAGE?type=EC-NUMBER&amp;object=EC-2.7.1.165" TargetMode="External"/><Relationship Id="rId51" Type="http://schemas.openxmlformats.org/officeDocument/2006/relationships/hyperlink" Target="https://metacyc.org/META/NEW-IMAGE?type=REACTION&amp;object=FORMALDEHYDE-DEHYDROGENASE-RXN" TargetMode="External"/><Relationship Id="rId72" Type="http://schemas.openxmlformats.org/officeDocument/2006/relationships/hyperlink" Target="https://metacyc.org/META/NEW-IMAGE?type=EC-NUMBER&amp;object=EC-1.1.1.41" TargetMode="External"/><Relationship Id="rId93" Type="http://schemas.openxmlformats.org/officeDocument/2006/relationships/hyperlink" Target="https://metacyc.org/META/NEW-IMAGE?type=REACTION&amp;object=CYTOCHROME-C-OXIDASE-RXN" TargetMode="External"/><Relationship Id="rId98" Type="http://schemas.openxmlformats.org/officeDocument/2006/relationships/hyperlink" Target="https://biocyc.org/META/NEW-IMAGE?type=REACTION&amp;object=RXN-13854" TargetMode="External"/><Relationship Id="rId121" Type="http://schemas.openxmlformats.org/officeDocument/2006/relationships/hyperlink" Target="https://metacyc.org/META/NEW-IMAGE?type=EC-NUMBER&amp;object=EC-2.3.1.dq" TargetMode="External"/><Relationship Id="rId142" Type="http://schemas.openxmlformats.org/officeDocument/2006/relationships/hyperlink" Target="https://metacyc.org/META/NEW-IMAGE?type=REACTION&amp;object=GLUTAMIN-RXN" TargetMode="External"/><Relationship Id="rId3" Type="http://schemas.openxmlformats.org/officeDocument/2006/relationships/hyperlink" Target="https://biocyc.org/META/NEW-IMAGE?type=EC-NUMBER&amp;object=EC-3.5.4.27" TargetMode="External"/><Relationship Id="rId25" Type="http://schemas.openxmlformats.org/officeDocument/2006/relationships/hyperlink" Target="https://metacyc.org/META/NEW-IMAGE?type=REACTION&amp;object=GKI-RXN" TargetMode="External"/><Relationship Id="rId46" Type="http://schemas.openxmlformats.org/officeDocument/2006/relationships/hyperlink" Target="https://metacyc.org/META/NEW-IMAGE?type=REACTION&amp;object=RXN-8961" TargetMode="External"/><Relationship Id="rId67" Type="http://schemas.openxmlformats.org/officeDocument/2006/relationships/hyperlink" Target="https://metacyc.org/META/NEW-IMAGE?type=REACTION&amp;object=RXN-14047" TargetMode="External"/><Relationship Id="rId116" Type="http://schemas.openxmlformats.org/officeDocument/2006/relationships/hyperlink" Target="https://metacyc.org/gene?orgid=META&amp;id=EG11512-MONOMER" TargetMode="External"/><Relationship Id="rId137" Type="http://schemas.openxmlformats.org/officeDocument/2006/relationships/hyperlink" Target="https://metacyc.org/META/NEW-IMAGE?type=EC-NUMBER&amp;object=EC-1.2.1.10" TargetMode="External"/><Relationship Id="rId158" Type="http://schemas.openxmlformats.org/officeDocument/2006/relationships/hyperlink" Target="https://metacyc.org/META/NEW-IMAGE?type=REACTION&amp;object=PHOSPHOKETOLASE-RXN" TargetMode="External"/><Relationship Id="rId20" Type="http://schemas.openxmlformats.org/officeDocument/2006/relationships/hyperlink" Target="https://metacyc.org/META/NEW-IMAGE?type=REACTION&amp;object=GLYOHMETRANS-RXN" TargetMode="External"/><Relationship Id="rId41" Type="http://schemas.openxmlformats.org/officeDocument/2006/relationships/hyperlink" Target="https://metacyc.org/META/NEW-IMAGE?type=REACTION&amp;object=RXN-8957" TargetMode="External"/><Relationship Id="rId62" Type="http://schemas.openxmlformats.org/officeDocument/2006/relationships/hyperlink" Target="https://biocyc.org/MOB3B/NEW-IMAGE?type=REACTION&amp;object=METHENYLTHFCYCLOHYDRO-RXN" TargetMode="External"/><Relationship Id="rId83" Type="http://schemas.openxmlformats.org/officeDocument/2006/relationships/hyperlink" Target="https://metacyc.org/META/NEW-IMAGE?type=REACTION&amp;object=PYRUVATE-CARBOXYLASE-RXN" TargetMode="External"/><Relationship Id="rId88" Type="http://schemas.openxmlformats.org/officeDocument/2006/relationships/hyperlink" Target="https://biocyc.org/META/NEW-IMAGE?type=REACTION&amp;object=2TRANSKETO-RXN" TargetMode="External"/><Relationship Id="rId111" Type="http://schemas.openxmlformats.org/officeDocument/2006/relationships/hyperlink" Target="https://www.genome.jp/dbget-bin/www_bget?ec:2.6.1.13" TargetMode="External"/><Relationship Id="rId132" Type="http://schemas.openxmlformats.org/officeDocument/2006/relationships/hyperlink" Target="https://metacyc.org/META/NEW-IMAGE?type=REACTION&amp;object=KDPGALDOL-RXN" TargetMode="External"/><Relationship Id="rId153" Type="http://schemas.openxmlformats.org/officeDocument/2006/relationships/hyperlink" Target="https://metacyc.org/META/NEW-IMAGE?type=REACTION&amp;object=DLACTDEHYDROGNAD-RXN" TargetMode="External"/><Relationship Id="rId15" Type="http://schemas.openxmlformats.org/officeDocument/2006/relationships/hyperlink" Target="https://metacyc.org/META/NEW-IMAGE?type=EC-NUMBER&amp;object=EC-5.4.2.12" TargetMode="External"/><Relationship Id="rId36" Type="http://schemas.openxmlformats.org/officeDocument/2006/relationships/hyperlink" Target="https://biocyc.org/META/NEW-IMAGE?type=EC-NUMBER&amp;object=EC-1.3.8.12" TargetMode="External"/><Relationship Id="rId57" Type="http://schemas.openxmlformats.org/officeDocument/2006/relationships/hyperlink" Target="https://metacyc.org/META/NEW-IMAGE?type=REACTION&amp;object=3.5.4.27-RXN" TargetMode="External"/><Relationship Id="rId106" Type="http://schemas.openxmlformats.org/officeDocument/2006/relationships/hyperlink" Target="https://metacyc.org/META/NEW-IMAGE?type=REACTION&amp;object=GLUTAMATESYN-RXN" TargetMode="External"/><Relationship Id="rId127" Type="http://schemas.openxmlformats.org/officeDocument/2006/relationships/hyperlink" Target="https://metacyc.org/META/NEW-IMAGE?type=EC-NUMBER&amp;object=EC-1.1.1.49" TargetMode="External"/><Relationship Id="rId10" Type="http://schemas.openxmlformats.org/officeDocument/2006/relationships/hyperlink" Target="https://biocyc.org/META/NEW-IMAGE?type=EC-NUMBER&amp;object=EC-4.1.1.31" TargetMode="External"/><Relationship Id="rId31" Type="http://schemas.openxmlformats.org/officeDocument/2006/relationships/hyperlink" Target="https://metacyc.org/META/NEW-IMAGE?type=REACTION&amp;object=MALYL-COA-LYASE-RXN" TargetMode="External"/><Relationship Id="rId52" Type="http://schemas.openxmlformats.org/officeDocument/2006/relationships/hyperlink" Target="https://metacyc.org/META/NEW-IMAGE?type=REACTION&amp;object=R10-RXN" TargetMode="External"/><Relationship Id="rId73" Type="http://schemas.openxmlformats.org/officeDocument/2006/relationships/hyperlink" Target="https://metacyc.org/META/NEW-IMAGE?type=REACTION&amp;object=2OXOGLUTARATEDEH-RXN" TargetMode="External"/><Relationship Id="rId78" Type="http://schemas.openxmlformats.org/officeDocument/2006/relationships/hyperlink" Target="https://metacyc.org/META/NEW-IMAGE?type=EC-NUMBER&amp;object=EC-1.3.5.1" TargetMode="External"/><Relationship Id="rId94" Type="http://schemas.openxmlformats.org/officeDocument/2006/relationships/hyperlink" Target="https://metacyc.org/META/NEW-IMAGE?type=REACTION&amp;object=RXN-20992" TargetMode="External"/><Relationship Id="rId99" Type="http://schemas.openxmlformats.org/officeDocument/2006/relationships/hyperlink" Target="https://metacyc.org/META/NEW-IMAGE?type=REACTION&amp;object=RXN-12365" TargetMode="External"/><Relationship Id="rId101" Type="http://schemas.openxmlformats.org/officeDocument/2006/relationships/hyperlink" Target="https://metacyc.org/META/NEW-IMAGE?type=REACTION&amp;object=AMONITRO-RXN" TargetMode="External"/><Relationship Id="rId122" Type="http://schemas.openxmlformats.org/officeDocument/2006/relationships/hyperlink" Target="https://metacyc.org/META/NEW-IMAGE?type=REACTION&amp;object=RXN1-42" TargetMode="External"/><Relationship Id="rId143" Type="http://schemas.openxmlformats.org/officeDocument/2006/relationships/hyperlink" Target="https://metacyc.org/META/NEW-IMAGE?type=REACTION&amp;object=GLUTAMATE-DEHYDROGENASE-RXN" TargetMode="External"/><Relationship Id="rId148" Type="http://schemas.openxmlformats.org/officeDocument/2006/relationships/hyperlink" Target="https://metacyc.org/META/NEW-IMAGE?type=REACTION&amp;object=GAPOXNPHOSPHN-RXN" TargetMode="External"/><Relationship Id="rId4" Type="http://schemas.openxmlformats.org/officeDocument/2006/relationships/hyperlink" Target="https://metacyc.org/META/NEW-IMAGE?type=EC-NUMBER&amp;object=EC-1.17.1.9" TargetMode="External"/><Relationship Id="rId9" Type="http://schemas.openxmlformats.org/officeDocument/2006/relationships/hyperlink" Target="https://www.genome.jp/dbget-bin/www_bget?ec:4.2.1.11" TargetMode="External"/><Relationship Id="rId26" Type="http://schemas.openxmlformats.org/officeDocument/2006/relationships/hyperlink" Target="https://metacyc.org/META/NEW-IMAGE?type=REACTION&amp;object=3PGAREARR-RXN" TargetMode="External"/><Relationship Id="rId47" Type="http://schemas.openxmlformats.org/officeDocument/2006/relationships/hyperlink" Target="https://biocyc.org/META/NEW-IMAGE?type=EC-NUMBER&amp;object=EC-5.4.99.2" TargetMode="External"/><Relationship Id="rId68" Type="http://schemas.openxmlformats.org/officeDocument/2006/relationships/hyperlink" Target="https://metacyc.org/META/NEW-IMAGE?type=EC-NUMBER&amp;object=EC-4.2.1.3" TargetMode="External"/><Relationship Id="rId89" Type="http://schemas.openxmlformats.org/officeDocument/2006/relationships/hyperlink" Target="https://biocyc.org/MOB3B/NEW-IMAGE?type=REACTION&amp;object=RIB5PISOM-RXN" TargetMode="External"/><Relationship Id="rId112" Type="http://schemas.openxmlformats.org/officeDocument/2006/relationships/hyperlink" Target="https://metacyc.org/META/NEW-IMAGE?type=REACTION&amp;object=ORNITHINE-GLU-AMINOTRANSFERASE-RXN" TargetMode="External"/><Relationship Id="rId133" Type="http://schemas.openxmlformats.org/officeDocument/2006/relationships/hyperlink" Target="https://metacyc.org/META/NEW-IMAGE?type=REACTION&amp;object=PHOSACETYLTRANS-RXN" TargetMode="External"/><Relationship Id="rId154" Type="http://schemas.openxmlformats.org/officeDocument/2006/relationships/hyperlink" Target="https://metacyc.org/META/NEW-IMAGE?type=REACTION&amp;object=F16ALDOLASE-RXN" TargetMode="External"/><Relationship Id="rId16" Type="http://schemas.openxmlformats.org/officeDocument/2006/relationships/hyperlink" Target="https://metacyc.org/META/NEW-IMAGE?type=REACTION&amp;object=RXN-12219" TargetMode="External"/><Relationship Id="rId37" Type="http://schemas.openxmlformats.org/officeDocument/2006/relationships/hyperlink" Target="https://biocyc.org/META/NEW-IMAGE?type=EC-NUMBER&amp;object=EC-4.1.3.24" TargetMode="External"/><Relationship Id="rId58" Type="http://schemas.openxmlformats.org/officeDocument/2006/relationships/hyperlink" Target="https://metacyc.org/META/NEW-IMAGE?type=REACTION&amp;object=RXN-2884" TargetMode="External"/><Relationship Id="rId79" Type="http://schemas.openxmlformats.org/officeDocument/2006/relationships/hyperlink" Target="https://metacyc.org/META/NEW-IMAGE?type=REACTION&amp;object=FUMHYDR-RXN" TargetMode="External"/><Relationship Id="rId102" Type="http://schemas.openxmlformats.org/officeDocument/2006/relationships/hyperlink" Target="https://metacyc.org/META/NEW-IMAGE?type=REACTION&amp;object=HAONITRO-RXN" TargetMode="External"/><Relationship Id="rId123" Type="http://schemas.openxmlformats.org/officeDocument/2006/relationships/hyperlink" Target="https://metacyc.org/META/NEW-IMAGE?type=REACTION&amp;object=3.1.1.75-RXN" TargetMode="External"/><Relationship Id="rId144" Type="http://schemas.openxmlformats.org/officeDocument/2006/relationships/hyperlink" Target="https://biocyc.org/MOB3B/NEW-IMAGE?type=EC-NUMBER&amp;object=EC-5.3.1.9" TargetMode="External"/><Relationship Id="rId90" Type="http://schemas.openxmlformats.org/officeDocument/2006/relationships/hyperlink" Target="https://metacyc.org/META/NEW-IMAGE?type=REACTION&amp;object=TRANSALDOL-RXN" TargetMode="External"/><Relationship Id="rId27" Type="http://schemas.openxmlformats.org/officeDocument/2006/relationships/hyperlink" Target="https://metacyc.org/META/NEW-IMAGE?type=REACTION&amp;object=2PGADEHYDRAT-RXN" TargetMode="External"/><Relationship Id="rId48" Type="http://schemas.openxmlformats.org/officeDocument/2006/relationships/hyperlink" Target="https://metacyc.org/META/NEW-IMAGE?type=REACTION&amp;object=PROPIONYL-COA-CARBOXY-RXN" TargetMode="External"/><Relationship Id="rId69" Type="http://schemas.openxmlformats.org/officeDocument/2006/relationships/hyperlink" Target="https://metacyc.org/META/NEW-IMAGE?type=REACTION&amp;object=ISOCITDEH-RXN" TargetMode="External"/><Relationship Id="rId113" Type="http://schemas.openxmlformats.org/officeDocument/2006/relationships/hyperlink" Target="https://www.genome.jp/dbget-bin/www_bget?ec:4.1.1.17" TargetMode="External"/><Relationship Id="rId134" Type="http://schemas.openxmlformats.org/officeDocument/2006/relationships/hyperlink" Target="https://metacyc.org/META/NEW-IMAGE?type=EC-NUMBER&amp;object=EC-2.3.1.8" TargetMode="External"/><Relationship Id="rId80" Type="http://schemas.openxmlformats.org/officeDocument/2006/relationships/hyperlink" Target="https://metacyc.org/META/NEW-IMAGE?type=EC-NUMBER&amp;object=EC-4.2.1.2" TargetMode="External"/><Relationship Id="rId155" Type="http://schemas.openxmlformats.org/officeDocument/2006/relationships/hyperlink" Target="https://biocyc.org/MOB3B/NEW-IMAGE?type=EC-NUMBER&amp;object=EC-4.1.2.13"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3" Type="http://schemas.openxmlformats.org/officeDocument/2006/relationships/hyperlink" Target="https://doi.org/10.1007/BF02346062" TargetMode="External"/><Relationship Id="rId7" Type="http://schemas.openxmlformats.org/officeDocument/2006/relationships/drawing" Target="../drawings/drawing9.xml"/><Relationship Id="rId2" Type="http://schemas.openxmlformats.org/officeDocument/2006/relationships/hyperlink" Target="https://doi.org/10.1007/BF02346062" TargetMode="External"/><Relationship Id="rId1" Type="http://schemas.openxmlformats.org/officeDocument/2006/relationships/hyperlink" Target="https://doi.org/10.1007/BF02346062" TargetMode="External"/><Relationship Id="rId6" Type="http://schemas.openxmlformats.org/officeDocument/2006/relationships/printerSettings" Target="../printerSettings/printerSettings4.bin"/><Relationship Id="rId5" Type="http://schemas.openxmlformats.org/officeDocument/2006/relationships/hyperlink" Target="https://doi.org/10.1016/j.heliyon.2019.e01950" TargetMode="External"/><Relationship Id="rId4" Type="http://schemas.openxmlformats.org/officeDocument/2006/relationships/hyperlink" Target="https://doi.org/10.1007/BF023460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43AFB-363C-48B6-BB49-A6793060B9C9}">
  <sheetPr codeName="Sheet5"/>
  <dimension ref="A1:C25"/>
  <sheetViews>
    <sheetView tabSelected="1" workbookViewId="0"/>
  </sheetViews>
  <sheetFormatPr defaultRowHeight="15" x14ac:dyDescent="0.25"/>
  <sheetData>
    <row r="1" spans="1:3" x14ac:dyDescent="0.25">
      <c r="A1" s="6" t="s">
        <v>1676</v>
      </c>
    </row>
    <row r="3" spans="1:3" x14ac:dyDescent="0.25">
      <c r="B3" s="93" t="s">
        <v>1674</v>
      </c>
      <c r="C3" s="92"/>
    </row>
    <row r="4" spans="1:3" x14ac:dyDescent="0.25">
      <c r="B4" s="93"/>
      <c r="C4" s="92"/>
    </row>
    <row r="5" spans="1:3" x14ac:dyDescent="0.25">
      <c r="B5" s="60" t="s">
        <v>1675</v>
      </c>
    </row>
    <row r="6" spans="1:3" x14ac:dyDescent="0.25">
      <c r="B6" s="60"/>
    </row>
    <row r="7" spans="1:3" x14ac:dyDescent="0.25">
      <c r="B7" s="6" t="s">
        <v>1640</v>
      </c>
    </row>
    <row r="8" spans="1:3" x14ac:dyDescent="0.25">
      <c r="B8" t="s">
        <v>1654</v>
      </c>
    </row>
    <row r="9" spans="1:3" x14ac:dyDescent="0.25">
      <c r="B9" t="s">
        <v>1649</v>
      </c>
    </row>
    <row r="10" spans="1:3" x14ac:dyDescent="0.25">
      <c r="B10" t="s">
        <v>1650</v>
      </c>
    </row>
    <row r="11" spans="1:3" x14ac:dyDescent="0.25">
      <c r="B11" t="s">
        <v>1652</v>
      </c>
    </row>
    <row r="12" spans="1:3" x14ac:dyDescent="0.25">
      <c r="B12" t="s">
        <v>1653</v>
      </c>
    </row>
    <row r="13" spans="1:3" x14ac:dyDescent="0.25">
      <c r="B13" t="s">
        <v>1657</v>
      </c>
    </row>
    <row r="14" spans="1:3" x14ac:dyDescent="0.25">
      <c r="B14" t="s">
        <v>1655</v>
      </c>
    </row>
    <row r="15" spans="1:3" x14ac:dyDescent="0.25">
      <c r="B15" t="s">
        <v>1656</v>
      </c>
    </row>
    <row r="16" spans="1:3" x14ac:dyDescent="0.25">
      <c r="B16" t="s">
        <v>1641</v>
      </c>
    </row>
    <row r="17" spans="2:2" x14ac:dyDescent="0.25">
      <c r="B17" t="s">
        <v>1642</v>
      </c>
    </row>
    <row r="18" spans="2:2" x14ac:dyDescent="0.25">
      <c r="B18" t="s">
        <v>1643</v>
      </c>
    </row>
    <row r="19" spans="2:2" x14ac:dyDescent="0.25">
      <c r="B19" t="s">
        <v>1644</v>
      </c>
    </row>
    <row r="20" spans="2:2" x14ac:dyDescent="0.25">
      <c r="B20" t="s">
        <v>1645</v>
      </c>
    </row>
    <row r="21" spans="2:2" x14ac:dyDescent="0.25">
      <c r="B21" t="s">
        <v>1646</v>
      </c>
    </row>
    <row r="22" spans="2:2" x14ac:dyDescent="0.25">
      <c r="B22" t="s">
        <v>1647</v>
      </c>
    </row>
    <row r="23" spans="2:2" x14ac:dyDescent="0.25">
      <c r="B23" t="s">
        <v>1648</v>
      </c>
    </row>
    <row r="24" spans="2:2" x14ac:dyDescent="0.25">
      <c r="B24" t="s">
        <v>1651</v>
      </c>
    </row>
    <row r="25" spans="2:2" x14ac:dyDescent="0.25">
      <c r="B25" t="s">
        <v>1658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916B-2758-47A2-AF9E-780332CDEECB}">
  <sheetPr codeName="Sheet11"/>
  <dimension ref="A2:R247"/>
  <sheetViews>
    <sheetView workbookViewId="0"/>
  </sheetViews>
  <sheetFormatPr defaultColWidth="9.140625" defaultRowHeight="15" x14ac:dyDescent="0.25"/>
  <cols>
    <col min="5" max="5" width="39.5703125" customWidth="1"/>
    <col min="6" max="6" width="108.28515625" customWidth="1"/>
    <col min="7" max="7" width="76.140625" customWidth="1"/>
  </cols>
  <sheetData>
    <row r="2" spans="3:18" ht="15.75" x14ac:dyDescent="0.25">
      <c r="C2" s="6" t="s">
        <v>971</v>
      </c>
      <c r="D2" s="39" t="s">
        <v>972</v>
      </c>
      <c r="E2" s="39" t="s">
        <v>973</v>
      </c>
      <c r="F2" s="39" t="s">
        <v>974</v>
      </c>
      <c r="G2" s="39" t="s">
        <v>975</v>
      </c>
      <c r="H2" s="6" t="s">
        <v>976</v>
      </c>
      <c r="I2" s="6" t="s">
        <v>977</v>
      </c>
      <c r="J2" s="39" t="s">
        <v>978</v>
      </c>
      <c r="K2" s="39" t="s">
        <v>979</v>
      </c>
      <c r="L2" s="39" t="s">
        <v>980</v>
      </c>
      <c r="M2" s="39" t="s">
        <v>981</v>
      </c>
      <c r="N2" s="39" t="s">
        <v>982</v>
      </c>
      <c r="Q2" s="39" t="s">
        <v>983</v>
      </c>
      <c r="R2" s="39" t="s">
        <v>984</v>
      </c>
    </row>
    <row r="3" spans="3:18" x14ac:dyDescent="0.25">
      <c r="C3" t="s">
        <v>985</v>
      </c>
      <c r="D3" t="s">
        <v>343</v>
      </c>
      <c r="E3" t="s">
        <v>986</v>
      </c>
      <c r="F3" t="s">
        <v>987</v>
      </c>
      <c r="G3" s="29" t="s">
        <v>988</v>
      </c>
      <c r="H3">
        <v>0</v>
      </c>
      <c r="I3">
        <v>1000</v>
      </c>
      <c r="J3" t="s">
        <v>989</v>
      </c>
      <c r="K3" t="s">
        <v>990</v>
      </c>
      <c r="L3" t="s">
        <v>991</v>
      </c>
      <c r="Q3">
        <v>3</v>
      </c>
    </row>
    <row r="4" spans="3:18" x14ac:dyDescent="0.25">
      <c r="C4" t="s">
        <v>985</v>
      </c>
      <c r="D4" t="s">
        <v>348</v>
      </c>
      <c r="E4" t="s">
        <v>986</v>
      </c>
      <c r="F4" t="s">
        <v>992</v>
      </c>
      <c r="G4" s="29" t="s">
        <v>993</v>
      </c>
      <c r="H4">
        <v>0</v>
      </c>
      <c r="I4">
        <v>1000</v>
      </c>
      <c r="J4" t="s">
        <v>994</v>
      </c>
      <c r="K4" t="s">
        <v>995</v>
      </c>
      <c r="L4" t="s">
        <v>996</v>
      </c>
    </row>
    <row r="5" spans="3:18" x14ac:dyDescent="0.25">
      <c r="C5" t="s">
        <v>985</v>
      </c>
      <c r="D5" t="s">
        <v>353</v>
      </c>
      <c r="E5" t="s">
        <v>986</v>
      </c>
      <c r="F5" t="s">
        <v>997</v>
      </c>
      <c r="G5" s="29"/>
      <c r="H5">
        <v>0</v>
      </c>
      <c r="I5">
        <v>1000</v>
      </c>
      <c r="J5" t="s">
        <v>989</v>
      </c>
      <c r="L5" t="s">
        <v>998</v>
      </c>
      <c r="Q5">
        <v>3</v>
      </c>
    </row>
    <row r="6" spans="3:18" x14ac:dyDescent="0.25">
      <c r="C6" t="s">
        <v>985</v>
      </c>
      <c r="D6" t="s">
        <v>357</v>
      </c>
      <c r="E6" t="s">
        <v>986</v>
      </c>
      <c r="F6" t="s">
        <v>999</v>
      </c>
      <c r="G6" s="29" t="s">
        <v>1000</v>
      </c>
      <c r="H6">
        <v>0</v>
      </c>
      <c r="I6">
        <v>1000</v>
      </c>
      <c r="J6" t="s">
        <v>1001</v>
      </c>
      <c r="K6" t="s">
        <v>1002</v>
      </c>
      <c r="L6" t="s">
        <v>1003</v>
      </c>
    </row>
    <row r="7" spans="3:18" x14ac:dyDescent="0.25">
      <c r="G7" s="29"/>
    </row>
    <row r="8" spans="3:18" x14ac:dyDescent="0.25">
      <c r="C8" t="s">
        <v>985</v>
      </c>
      <c r="D8" t="s">
        <v>361</v>
      </c>
      <c r="E8" t="s">
        <v>1004</v>
      </c>
      <c r="F8" t="s">
        <v>1005</v>
      </c>
      <c r="G8" s="29" t="s">
        <v>1006</v>
      </c>
      <c r="H8">
        <v>0</v>
      </c>
      <c r="I8">
        <v>1000</v>
      </c>
      <c r="J8" t="s">
        <v>994</v>
      </c>
      <c r="K8" t="s">
        <v>1007</v>
      </c>
      <c r="L8" t="s">
        <v>1008</v>
      </c>
    </row>
    <row r="9" spans="3:18" x14ac:dyDescent="0.25">
      <c r="C9" t="s">
        <v>985</v>
      </c>
      <c r="D9" t="s">
        <v>366</v>
      </c>
      <c r="E9" t="s">
        <v>1004</v>
      </c>
      <c r="F9" t="s">
        <v>1009</v>
      </c>
      <c r="G9" t="s">
        <v>1010</v>
      </c>
      <c r="H9">
        <v>0</v>
      </c>
      <c r="I9">
        <v>1000</v>
      </c>
      <c r="J9" t="s">
        <v>1011</v>
      </c>
      <c r="K9" s="29" t="s">
        <v>1012</v>
      </c>
      <c r="L9" t="s">
        <v>1013</v>
      </c>
    </row>
    <row r="11" spans="3:18" x14ac:dyDescent="0.25">
      <c r="C11" t="s">
        <v>1014</v>
      </c>
      <c r="D11" t="s">
        <v>1015</v>
      </c>
      <c r="E11" t="s">
        <v>1016</v>
      </c>
      <c r="F11" t="s">
        <v>1017</v>
      </c>
      <c r="G11" s="29" t="s">
        <v>1018</v>
      </c>
      <c r="H11">
        <v>-1000</v>
      </c>
      <c r="I11">
        <v>1000</v>
      </c>
      <c r="K11" t="s">
        <v>1019</v>
      </c>
      <c r="L11" t="s">
        <v>1020</v>
      </c>
    </row>
    <row r="12" spans="3:18" ht="15.75" x14ac:dyDescent="0.25">
      <c r="C12" t="s">
        <v>1014</v>
      </c>
      <c r="D12" t="s">
        <v>1021</v>
      </c>
      <c r="E12" t="s">
        <v>1016</v>
      </c>
      <c r="F12" t="s">
        <v>1022</v>
      </c>
      <c r="G12" s="29" t="s">
        <v>1023</v>
      </c>
      <c r="H12">
        <v>-1000</v>
      </c>
      <c r="I12">
        <v>1000</v>
      </c>
      <c r="K12" s="62" t="s">
        <v>1024</v>
      </c>
      <c r="L12" t="s">
        <v>1025</v>
      </c>
    </row>
    <row r="14" spans="3:18" ht="15.75" x14ac:dyDescent="0.25">
      <c r="C14" t="s">
        <v>985</v>
      </c>
      <c r="D14" t="s">
        <v>371</v>
      </c>
      <c r="E14" t="s">
        <v>1026</v>
      </c>
      <c r="F14" t="s">
        <v>1027</v>
      </c>
      <c r="G14" s="29" t="s">
        <v>1028</v>
      </c>
      <c r="H14">
        <v>0</v>
      </c>
      <c r="I14">
        <v>1000</v>
      </c>
      <c r="K14" s="62" t="s">
        <v>1029</v>
      </c>
      <c r="L14" t="s">
        <v>1030</v>
      </c>
    </row>
    <row r="15" spans="3:18" ht="15.75" x14ac:dyDescent="0.25">
      <c r="C15" t="s">
        <v>985</v>
      </c>
      <c r="D15" t="s">
        <v>375</v>
      </c>
      <c r="E15" t="s">
        <v>1026</v>
      </c>
      <c r="F15" t="s">
        <v>1031</v>
      </c>
      <c r="G15" s="29" t="s">
        <v>1032</v>
      </c>
      <c r="H15">
        <v>0</v>
      </c>
      <c r="I15">
        <v>1000</v>
      </c>
      <c r="K15" s="62" t="s">
        <v>1033</v>
      </c>
      <c r="L15" t="s">
        <v>1034</v>
      </c>
    </row>
    <row r="16" spans="3:18" ht="15.75" x14ac:dyDescent="0.25">
      <c r="C16" t="s">
        <v>985</v>
      </c>
      <c r="D16" t="s">
        <v>380</v>
      </c>
      <c r="E16" t="s">
        <v>1026</v>
      </c>
      <c r="F16" t="s">
        <v>1035</v>
      </c>
      <c r="G16" s="29" t="s">
        <v>1032</v>
      </c>
      <c r="H16">
        <v>0</v>
      </c>
      <c r="I16">
        <v>1000</v>
      </c>
      <c r="K16" s="62" t="s">
        <v>1033</v>
      </c>
      <c r="L16" t="s">
        <v>1034</v>
      </c>
    </row>
    <row r="17" spans="1:12" ht="15.75" x14ac:dyDescent="0.25">
      <c r="C17" t="s">
        <v>985</v>
      </c>
      <c r="D17" t="s">
        <v>385</v>
      </c>
      <c r="E17" t="s">
        <v>1026</v>
      </c>
      <c r="F17" t="s">
        <v>1036</v>
      </c>
      <c r="G17" s="29" t="s">
        <v>1037</v>
      </c>
      <c r="H17">
        <v>-1000</v>
      </c>
      <c r="I17">
        <v>1000</v>
      </c>
      <c r="K17" s="62" t="s">
        <v>1038</v>
      </c>
      <c r="L17" t="s">
        <v>1039</v>
      </c>
    </row>
    <row r="18" spans="1:12" x14ac:dyDescent="0.25">
      <c r="C18" t="s">
        <v>985</v>
      </c>
      <c r="D18" t="s">
        <v>390</v>
      </c>
      <c r="E18" t="s">
        <v>1026</v>
      </c>
      <c r="F18" t="s">
        <v>1040</v>
      </c>
      <c r="G18" s="29" t="s">
        <v>1041</v>
      </c>
      <c r="H18">
        <v>0</v>
      </c>
      <c r="I18">
        <v>1000</v>
      </c>
      <c r="K18" t="s">
        <v>530</v>
      </c>
      <c r="L18" t="s">
        <v>1042</v>
      </c>
    </row>
    <row r="19" spans="1:12" x14ac:dyDescent="0.25">
      <c r="G19" s="29"/>
    </row>
    <row r="20" spans="1:12" x14ac:dyDescent="0.25">
      <c r="C20" t="s">
        <v>985</v>
      </c>
      <c r="D20" t="s">
        <v>394</v>
      </c>
      <c r="E20" t="s">
        <v>1043</v>
      </c>
      <c r="F20" t="s">
        <v>1044</v>
      </c>
      <c r="G20" s="29"/>
      <c r="H20">
        <v>0</v>
      </c>
      <c r="I20">
        <v>1000</v>
      </c>
      <c r="K20" t="s">
        <v>1045</v>
      </c>
      <c r="L20" t="s">
        <v>1045</v>
      </c>
    </row>
    <row r="21" spans="1:12" x14ac:dyDescent="0.25">
      <c r="C21" t="s">
        <v>985</v>
      </c>
      <c r="D21" t="s">
        <v>399</v>
      </c>
      <c r="E21" t="s">
        <v>1043</v>
      </c>
      <c r="F21" t="s">
        <v>1046</v>
      </c>
      <c r="G21" s="29" t="s">
        <v>1047</v>
      </c>
      <c r="H21">
        <v>0</v>
      </c>
      <c r="I21">
        <v>1000</v>
      </c>
      <c r="K21" t="s">
        <v>1048</v>
      </c>
      <c r="L21" t="s">
        <v>1049</v>
      </c>
    </row>
    <row r="22" spans="1:12" x14ac:dyDescent="0.25">
      <c r="C22" t="s">
        <v>1050</v>
      </c>
      <c r="D22" t="s">
        <v>404</v>
      </c>
      <c r="E22" t="s">
        <v>1043</v>
      </c>
      <c r="F22" t="s">
        <v>1051</v>
      </c>
      <c r="G22" s="29" t="s">
        <v>1052</v>
      </c>
      <c r="H22">
        <v>-1000</v>
      </c>
      <c r="I22">
        <v>1000</v>
      </c>
      <c r="K22" t="s">
        <v>1053</v>
      </c>
      <c r="L22" t="s">
        <v>1054</v>
      </c>
    </row>
    <row r="23" spans="1:12" x14ac:dyDescent="0.25">
      <c r="C23" t="s">
        <v>985</v>
      </c>
      <c r="D23" t="s">
        <v>409</v>
      </c>
      <c r="E23" t="s">
        <v>1043</v>
      </c>
      <c r="F23" t="s">
        <v>1055</v>
      </c>
      <c r="G23" s="29" t="s">
        <v>1056</v>
      </c>
      <c r="H23">
        <v>-1000</v>
      </c>
      <c r="I23">
        <v>1000</v>
      </c>
      <c r="K23" t="s">
        <v>1057</v>
      </c>
      <c r="L23" t="s">
        <v>1058</v>
      </c>
    </row>
    <row r="25" spans="1:12" ht="15.75" x14ac:dyDescent="0.25">
      <c r="C25" t="s">
        <v>985</v>
      </c>
      <c r="D25" t="s">
        <v>413</v>
      </c>
      <c r="E25" t="s">
        <v>1059</v>
      </c>
      <c r="F25" t="s">
        <v>1060</v>
      </c>
      <c r="G25" s="29" t="s">
        <v>1061</v>
      </c>
      <c r="H25">
        <v>0</v>
      </c>
      <c r="I25">
        <v>1000</v>
      </c>
      <c r="K25" s="62" t="s">
        <v>1062</v>
      </c>
      <c r="L25" t="s">
        <v>1059</v>
      </c>
    </row>
    <row r="27" spans="1:12" ht="15.75" x14ac:dyDescent="0.25">
      <c r="A27" t="s">
        <v>1063</v>
      </c>
      <c r="C27" t="s">
        <v>985</v>
      </c>
      <c r="D27" t="s">
        <v>418</v>
      </c>
      <c r="E27" t="s">
        <v>1064</v>
      </c>
      <c r="F27" t="s">
        <v>1065</v>
      </c>
      <c r="G27" s="29" t="s">
        <v>1066</v>
      </c>
      <c r="H27">
        <v>-1000</v>
      </c>
      <c r="I27">
        <v>1000</v>
      </c>
      <c r="K27" s="62" t="s">
        <v>1067</v>
      </c>
      <c r="L27" t="s">
        <v>1068</v>
      </c>
    </row>
    <row r="28" spans="1:12" ht="15.75" x14ac:dyDescent="0.25">
      <c r="A28" t="s">
        <v>1069</v>
      </c>
      <c r="C28" t="s">
        <v>985</v>
      </c>
      <c r="D28" t="s">
        <v>423</v>
      </c>
      <c r="E28" t="s">
        <v>1064</v>
      </c>
      <c r="F28" t="s">
        <v>1070</v>
      </c>
      <c r="G28" s="29" t="s">
        <v>1071</v>
      </c>
      <c r="H28">
        <v>-1000</v>
      </c>
      <c r="I28">
        <v>1000</v>
      </c>
      <c r="K28" s="62" t="s">
        <v>1072</v>
      </c>
      <c r="L28" t="s">
        <v>1073</v>
      </c>
    </row>
    <row r="29" spans="1:12" ht="15.75" x14ac:dyDescent="0.25">
      <c r="B29" t="s">
        <v>1074</v>
      </c>
      <c r="C29" t="s">
        <v>985</v>
      </c>
      <c r="D29" t="s">
        <v>427</v>
      </c>
      <c r="E29" t="s">
        <v>1064</v>
      </c>
      <c r="F29" t="s">
        <v>1075</v>
      </c>
      <c r="G29" s="29" t="s">
        <v>1076</v>
      </c>
      <c r="H29">
        <v>0</v>
      </c>
      <c r="I29">
        <v>1000</v>
      </c>
      <c r="K29" s="62" t="s">
        <v>1077</v>
      </c>
      <c r="L29" t="s">
        <v>1078</v>
      </c>
    </row>
    <row r="30" spans="1:12" ht="15.75" x14ac:dyDescent="0.25">
      <c r="B30" t="s">
        <v>1079</v>
      </c>
      <c r="C30" t="s">
        <v>985</v>
      </c>
      <c r="D30" t="s">
        <v>432</v>
      </c>
      <c r="E30" t="s">
        <v>1064</v>
      </c>
      <c r="F30" t="s">
        <v>1080</v>
      </c>
      <c r="G30" s="29" t="s">
        <v>1076</v>
      </c>
      <c r="H30">
        <v>0</v>
      </c>
      <c r="I30">
        <v>1000</v>
      </c>
      <c r="K30" s="62" t="s">
        <v>1077</v>
      </c>
      <c r="L30" t="s">
        <v>1078</v>
      </c>
    </row>
    <row r="31" spans="1:12" ht="15.75" x14ac:dyDescent="0.25">
      <c r="C31" t="s">
        <v>985</v>
      </c>
      <c r="D31" t="s">
        <v>437</v>
      </c>
      <c r="E31" t="s">
        <v>1064</v>
      </c>
      <c r="F31" t="s">
        <v>1081</v>
      </c>
      <c r="G31" s="29" t="s">
        <v>1082</v>
      </c>
      <c r="H31">
        <v>0</v>
      </c>
      <c r="I31">
        <v>1000</v>
      </c>
      <c r="K31" s="62" t="s">
        <v>1083</v>
      </c>
      <c r="L31" t="s">
        <v>1084</v>
      </c>
    </row>
    <row r="32" spans="1:12" ht="15.75" x14ac:dyDescent="0.25">
      <c r="C32" t="s">
        <v>985</v>
      </c>
      <c r="D32" t="s">
        <v>442</v>
      </c>
      <c r="E32" t="s">
        <v>1085</v>
      </c>
      <c r="F32" t="s">
        <v>1086</v>
      </c>
      <c r="G32" s="29" t="s">
        <v>1087</v>
      </c>
      <c r="H32">
        <v>-1000</v>
      </c>
      <c r="I32">
        <v>1000</v>
      </c>
      <c r="K32" s="62" t="s">
        <v>1088</v>
      </c>
      <c r="L32" t="s">
        <v>1089</v>
      </c>
    </row>
    <row r="33" spans="1:12" ht="15.75" x14ac:dyDescent="0.25">
      <c r="C33" t="s">
        <v>985</v>
      </c>
      <c r="D33" t="s">
        <v>447</v>
      </c>
      <c r="E33" t="s">
        <v>1085</v>
      </c>
      <c r="F33" t="s">
        <v>1090</v>
      </c>
      <c r="G33" s="29" t="s">
        <v>1091</v>
      </c>
      <c r="H33">
        <v>-1000</v>
      </c>
      <c r="I33">
        <v>1000</v>
      </c>
      <c r="K33" s="62" t="s">
        <v>1092</v>
      </c>
      <c r="L33" t="s">
        <v>1093</v>
      </c>
    </row>
    <row r="34" spans="1:12" ht="15.75" x14ac:dyDescent="0.25">
      <c r="B34" t="s">
        <v>1094</v>
      </c>
      <c r="C34" t="s">
        <v>1095</v>
      </c>
      <c r="D34" t="s">
        <v>452</v>
      </c>
      <c r="E34" t="s">
        <v>1064</v>
      </c>
      <c r="F34" t="s">
        <v>1096</v>
      </c>
      <c r="G34" s="29" t="s">
        <v>1097</v>
      </c>
      <c r="H34">
        <v>0</v>
      </c>
      <c r="I34">
        <v>1000</v>
      </c>
      <c r="K34" s="62" t="s">
        <v>1098</v>
      </c>
      <c r="L34" t="s">
        <v>1099</v>
      </c>
    </row>
    <row r="35" spans="1:12" ht="15.75" x14ac:dyDescent="0.25">
      <c r="C35" t="s">
        <v>985</v>
      </c>
      <c r="D35" t="s">
        <v>457</v>
      </c>
      <c r="E35" t="s">
        <v>1100</v>
      </c>
      <c r="F35" t="s">
        <v>1101</v>
      </c>
      <c r="G35" s="29" t="s">
        <v>1102</v>
      </c>
      <c r="H35">
        <v>-1000</v>
      </c>
      <c r="I35">
        <v>1000</v>
      </c>
      <c r="K35" s="62" t="s">
        <v>1103</v>
      </c>
      <c r="L35" t="s">
        <v>1104</v>
      </c>
    </row>
    <row r="36" spans="1:12" ht="15.75" x14ac:dyDescent="0.25">
      <c r="C36" t="s">
        <v>985</v>
      </c>
      <c r="D36" t="s">
        <v>462</v>
      </c>
      <c r="E36" t="s">
        <v>1064</v>
      </c>
      <c r="F36" t="s">
        <v>1105</v>
      </c>
      <c r="G36" s="29" t="s">
        <v>1106</v>
      </c>
      <c r="H36">
        <v>-1000</v>
      </c>
      <c r="I36">
        <v>1000</v>
      </c>
      <c r="K36" s="62" t="s">
        <v>1107</v>
      </c>
      <c r="L36" t="s">
        <v>1108</v>
      </c>
    </row>
    <row r="37" spans="1:12" ht="15.75" x14ac:dyDescent="0.25">
      <c r="A37" t="s">
        <v>1109</v>
      </c>
      <c r="C37" t="s">
        <v>985</v>
      </c>
      <c r="D37" t="s">
        <v>466</v>
      </c>
      <c r="E37" t="s">
        <v>1110</v>
      </c>
      <c r="F37" t="s">
        <v>1111</v>
      </c>
      <c r="G37" s="29" t="s">
        <v>1112</v>
      </c>
      <c r="H37">
        <v>-1000</v>
      </c>
      <c r="I37">
        <v>1000</v>
      </c>
      <c r="K37" s="62" t="s">
        <v>1113</v>
      </c>
      <c r="L37" t="s">
        <v>1114</v>
      </c>
    </row>
    <row r="39" spans="1:12" x14ac:dyDescent="0.25">
      <c r="C39" t="s">
        <v>1095</v>
      </c>
      <c r="D39" t="s">
        <v>470</v>
      </c>
      <c r="E39" t="s">
        <v>1115</v>
      </c>
      <c r="F39" t="s">
        <v>1116</v>
      </c>
      <c r="G39" s="29" t="s">
        <v>1117</v>
      </c>
      <c r="H39">
        <v>-1000</v>
      </c>
      <c r="I39">
        <v>1000</v>
      </c>
      <c r="K39" s="29" t="s">
        <v>1118</v>
      </c>
      <c r="L39" t="s">
        <v>1119</v>
      </c>
    </row>
    <row r="40" spans="1:12" x14ac:dyDescent="0.25">
      <c r="C40" t="s">
        <v>1095</v>
      </c>
      <c r="D40" t="s">
        <v>473</v>
      </c>
      <c r="E40" t="s">
        <v>1115</v>
      </c>
      <c r="F40" t="s">
        <v>1120</v>
      </c>
      <c r="G40" s="29" t="s">
        <v>1121</v>
      </c>
      <c r="H40">
        <v>0</v>
      </c>
      <c r="I40">
        <v>1000</v>
      </c>
      <c r="K40" s="29" t="s">
        <v>1122</v>
      </c>
      <c r="L40" t="s">
        <v>1123</v>
      </c>
    </row>
    <row r="41" spans="1:12" x14ac:dyDescent="0.25">
      <c r="C41" t="s">
        <v>1095</v>
      </c>
      <c r="D41" t="s">
        <v>477</v>
      </c>
      <c r="E41" t="s">
        <v>1124</v>
      </c>
      <c r="F41" t="s">
        <v>1125</v>
      </c>
      <c r="G41" s="29" t="s">
        <v>1126</v>
      </c>
      <c r="H41">
        <v>-1000</v>
      </c>
      <c r="I41">
        <v>1000</v>
      </c>
      <c r="K41" t="s">
        <v>1127</v>
      </c>
      <c r="L41" t="s">
        <v>1128</v>
      </c>
    </row>
    <row r="42" spans="1:12" x14ac:dyDescent="0.25">
      <c r="C42" t="s">
        <v>1095</v>
      </c>
      <c r="D42" t="s">
        <v>482</v>
      </c>
      <c r="E42" t="s">
        <v>1124</v>
      </c>
      <c r="F42" t="s">
        <v>1129</v>
      </c>
      <c r="G42" s="29" t="s">
        <v>1130</v>
      </c>
      <c r="H42">
        <v>0</v>
      </c>
      <c r="I42">
        <v>1000</v>
      </c>
      <c r="K42" s="29" t="s">
        <v>1131</v>
      </c>
      <c r="L42" t="s">
        <v>1132</v>
      </c>
    </row>
    <row r="43" spans="1:12" x14ac:dyDescent="0.25">
      <c r="C43" t="s">
        <v>1095</v>
      </c>
      <c r="D43" t="s">
        <v>486</v>
      </c>
      <c r="E43" t="s">
        <v>1124</v>
      </c>
      <c r="F43" t="s">
        <v>1133</v>
      </c>
      <c r="G43" s="29" t="s">
        <v>1134</v>
      </c>
      <c r="H43">
        <v>0</v>
      </c>
      <c r="I43">
        <v>1000</v>
      </c>
      <c r="K43" t="s">
        <v>1135</v>
      </c>
      <c r="L43" t="s">
        <v>1136</v>
      </c>
    </row>
    <row r="44" spans="1:12" x14ac:dyDescent="0.25">
      <c r="C44" t="s">
        <v>1095</v>
      </c>
      <c r="D44" t="s">
        <v>489</v>
      </c>
      <c r="E44" t="s">
        <v>1124</v>
      </c>
      <c r="F44" t="s">
        <v>1137</v>
      </c>
      <c r="G44" s="29" t="s">
        <v>1138</v>
      </c>
      <c r="H44">
        <v>0</v>
      </c>
      <c r="I44">
        <v>1000</v>
      </c>
      <c r="K44" s="29" t="s">
        <v>1139</v>
      </c>
      <c r="L44" t="s">
        <v>1140</v>
      </c>
    </row>
    <row r="45" spans="1:12" x14ac:dyDescent="0.25">
      <c r="A45" t="s">
        <v>1141</v>
      </c>
      <c r="C45" t="s">
        <v>1095</v>
      </c>
      <c r="D45" t="s">
        <v>493</v>
      </c>
      <c r="E45" t="s">
        <v>1124</v>
      </c>
      <c r="F45" s="60" t="s">
        <v>1142</v>
      </c>
      <c r="G45" s="29" t="s">
        <v>1143</v>
      </c>
      <c r="H45">
        <v>0</v>
      </c>
      <c r="I45">
        <v>1000</v>
      </c>
      <c r="K45" s="29" t="s">
        <v>1144</v>
      </c>
      <c r="L45" t="s">
        <v>1145</v>
      </c>
    </row>
    <row r="46" spans="1:12" x14ac:dyDescent="0.25">
      <c r="C46" t="s">
        <v>1095</v>
      </c>
      <c r="D46" t="s">
        <v>497</v>
      </c>
      <c r="E46" t="s">
        <v>1146</v>
      </c>
      <c r="F46" t="s">
        <v>1147</v>
      </c>
      <c r="G46" s="29" t="s">
        <v>1148</v>
      </c>
      <c r="H46">
        <v>-1000</v>
      </c>
      <c r="I46">
        <v>1000</v>
      </c>
      <c r="K46" t="s">
        <v>1149</v>
      </c>
      <c r="L46" t="s">
        <v>1150</v>
      </c>
    </row>
    <row r="47" spans="1:12" x14ac:dyDescent="0.25">
      <c r="C47" t="s">
        <v>1095</v>
      </c>
      <c r="D47" t="s">
        <v>502</v>
      </c>
      <c r="E47" t="s">
        <v>1151</v>
      </c>
      <c r="F47" t="s">
        <v>1152</v>
      </c>
      <c r="G47" s="29" t="s">
        <v>1153</v>
      </c>
      <c r="H47">
        <v>-1000</v>
      </c>
      <c r="I47">
        <v>1000</v>
      </c>
      <c r="K47" s="29" t="s">
        <v>1113</v>
      </c>
      <c r="L47" t="s">
        <v>1154</v>
      </c>
    </row>
    <row r="49" spans="1:12" x14ac:dyDescent="0.25">
      <c r="C49" t="s">
        <v>1095</v>
      </c>
      <c r="D49" t="s">
        <v>505</v>
      </c>
      <c r="E49" t="s">
        <v>1155</v>
      </c>
      <c r="F49" t="s">
        <v>1156</v>
      </c>
      <c r="G49" s="29" t="s">
        <v>1157</v>
      </c>
      <c r="H49">
        <v>-1000</v>
      </c>
      <c r="I49">
        <v>1000</v>
      </c>
      <c r="K49" t="s">
        <v>1158</v>
      </c>
      <c r="L49" t="s">
        <v>1159</v>
      </c>
    </row>
    <row r="50" spans="1:12" x14ac:dyDescent="0.25">
      <c r="C50" t="s">
        <v>1095</v>
      </c>
      <c r="D50" t="s">
        <v>510</v>
      </c>
      <c r="E50" t="s">
        <v>1155</v>
      </c>
      <c r="F50" t="s">
        <v>1160</v>
      </c>
      <c r="G50" s="29" t="s">
        <v>1161</v>
      </c>
      <c r="H50">
        <v>-1000</v>
      </c>
      <c r="I50">
        <v>1000</v>
      </c>
      <c r="K50" t="s">
        <v>1135</v>
      </c>
      <c r="L50" t="s">
        <v>1136</v>
      </c>
    </row>
    <row r="51" spans="1:12" x14ac:dyDescent="0.25">
      <c r="C51" t="s">
        <v>1095</v>
      </c>
      <c r="D51" t="s">
        <v>514</v>
      </c>
      <c r="E51" t="s">
        <v>1155</v>
      </c>
      <c r="F51" t="s">
        <v>1162</v>
      </c>
      <c r="G51" s="29" t="s">
        <v>1163</v>
      </c>
      <c r="H51">
        <v>-1000</v>
      </c>
      <c r="I51">
        <v>1000</v>
      </c>
      <c r="K51" s="29" t="s">
        <v>1164</v>
      </c>
      <c r="L51" t="s">
        <v>1165</v>
      </c>
    </row>
    <row r="52" spans="1:12" x14ac:dyDescent="0.25">
      <c r="G52" s="29"/>
      <c r="K52" s="29"/>
    </row>
    <row r="53" spans="1:12" x14ac:dyDescent="0.25">
      <c r="C53" t="s">
        <v>985</v>
      </c>
      <c r="D53" t="s">
        <v>518</v>
      </c>
      <c r="E53" t="s">
        <v>1166</v>
      </c>
      <c r="F53" t="s">
        <v>1167</v>
      </c>
      <c r="G53" s="29" t="s">
        <v>1168</v>
      </c>
      <c r="H53">
        <v>0</v>
      </c>
      <c r="I53">
        <v>1000</v>
      </c>
      <c r="K53" s="29" t="s">
        <v>1169</v>
      </c>
      <c r="L53" t="s">
        <v>1170</v>
      </c>
    </row>
    <row r="54" spans="1:12" x14ac:dyDescent="0.25">
      <c r="A54" t="s">
        <v>1171</v>
      </c>
      <c r="C54" t="s">
        <v>985</v>
      </c>
      <c r="D54" t="s">
        <v>521</v>
      </c>
      <c r="E54" t="s">
        <v>1166</v>
      </c>
      <c r="F54" t="s">
        <v>1172</v>
      </c>
      <c r="G54" s="29" t="s">
        <v>1173</v>
      </c>
      <c r="H54">
        <v>0</v>
      </c>
      <c r="I54">
        <v>1000</v>
      </c>
      <c r="K54" t="s">
        <v>1174</v>
      </c>
      <c r="L54" t="s">
        <v>1175</v>
      </c>
    </row>
    <row r="55" spans="1:12" x14ac:dyDescent="0.25">
      <c r="C55" t="s">
        <v>985</v>
      </c>
      <c r="D55" t="s">
        <v>525</v>
      </c>
      <c r="E55" t="s">
        <v>1166</v>
      </c>
      <c r="F55" t="s">
        <v>1176</v>
      </c>
      <c r="G55" s="29" t="s">
        <v>1177</v>
      </c>
      <c r="H55">
        <v>-1000</v>
      </c>
      <c r="I55">
        <v>1000</v>
      </c>
      <c r="K55" s="29" t="s">
        <v>1178</v>
      </c>
      <c r="L55" t="s">
        <v>1179</v>
      </c>
    </row>
    <row r="56" spans="1:12" x14ac:dyDescent="0.25">
      <c r="A56" t="s">
        <v>1180</v>
      </c>
      <c r="C56" t="s">
        <v>985</v>
      </c>
      <c r="D56" t="s">
        <v>529</v>
      </c>
      <c r="E56" t="s">
        <v>1166</v>
      </c>
      <c r="F56" t="s">
        <v>1181</v>
      </c>
      <c r="G56" s="29" t="s">
        <v>1182</v>
      </c>
      <c r="H56" s="28">
        <v>0</v>
      </c>
      <c r="I56">
        <v>1000</v>
      </c>
      <c r="K56" s="29" t="s">
        <v>1183</v>
      </c>
      <c r="L56" t="s">
        <v>1184</v>
      </c>
    </row>
    <row r="57" spans="1:12" x14ac:dyDescent="0.25">
      <c r="C57" t="s">
        <v>985</v>
      </c>
      <c r="D57" t="s">
        <v>533</v>
      </c>
      <c r="E57" t="s">
        <v>1166</v>
      </c>
      <c r="F57" t="s">
        <v>1185</v>
      </c>
      <c r="G57" s="29" t="s">
        <v>1186</v>
      </c>
      <c r="H57">
        <v>0</v>
      </c>
      <c r="I57">
        <v>1000</v>
      </c>
      <c r="K57" s="29" t="s">
        <v>1187</v>
      </c>
      <c r="L57" t="s">
        <v>1188</v>
      </c>
    </row>
    <row r="58" spans="1:12" x14ac:dyDescent="0.25">
      <c r="C58" t="s">
        <v>985</v>
      </c>
      <c r="D58" t="s">
        <v>538</v>
      </c>
      <c r="E58" t="s">
        <v>1166</v>
      </c>
      <c r="F58" t="s">
        <v>1189</v>
      </c>
      <c r="G58" s="29" t="s">
        <v>1190</v>
      </c>
      <c r="H58">
        <v>0</v>
      </c>
      <c r="I58">
        <v>1000</v>
      </c>
      <c r="K58" s="29" t="s">
        <v>1191</v>
      </c>
      <c r="L58" t="s">
        <v>1192</v>
      </c>
    </row>
    <row r="59" spans="1:12" x14ac:dyDescent="0.25">
      <c r="C59" t="s">
        <v>985</v>
      </c>
      <c r="D59" t="s">
        <v>543</v>
      </c>
      <c r="E59" t="s">
        <v>1166</v>
      </c>
      <c r="F59" t="s">
        <v>1193</v>
      </c>
      <c r="G59" s="29" t="s">
        <v>1194</v>
      </c>
      <c r="H59">
        <v>-1000</v>
      </c>
      <c r="I59">
        <v>1000</v>
      </c>
      <c r="K59" s="29" t="s">
        <v>1195</v>
      </c>
      <c r="L59" t="s">
        <v>1196</v>
      </c>
    </row>
    <row r="60" spans="1:12" x14ac:dyDescent="0.25">
      <c r="A60" t="s">
        <v>1197</v>
      </c>
      <c r="C60" t="s">
        <v>985</v>
      </c>
      <c r="D60" t="s">
        <v>546</v>
      </c>
      <c r="E60" t="s">
        <v>1166</v>
      </c>
      <c r="F60" t="s">
        <v>1198</v>
      </c>
      <c r="G60" s="29" t="s">
        <v>1199</v>
      </c>
      <c r="H60">
        <v>-1000</v>
      </c>
      <c r="I60">
        <v>1000</v>
      </c>
      <c r="K60" s="29" t="s">
        <v>1200</v>
      </c>
      <c r="L60" t="s">
        <v>1201</v>
      </c>
    </row>
    <row r="61" spans="1:12" x14ac:dyDescent="0.25">
      <c r="C61" t="s">
        <v>985</v>
      </c>
      <c r="D61" t="s">
        <v>549</v>
      </c>
      <c r="E61" t="s">
        <v>1166</v>
      </c>
      <c r="F61" t="s">
        <v>1202</v>
      </c>
      <c r="G61" s="29" t="s">
        <v>1203</v>
      </c>
      <c r="H61">
        <v>-1000</v>
      </c>
      <c r="I61">
        <v>1000</v>
      </c>
      <c r="K61" s="29" t="s">
        <v>1204</v>
      </c>
      <c r="L61" t="s">
        <v>1205</v>
      </c>
    </row>
    <row r="62" spans="1:12" x14ac:dyDescent="0.25">
      <c r="A62" t="s">
        <v>1206</v>
      </c>
      <c r="C62" t="s">
        <v>985</v>
      </c>
      <c r="D62" t="s">
        <v>553</v>
      </c>
      <c r="E62" t="s">
        <v>1207</v>
      </c>
      <c r="F62" t="s">
        <v>1208</v>
      </c>
      <c r="G62" s="29" t="s">
        <v>1209</v>
      </c>
      <c r="H62">
        <v>0</v>
      </c>
      <c r="I62">
        <v>1000</v>
      </c>
      <c r="K62" s="29" t="s">
        <v>1210</v>
      </c>
      <c r="L62" t="s">
        <v>1211</v>
      </c>
    </row>
    <row r="63" spans="1:12" x14ac:dyDescent="0.25">
      <c r="C63" t="s">
        <v>985</v>
      </c>
      <c r="D63" t="s">
        <v>558</v>
      </c>
      <c r="E63" t="s">
        <v>1207</v>
      </c>
      <c r="F63" t="s">
        <v>1212</v>
      </c>
      <c r="G63" s="29" t="s">
        <v>1213</v>
      </c>
      <c r="H63">
        <v>0</v>
      </c>
      <c r="I63">
        <v>1000</v>
      </c>
      <c r="K63" s="29" t="s">
        <v>1214</v>
      </c>
      <c r="L63" t="s">
        <v>1215</v>
      </c>
    </row>
    <row r="64" spans="1:12" x14ac:dyDescent="0.25">
      <c r="A64" t="s">
        <v>1216</v>
      </c>
      <c r="C64" t="s">
        <v>985</v>
      </c>
      <c r="D64" t="s">
        <v>561</v>
      </c>
      <c r="E64" t="s">
        <v>1207</v>
      </c>
      <c r="F64" t="s">
        <v>1217</v>
      </c>
      <c r="G64" s="29" t="s">
        <v>1218</v>
      </c>
      <c r="H64">
        <v>0</v>
      </c>
      <c r="I64">
        <v>1000</v>
      </c>
      <c r="K64" t="s">
        <v>1219</v>
      </c>
      <c r="L64" t="s">
        <v>1220</v>
      </c>
    </row>
    <row r="65" spans="1:12" x14ac:dyDescent="0.25">
      <c r="G65" s="63"/>
      <c r="K65" s="34"/>
    </row>
    <row r="66" spans="1:12" ht="15.75" x14ac:dyDescent="0.25">
      <c r="A66" t="s">
        <v>1221</v>
      </c>
      <c r="B66" t="s">
        <v>1222</v>
      </c>
      <c r="C66" t="s">
        <v>985</v>
      </c>
      <c r="D66" t="s">
        <v>564</v>
      </c>
      <c r="E66" t="s">
        <v>1223</v>
      </c>
      <c r="F66" t="s">
        <v>1222</v>
      </c>
      <c r="G66" s="29" t="s">
        <v>1224</v>
      </c>
      <c r="H66">
        <v>-1000</v>
      </c>
      <c r="I66">
        <v>1000</v>
      </c>
      <c r="K66" s="62" t="s">
        <v>1225</v>
      </c>
      <c r="L66" t="s">
        <v>1226</v>
      </c>
    </row>
    <row r="67" spans="1:12" ht="15.75" x14ac:dyDescent="0.25">
      <c r="B67" t="s">
        <v>1227</v>
      </c>
      <c r="C67" t="s">
        <v>985</v>
      </c>
      <c r="D67" t="s">
        <v>567</v>
      </c>
      <c r="E67" t="s">
        <v>1223</v>
      </c>
      <c r="F67" t="s">
        <v>1227</v>
      </c>
      <c r="G67" s="29" t="s">
        <v>1228</v>
      </c>
      <c r="H67">
        <v>-1000</v>
      </c>
      <c r="I67">
        <v>1000</v>
      </c>
      <c r="K67" s="64" t="s">
        <v>1229</v>
      </c>
      <c r="L67" t="s">
        <v>1230</v>
      </c>
    </row>
    <row r="68" spans="1:12" ht="15.75" x14ac:dyDescent="0.25">
      <c r="B68" t="s">
        <v>1231</v>
      </c>
      <c r="C68" t="s">
        <v>985</v>
      </c>
      <c r="D68" t="s">
        <v>570</v>
      </c>
      <c r="E68" t="s">
        <v>1232</v>
      </c>
      <c r="F68" t="s">
        <v>1231</v>
      </c>
      <c r="G68" s="29" t="s">
        <v>1233</v>
      </c>
      <c r="H68">
        <v>-1000</v>
      </c>
      <c r="I68">
        <v>1000</v>
      </c>
      <c r="K68" s="62" t="s">
        <v>1234</v>
      </c>
      <c r="L68" t="s">
        <v>1235</v>
      </c>
    </row>
    <row r="69" spans="1:12" ht="15.75" x14ac:dyDescent="0.25">
      <c r="B69" t="s">
        <v>1236</v>
      </c>
      <c r="C69" t="s">
        <v>985</v>
      </c>
      <c r="D69" t="s">
        <v>575</v>
      </c>
      <c r="E69" t="s">
        <v>1232</v>
      </c>
      <c r="F69" t="s">
        <v>1236</v>
      </c>
      <c r="G69" s="29" t="s">
        <v>1237</v>
      </c>
      <c r="H69">
        <v>-1000</v>
      </c>
      <c r="I69">
        <v>1000</v>
      </c>
      <c r="K69" s="62" t="s">
        <v>1238</v>
      </c>
      <c r="L69" t="s">
        <v>1239</v>
      </c>
    </row>
    <row r="70" spans="1:12" ht="15.75" x14ac:dyDescent="0.25">
      <c r="B70" t="s">
        <v>1240</v>
      </c>
      <c r="C70" t="s">
        <v>985</v>
      </c>
      <c r="D70" t="s">
        <v>578</v>
      </c>
      <c r="E70" t="s">
        <v>1232</v>
      </c>
      <c r="F70" t="s">
        <v>1240</v>
      </c>
      <c r="G70" s="29" t="s">
        <v>1241</v>
      </c>
      <c r="H70">
        <v>-1000</v>
      </c>
      <c r="I70">
        <v>1000</v>
      </c>
      <c r="K70" s="62" t="s">
        <v>1242</v>
      </c>
      <c r="L70" t="s">
        <v>1243</v>
      </c>
    </row>
    <row r="71" spans="1:12" x14ac:dyDescent="0.25">
      <c r="B71" t="s">
        <v>1244</v>
      </c>
      <c r="C71" t="s">
        <v>985</v>
      </c>
      <c r="D71" t="s">
        <v>581</v>
      </c>
      <c r="E71" t="s">
        <v>1232</v>
      </c>
      <c r="F71" t="s">
        <v>1244</v>
      </c>
      <c r="G71" s="29" t="s">
        <v>1245</v>
      </c>
      <c r="H71">
        <v>-1000</v>
      </c>
      <c r="I71">
        <v>1000</v>
      </c>
      <c r="K71" t="s">
        <v>1246</v>
      </c>
      <c r="L71" t="s">
        <v>1247</v>
      </c>
    </row>
    <row r="72" spans="1:12" ht="15.75" x14ac:dyDescent="0.25">
      <c r="B72" t="s">
        <v>1248</v>
      </c>
      <c r="C72" t="s">
        <v>985</v>
      </c>
      <c r="D72" t="s">
        <v>585</v>
      </c>
      <c r="E72" t="s">
        <v>1249</v>
      </c>
      <c r="F72" t="s">
        <v>1248</v>
      </c>
      <c r="G72" s="29" t="s">
        <v>1250</v>
      </c>
      <c r="H72">
        <v>-1000</v>
      </c>
      <c r="I72">
        <v>1000</v>
      </c>
      <c r="K72" s="62" t="s">
        <v>1251</v>
      </c>
      <c r="L72" t="s">
        <v>1252</v>
      </c>
    </row>
    <row r="74" spans="1:12" x14ac:dyDescent="0.25">
      <c r="C74" t="s">
        <v>1014</v>
      </c>
      <c r="D74" t="s">
        <v>1253</v>
      </c>
      <c r="E74" t="s">
        <v>1254</v>
      </c>
      <c r="F74" t="s">
        <v>1255</v>
      </c>
      <c r="G74" s="65" t="s">
        <v>1256</v>
      </c>
      <c r="H74">
        <v>0</v>
      </c>
      <c r="I74">
        <v>1000</v>
      </c>
      <c r="K74" s="29" t="s">
        <v>1257</v>
      </c>
      <c r="L74" t="s">
        <v>1258</v>
      </c>
    </row>
    <row r="75" spans="1:12" x14ac:dyDescent="0.25">
      <c r="C75" t="s">
        <v>1014</v>
      </c>
      <c r="D75" t="s">
        <v>1259</v>
      </c>
      <c r="E75" t="s">
        <v>1254</v>
      </c>
      <c r="F75" t="s">
        <v>1260</v>
      </c>
      <c r="G75" s="66" t="s">
        <v>1261</v>
      </c>
      <c r="H75">
        <v>0</v>
      </c>
      <c r="I75">
        <v>1000</v>
      </c>
      <c r="K75" s="29" t="s">
        <v>1262</v>
      </c>
      <c r="L75" t="s">
        <v>1263</v>
      </c>
    </row>
    <row r="76" spans="1:12" x14ac:dyDescent="0.25">
      <c r="C76" t="s">
        <v>1014</v>
      </c>
      <c r="D76" t="s">
        <v>1264</v>
      </c>
      <c r="E76" t="s">
        <v>1265</v>
      </c>
      <c r="F76" t="s">
        <v>1266</v>
      </c>
      <c r="G76" s="66" t="s">
        <v>1267</v>
      </c>
      <c r="H76">
        <v>0</v>
      </c>
      <c r="I76">
        <v>1000</v>
      </c>
      <c r="K76" s="29" t="s">
        <v>1268</v>
      </c>
      <c r="L76" t="s">
        <v>1269</v>
      </c>
    </row>
    <row r="77" spans="1:12" x14ac:dyDescent="0.25">
      <c r="C77" t="s">
        <v>1014</v>
      </c>
      <c r="D77" t="s">
        <v>1270</v>
      </c>
      <c r="E77" t="s">
        <v>1265</v>
      </c>
      <c r="F77" t="s">
        <v>1271</v>
      </c>
      <c r="G77" s="65" t="s">
        <v>1272</v>
      </c>
      <c r="H77">
        <v>0</v>
      </c>
      <c r="I77">
        <v>1000</v>
      </c>
      <c r="K77" s="67" t="s">
        <v>1273</v>
      </c>
      <c r="L77" t="s">
        <v>1274</v>
      </c>
    </row>
    <row r="78" spans="1:12" x14ac:dyDescent="0.25">
      <c r="G78" s="63"/>
      <c r="K78" s="67"/>
    </row>
    <row r="79" spans="1:12" x14ac:dyDescent="0.25">
      <c r="A79" t="s">
        <v>1275</v>
      </c>
      <c r="C79" t="s">
        <v>1014</v>
      </c>
      <c r="D79" t="s">
        <v>1276</v>
      </c>
      <c r="E79" t="s">
        <v>1277</v>
      </c>
      <c r="F79" t="s">
        <v>1278</v>
      </c>
      <c r="G79" s="29" t="s">
        <v>1279</v>
      </c>
      <c r="H79">
        <v>0</v>
      </c>
      <c r="I79">
        <v>1000</v>
      </c>
      <c r="K79" s="67" t="s">
        <v>1280</v>
      </c>
      <c r="L79" t="s">
        <v>1281</v>
      </c>
    </row>
    <row r="80" spans="1:12" x14ac:dyDescent="0.25">
      <c r="A80" t="s">
        <v>1275</v>
      </c>
      <c r="C80" t="s">
        <v>1014</v>
      </c>
      <c r="D80" t="s">
        <v>1282</v>
      </c>
      <c r="E80" t="s">
        <v>1277</v>
      </c>
      <c r="F80" t="s">
        <v>1283</v>
      </c>
      <c r="G80" s="29" t="s">
        <v>1284</v>
      </c>
      <c r="H80">
        <v>0</v>
      </c>
      <c r="I80">
        <v>1000</v>
      </c>
      <c r="K80" s="67" t="s">
        <v>1285</v>
      </c>
      <c r="L80" t="s">
        <v>1281</v>
      </c>
    </row>
    <row r="81" spans="1:12" x14ac:dyDescent="0.25">
      <c r="A81" t="s">
        <v>1286</v>
      </c>
      <c r="C81" t="s">
        <v>985</v>
      </c>
      <c r="D81" t="s">
        <v>1287</v>
      </c>
      <c r="E81" t="s">
        <v>1277</v>
      </c>
      <c r="F81" t="s">
        <v>1288</v>
      </c>
      <c r="G81" s="29" t="s">
        <v>1289</v>
      </c>
      <c r="H81">
        <v>0</v>
      </c>
      <c r="I81">
        <v>1000</v>
      </c>
      <c r="K81" s="67" t="s">
        <v>1290</v>
      </c>
      <c r="L81" t="s">
        <v>1291</v>
      </c>
    </row>
    <row r="82" spans="1:12" x14ac:dyDescent="0.25">
      <c r="A82" t="s">
        <v>1286</v>
      </c>
      <c r="C82" t="s">
        <v>985</v>
      </c>
      <c r="D82" t="s">
        <v>1292</v>
      </c>
      <c r="E82" t="s">
        <v>1277</v>
      </c>
      <c r="F82" t="s">
        <v>1293</v>
      </c>
      <c r="G82" s="29" t="s">
        <v>1294</v>
      </c>
      <c r="H82">
        <v>0</v>
      </c>
      <c r="I82">
        <v>1000</v>
      </c>
      <c r="K82" s="67" t="s">
        <v>1295</v>
      </c>
      <c r="L82" t="s">
        <v>1291</v>
      </c>
    </row>
    <row r="83" spans="1:12" x14ac:dyDescent="0.25">
      <c r="G83" s="29"/>
    </row>
    <row r="84" spans="1:12" x14ac:dyDescent="0.25">
      <c r="C84" t="s">
        <v>985</v>
      </c>
      <c r="D84" t="s">
        <v>590</v>
      </c>
      <c r="E84" t="s">
        <v>1296</v>
      </c>
      <c r="F84" t="s">
        <v>1297</v>
      </c>
      <c r="G84" t="s">
        <v>1298</v>
      </c>
      <c r="H84">
        <v>-1000</v>
      </c>
      <c r="I84">
        <v>1000</v>
      </c>
      <c r="K84" s="29" t="s">
        <v>1299</v>
      </c>
      <c r="L84" t="s">
        <v>1300</v>
      </c>
    </row>
    <row r="85" spans="1:12" x14ac:dyDescent="0.25">
      <c r="C85" t="s">
        <v>985</v>
      </c>
      <c r="D85" t="s">
        <v>593</v>
      </c>
      <c r="E85" t="s">
        <v>1296</v>
      </c>
      <c r="F85" t="s">
        <v>1301</v>
      </c>
      <c r="G85" s="29" t="s">
        <v>1302</v>
      </c>
      <c r="H85">
        <v>-1000</v>
      </c>
      <c r="I85">
        <v>1000</v>
      </c>
      <c r="K85" s="29" t="s">
        <v>1299</v>
      </c>
      <c r="L85" t="s">
        <v>1300</v>
      </c>
    </row>
    <row r="86" spans="1:12" x14ac:dyDescent="0.25">
      <c r="C86" t="s">
        <v>985</v>
      </c>
      <c r="D86" t="s">
        <v>598</v>
      </c>
      <c r="E86" t="s">
        <v>1296</v>
      </c>
      <c r="F86" t="s">
        <v>1303</v>
      </c>
      <c r="G86" s="29" t="s">
        <v>1304</v>
      </c>
      <c r="H86">
        <v>-1000</v>
      </c>
      <c r="I86">
        <v>1000</v>
      </c>
      <c r="K86" s="29" t="s">
        <v>1305</v>
      </c>
      <c r="L86" t="s">
        <v>1306</v>
      </c>
    </row>
    <row r="87" spans="1:12" x14ac:dyDescent="0.25">
      <c r="C87" t="s">
        <v>985</v>
      </c>
      <c r="D87" t="s">
        <v>603</v>
      </c>
      <c r="E87" t="s">
        <v>1296</v>
      </c>
      <c r="F87" t="s">
        <v>1307</v>
      </c>
      <c r="G87" s="29" t="s">
        <v>1308</v>
      </c>
      <c r="H87">
        <v>-1000</v>
      </c>
      <c r="I87">
        <v>1000</v>
      </c>
      <c r="K87" t="s">
        <v>1309</v>
      </c>
      <c r="L87" t="s">
        <v>1310</v>
      </c>
    </row>
    <row r="88" spans="1:12" x14ac:dyDescent="0.25">
      <c r="C88" t="s">
        <v>985</v>
      </c>
      <c r="D88" t="s">
        <v>607</v>
      </c>
      <c r="E88" t="s">
        <v>1296</v>
      </c>
      <c r="F88" t="s">
        <v>1311</v>
      </c>
      <c r="G88" s="29" t="s">
        <v>1312</v>
      </c>
      <c r="H88">
        <v>-1000</v>
      </c>
      <c r="I88">
        <v>1000</v>
      </c>
      <c r="K88" t="s">
        <v>1313</v>
      </c>
      <c r="L88" t="s">
        <v>1314</v>
      </c>
    </row>
    <row r="90" spans="1:12" x14ac:dyDescent="0.25">
      <c r="C90" t="s">
        <v>1095</v>
      </c>
      <c r="D90" t="s">
        <v>611</v>
      </c>
      <c r="E90" t="s">
        <v>1315</v>
      </c>
      <c r="F90" t="s">
        <v>1316</v>
      </c>
      <c r="G90" s="29" t="s">
        <v>1317</v>
      </c>
      <c r="H90">
        <v>0</v>
      </c>
      <c r="I90">
        <v>1000</v>
      </c>
      <c r="K90" s="29" t="s">
        <v>1318</v>
      </c>
      <c r="L90" t="s">
        <v>1319</v>
      </c>
    </row>
    <row r="91" spans="1:12" x14ac:dyDescent="0.25">
      <c r="C91" t="s">
        <v>1095</v>
      </c>
      <c r="D91" t="s">
        <v>615</v>
      </c>
      <c r="E91" t="s">
        <v>1320</v>
      </c>
      <c r="F91" t="s">
        <v>1321</v>
      </c>
      <c r="G91" s="29" t="s">
        <v>1322</v>
      </c>
      <c r="H91">
        <v>0</v>
      </c>
      <c r="I91">
        <v>1000</v>
      </c>
      <c r="K91" t="s">
        <v>1323</v>
      </c>
      <c r="L91" s="68" t="s">
        <v>1324</v>
      </c>
    </row>
    <row r="92" spans="1:12" x14ac:dyDescent="0.25">
      <c r="C92" t="s">
        <v>1095</v>
      </c>
      <c r="D92" t="s">
        <v>620</v>
      </c>
      <c r="E92" t="s">
        <v>1320</v>
      </c>
      <c r="F92" t="s">
        <v>1325</v>
      </c>
      <c r="G92" s="29" t="s">
        <v>1326</v>
      </c>
      <c r="H92">
        <v>-1000</v>
      </c>
      <c r="I92">
        <v>1000</v>
      </c>
      <c r="K92" t="s">
        <v>1327</v>
      </c>
      <c r="L92" t="s">
        <v>1328</v>
      </c>
    </row>
    <row r="93" spans="1:12" x14ac:dyDescent="0.25">
      <c r="C93" t="s">
        <v>1095</v>
      </c>
      <c r="D93" t="s">
        <v>625</v>
      </c>
      <c r="E93" t="s">
        <v>1320</v>
      </c>
      <c r="F93" t="s">
        <v>1329</v>
      </c>
      <c r="G93" s="29" t="s">
        <v>1330</v>
      </c>
      <c r="H93">
        <v>0</v>
      </c>
      <c r="I93">
        <v>1000</v>
      </c>
      <c r="K93" t="s">
        <v>1331</v>
      </c>
      <c r="L93" s="68" t="s">
        <v>1332</v>
      </c>
    </row>
    <row r="94" spans="1:12" x14ac:dyDescent="0.25">
      <c r="A94" t="s">
        <v>1333</v>
      </c>
      <c r="C94" t="s">
        <v>1095</v>
      </c>
      <c r="D94" t="s">
        <v>629</v>
      </c>
      <c r="E94" t="s">
        <v>1334</v>
      </c>
      <c r="F94" t="s">
        <v>1335</v>
      </c>
      <c r="G94" s="29"/>
      <c r="H94">
        <v>0</v>
      </c>
      <c r="I94">
        <v>1000</v>
      </c>
      <c r="L94" s="68"/>
    </row>
    <row r="95" spans="1:12" x14ac:dyDescent="0.25">
      <c r="G95" s="29"/>
      <c r="L95" s="68"/>
    </row>
    <row r="96" spans="1:12" x14ac:dyDescent="0.25">
      <c r="C96" t="s">
        <v>985</v>
      </c>
      <c r="D96" t="s">
        <v>633</v>
      </c>
      <c r="E96" t="s">
        <v>1336</v>
      </c>
      <c r="F96" t="s">
        <v>1337</v>
      </c>
      <c r="G96" s="29" t="s">
        <v>1338</v>
      </c>
      <c r="H96">
        <v>-1000</v>
      </c>
      <c r="I96">
        <v>1000</v>
      </c>
      <c r="K96" s="29" t="s">
        <v>1339</v>
      </c>
      <c r="L96" t="s">
        <v>1336</v>
      </c>
    </row>
    <row r="97" spans="1:18" x14ac:dyDescent="0.25">
      <c r="G97" s="34"/>
      <c r="L97" s="68"/>
    </row>
    <row r="98" spans="1:18" x14ac:dyDescent="0.25">
      <c r="C98" t="s">
        <v>985</v>
      </c>
      <c r="D98" t="s">
        <v>636</v>
      </c>
      <c r="E98" t="s">
        <v>1340</v>
      </c>
      <c r="F98" t="s">
        <v>1341</v>
      </c>
      <c r="H98">
        <v>0</v>
      </c>
      <c r="I98">
        <v>1000</v>
      </c>
      <c r="L98" t="s">
        <v>1045</v>
      </c>
    </row>
    <row r="99" spans="1:18" x14ac:dyDescent="0.25">
      <c r="C99" t="s">
        <v>985</v>
      </c>
      <c r="D99" t="s">
        <v>639</v>
      </c>
      <c r="E99" t="s">
        <v>1340</v>
      </c>
      <c r="F99" s="60" t="s">
        <v>1342</v>
      </c>
      <c r="G99" s="29" t="s">
        <v>1343</v>
      </c>
      <c r="H99">
        <v>0</v>
      </c>
      <c r="I99">
        <v>1000</v>
      </c>
      <c r="K99" s="29" t="s">
        <v>1344</v>
      </c>
      <c r="L99" t="s">
        <v>1345</v>
      </c>
      <c r="M99" t="s">
        <v>1346</v>
      </c>
    </row>
    <row r="100" spans="1:18" x14ac:dyDescent="0.25">
      <c r="A100" t="s">
        <v>1347</v>
      </c>
      <c r="C100" t="s">
        <v>985</v>
      </c>
      <c r="D100" t="s">
        <v>642</v>
      </c>
      <c r="E100" t="s">
        <v>1340</v>
      </c>
      <c r="F100" s="60" t="s">
        <v>1348</v>
      </c>
      <c r="G100" s="29" t="s">
        <v>1349</v>
      </c>
      <c r="H100">
        <v>0</v>
      </c>
      <c r="I100">
        <v>1000</v>
      </c>
      <c r="K100" s="29" t="s">
        <v>1350</v>
      </c>
      <c r="L100" t="s">
        <v>1351</v>
      </c>
      <c r="N100" s="29"/>
      <c r="O100" s="29"/>
    </row>
    <row r="101" spans="1:18" x14ac:dyDescent="0.25">
      <c r="B101" t="s">
        <v>1352</v>
      </c>
      <c r="C101" t="s">
        <v>985</v>
      </c>
      <c r="D101" t="s">
        <v>646</v>
      </c>
      <c r="E101" t="s">
        <v>1340</v>
      </c>
      <c r="F101" s="60" t="s">
        <v>1353</v>
      </c>
      <c r="G101" s="29" t="s">
        <v>1354</v>
      </c>
      <c r="H101">
        <v>0</v>
      </c>
      <c r="I101">
        <v>1000</v>
      </c>
      <c r="L101" t="s">
        <v>1355</v>
      </c>
    </row>
    <row r="102" spans="1:18" x14ac:dyDescent="0.25">
      <c r="A102" t="s">
        <v>1356</v>
      </c>
      <c r="B102" s="60"/>
      <c r="C102" t="s">
        <v>985</v>
      </c>
      <c r="D102" t="s">
        <v>649</v>
      </c>
      <c r="E102" t="s">
        <v>1340</v>
      </c>
      <c r="F102" s="60" t="s">
        <v>1357</v>
      </c>
      <c r="G102" s="29" t="s">
        <v>1358</v>
      </c>
      <c r="H102">
        <v>0</v>
      </c>
      <c r="I102">
        <v>1000</v>
      </c>
      <c r="K102" t="s">
        <v>1359</v>
      </c>
      <c r="L102" t="s">
        <v>1360</v>
      </c>
    </row>
    <row r="103" spans="1:18" x14ac:dyDescent="0.25">
      <c r="A103" t="s">
        <v>1361</v>
      </c>
      <c r="C103" t="s">
        <v>985</v>
      </c>
      <c r="D103" t="s">
        <v>653</v>
      </c>
      <c r="E103" t="s">
        <v>1340</v>
      </c>
      <c r="F103" s="60" t="s">
        <v>1362</v>
      </c>
      <c r="G103" s="29" t="s">
        <v>1363</v>
      </c>
      <c r="H103">
        <v>0</v>
      </c>
      <c r="I103">
        <v>1000</v>
      </c>
      <c r="L103" t="s">
        <v>1364</v>
      </c>
    </row>
    <row r="104" spans="1:18" x14ac:dyDescent="0.25">
      <c r="A104" t="s">
        <v>1361</v>
      </c>
      <c r="C104" t="s">
        <v>985</v>
      </c>
      <c r="D104" t="s">
        <v>656</v>
      </c>
      <c r="E104" s="68" t="s">
        <v>1340</v>
      </c>
      <c r="F104" s="60" t="s">
        <v>1365</v>
      </c>
      <c r="G104" s="29" t="s">
        <v>1366</v>
      </c>
      <c r="H104">
        <v>0</v>
      </c>
      <c r="I104">
        <v>1000</v>
      </c>
      <c r="K104" t="s">
        <v>1367</v>
      </c>
      <c r="L104" t="s">
        <v>1368</v>
      </c>
    </row>
    <row r="105" spans="1:18" x14ac:dyDescent="0.25">
      <c r="A105" t="s">
        <v>1369</v>
      </c>
      <c r="C105" t="s">
        <v>985</v>
      </c>
      <c r="D105" t="s">
        <v>1370</v>
      </c>
      <c r="E105" t="s">
        <v>1340</v>
      </c>
      <c r="F105" s="60" t="s">
        <v>1371</v>
      </c>
      <c r="G105" s="29" t="s">
        <v>1372</v>
      </c>
      <c r="H105">
        <v>0</v>
      </c>
      <c r="I105">
        <v>1000</v>
      </c>
      <c r="L105" t="s">
        <v>1373</v>
      </c>
      <c r="Q105">
        <v>3</v>
      </c>
    </row>
    <row r="106" spans="1:18" x14ac:dyDescent="0.25">
      <c r="C106" t="s">
        <v>985</v>
      </c>
      <c r="D106" t="s">
        <v>660</v>
      </c>
      <c r="E106" t="s">
        <v>1340</v>
      </c>
      <c r="F106" s="60" t="s">
        <v>1374</v>
      </c>
      <c r="G106" s="29" t="s">
        <v>1375</v>
      </c>
      <c r="H106">
        <v>0</v>
      </c>
      <c r="I106">
        <v>1000</v>
      </c>
      <c r="K106" t="s">
        <v>1376</v>
      </c>
      <c r="L106" t="s">
        <v>1377</v>
      </c>
    </row>
    <row r="107" spans="1:18" x14ac:dyDescent="0.25">
      <c r="A107" t="s">
        <v>1369</v>
      </c>
      <c r="C107" t="s">
        <v>985</v>
      </c>
      <c r="D107" t="s">
        <v>665</v>
      </c>
      <c r="E107" t="s">
        <v>1340</v>
      </c>
      <c r="F107" s="60" t="s">
        <v>1378</v>
      </c>
      <c r="G107" s="29" t="s">
        <v>1379</v>
      </c>
      <c r="H107">
        <v>0</v>
      </c>
      <c r="I107">
        <v>1000</v>
      </c>
      <c r="K107" t="s">
        <v>1380</v>
      </c>
      <c r="L107" t="s">
        <v>1381</v>
      </c>
      <c r="Q107">
        <v>2</v>
      </c>
      <c r="R107" t="s">
        <v>1382</v>
      </c>
    </row>
    <row r="108" spans="1:18" x14ac:dyDescent="0.25">
      <c r="A108" t="s">
        <v>1383</v>
      </c>
      <c r="C108" t="s">
        <v>985</v>
      </c>
      <c r="D108" t="s">
        <v>668</v>
      </c>
      <c r="E108" t="s">
        <v>1340</v>
      </c>
      <c r="F108" s="60" t="s">
        <v>1384</v>
      </c>
      <c r="G108" s="29" t="s">
        <v>1385</v>
      </c>
      <c r="H108">
        <v>-1000</v>
      </c>
      <c r="I108">
        <v>1000</v>
      </c>
      <c r="K108" t="s">
        <v>1386</v>
      </c>
      <c r="L108" t="s">
        <v>1387</v>
      </c>
    </row>
    <row r="109" spans="1:18" x14ac:dyDescent="0.25">
      <c r="C109" t="s">
        <v>985</v>
      </c>
      <c r="D109" t="s">
        <v>672</v>
      </c>
      <c r="E109" t="s">
        <v>1388</v>
      </c>
      <c r="F109" t="s">
        <v>1389</v>
      </c>
      <c r="G109" s="29" t="s">
        <v>1390</v>
      </c>
      <c r="H109">
        <v>0</v>
      </c>
      <c r="I109">
        <v>1000</v>
      </c>
      <c r="K109" t="s">
        <v>1391</v>
      </c>
      <c r="L109" t="s">
        <v>1392</v>
      </c>
    </row>
    <row r="110" spans="1:18" x14ac:dyDescent="0.25">
      <c r="C110" t="s">
        <v>985</v>
      </c>
      <c r="D110" t="s">
        <v>676</v>
      </c>
      <c r="E110" t="s">
        <v>1388</v>
      </c>
      <c r="F110" t="s">
        <v>1393</v>
      </c>
      <c r="G110" s="29" t="s">
        <v>1394</v>
      </c>
      <c r="H110">
        <v>0</v>
      </c>
      <c r="I110">
        <v>1000</v>
      </c>
      <c r="K110" s="29" t="s">
        <v>1395</v>
      </c>
      <c r="L110" t="s">
        <v>1396</v>
      </c>
    </row>
    <row r="111" spans="1:18" ht="16.149999999999999" customHeight="1" x14ac:dyDescent="0.25">
      <c r="C111" t="s">
        <v>985</v>
      </c>
      <c r="D111" t="s">
        <v>679</v>
      </c>
      <c r="E111" t="s">
        <v>1388</v>
      </c>
      <c r="F111" s="69" t="s">
        <v>1397</v>
      </c>
      <c r="G111" s="70" t="s">
        <v>1398</v>
      </c>
      <c r="H111" s="71">
        <v>-1000</v>
      </c>
      <c r="I111" s="71">
        <v>1000</v>
      </c>
      <c r="K111" s="29" t="s">
        <v>1399</v>
      </c>
      <c r="L111" t="s">
        <v>1400</v>
      </c>
    </row>
    <row r="112" spans="1:18" x14ac:dyDescent="0.25">
      <c r="C112" t="s">
        <v>985</v>
      </c>
      <c r="D112" t="s">
        <v>682</v>
      </c>
      <c r="E112" t="s">
        <v>1388</v>
      </c>
      <c r="F112" t="s">
        <v>1401</v>
      </c>
      <c r="G112" s="29" t="s">
        <v>1402</v>
      </c>
      <c r="H112">
        <v>0</v>
      </c>
      <c r="I112">
        <v>1000</v>
      </c>
      <c r="K112" s="29" t="s">
        <v>1403</v>
      </c>
      <c r="L112" t="s">
        <v>1404</v>
      </c>
    </row>
    <row r="114" spans="1:18" x14ac:dyDescent="0.25">
      <c r="B114" t="s">
        <v>1405</v>
      </c>
      <c r="C114" t="s">
        <v>985</v>
      </c>
      <c r="D114" t="s">
        <v>685</v>
      </c>
      <c r="E114" t="s">
        <v>1406</v>
      </c>
      <c r="F114" t="s">
        <v>1407</v>
      </c>
      <c r="G114" t="s">
        <v>1408</v>
      </c>
      <c r="H114">
        <v>0</v>
      </c>
      <c r="I114">
        <v>1000</v>
      </c>
      <c r="K114" t="s">
        <v>1409</v>
      </c>
      <c r="L114" t="s">
        <v>1410</v>
      </c>
      <c r="Q114">
        <v>0</v>
      </c>
    </row>
    <row r="115" spans="1:18" x14ac:dyDescent="0.25">
      <c r="B115" t="s">
        <v>1411</v>
      </c>
      <c r="C115" t="s">
        <v>985</v>
      </c>
      <c r="D115" t="s">
        <v>689</v>
      </c>
      <c r="E115" t="s">
        <v>1406</v>
      </c>
      <c r="F115" t="s">
        <v>1412</v>
      </c>
      <c r="G115" t="s">
        <v>1413</v>
      </c>
      <c r="H115">
        <v>0</v>
      </c>
      <c r="I115">
        <v>1000</v>
      </c>
      <c r="K115" s="29" t="s">
        <v>1414</v>
      </c>
      <c r="L115" s="72" t="s">
        <v>1415</v>
      </c>
      <c r="Q115">
        <v>0</v>
      </c>
    </row>
    <row r="116" spans="1:18" x14ac:dyDescent="0.25">
      <c r="B116" t="s">
        <v>1416</v>
      </c>
      <c r="C116" t="s">
        <v>985</v>
      </c>
      <c r="D116" t="s">
        <v>692</v>
      </c>
      <c r="E116" t="s">
        <v>1406</v>
      </c>
      <c r="F116" t="s">
        <v>1417</v>
      </c>
      <c r="G116" s="29" t="s">
        <v>1418</v>
      </c>
      <c r="H116">
        <v>0</v>
      </c>
      <c r="I116">
        <v>1000</v>
      </c>
      <c r="K116" t="s">
        <v>1419</v>
      </c>
      <c r="L116" t="s">
        <v>1420</v>
      </c>
      <c r="Q116">
        <v>2</v>
      </c>
      <c r="R116" t="s">
        <v>1421</v>
      </c>
    </row>
    <row r="117" spans="1:18" x14ac:dyDescent="0.25">
      <c r="A117" t="s">
        <v>1422</v>
      </c>
      <c r="B117" t="s">
        <v>1423</v>
      </c>
      <c r="C117" t="s">
        <v>985</v>
      </c>
      <c r="D117" t="s">
        <v>695</v>
      </c>
      <c r="E117" t="s">
        <v>1406</v>
      </c>
      <c r="F117" t="s">
        <v>1424</v>
      </c>
      <c r="G117" s="29" t="s">
        <v>1425</v>
      </c>
      <c r="H117">
        <v>0</v>
      </c>
      <c r="I117">
        <v>1000</v>
      </c>
      <c r="K117" t="s">
        <v>1426</v>
      </c>
      <c r="L117" t="s">
        <v>1423</v>
      </c>
      <c r="Q117">
        <v>0</v>
      </c>
    </row>
    <row r="118" spans="1:18" x14ac:dyDescent="0.25">
      <c r="A118" t="s">
        <v>1427</v>
      </c>
      <c r="B118" t="s">
        <v>1428</v>
      </c>
      <c r="C118" t="s">
        <v>985</v>
      </c>
      <c r="D118" t="s">
        <v>698</v>
      </c>
      <c r="E118" t="s">
        <v>1406</v>
      </c>
      <c r="F118" t="s">
        <v>1429</v>
      </c>
      <c r="G118" s="29" t="s">
        <v>1430</v>
      </c>
      <c r="H118">
        <v>0</v>
      </c>
      <c r="I118">
        <v>1000</v>
      </c>
      <c r="K118" t="s">
        <v>1431</v>
      </c>
      <c r="L118" t="s">
        <v>1432</v>
      </c>
      <c r="Q118">
        <v>1</v>
      </c>
      <c r="R118" t="s">
        <v>1433</v>
      </c>
    </row>
    <row r="119" spans="1:18" x14ac:dyDescent="0.25">
      <c r="C119" t="s">
        <v>985</v>
      </c>
      <c r="D119" t="s">
        <v>701</v>
      </c>
      <c r="E119" t="s">
        <v>1434</v>
      </c>
      <c r="F119" t="s">
        <v>1435</v>
      </c>
      <c r="G119" s="29" t="s">
        <v>1436</v>
      </c>
      <c r="H119">
        <v>0</v>
      </c>
      <c r="I119">
        <v>1000</v>
      </c>
      <c r="K119" s="29" t="s">
        <v>1437</v>
      </c>
      <c r="L119" t="s">
        <v>1438</v>
      </c>
    </row>
    <row r="120" spans="1:18" x14ac:dyDescent="0.25">
      <c r="C120" t="s">
        <v>985</v>
      </c>
      <c r="D120" t="s">
        <v>705</v>
      </c>
      <c r="E120" t="s">
        <v>1439</v>
      </c>
      <c r="F120" t="s">
        <v>1440</v>
      </c>
      <c r="G120" s="29" t="s">
        <v>1441</v>
      </c>
      <c r="H120">
        <v>0</v>
      </c>
      <c r="I120">
        <v>1000</v>
      </c>
      <c r="K120" s="29" t="s">
        <v>1442</v>
      </c>
      <c r="L120" t="s">
        <v>1439</v>
      </c>
    </row>
    <row r="121" spans="1:18" x14ac:dyDescent="0.25">
      <c r="C121" t="s">
        <v>985</v>
      </c>
      <c r="D121" t="s">
        <v>709</v>
      </c>
      <c r="E121" t="s">
        <v>1443</v>
      </c>
      <c r="F121" t="s">
        <v>1444</v>
      </c>
      <c r="H121">
        <v>0</v>
      </c>
      <c r="I121">
        <v>1000</v>
      </c>
      <c r="K121" t="s">
        <v>1445</v>
      </c>
      <c r="L121" t="s">
        <v>1443</v>
      </c>
    </row>
    <row r="122" spans="1:18" x14ac:dyDescent="0.25">
      <c r="C122" t="s">
        <v>985</v>
      </c>
      <c r="D122" t="s">
        <v>712</v>
      </c>
      <c r="F122" t="s">
        <v>1446</v>
      </c>
      <c r="H122">
        <v>0</v>
      </c>
      <c r="I122">
        <v>1000</v>
      </c>
      <c r="K122" s="29" t="s">
        <v>1447</v>
      </c>
      <c r="L122" t="s">
        <v>1448</v>
      </c>
    </row>
    <row r="123" spans="1:18" x14ac:dyDescent="0.25">
      <c r="C123" t="s">
        <v>985</v>
      </c>
      <c r="D123" t="s">
        <v>254</v>
      </c>
      <c r="E123" t="s">
        <v>1449</v>
      </c>
      <c r="F123" s="60" t="s">
        <v>1450</v>
      </c>
      <c r="H123">
        <v>0</v>
      </c>
      <c r="I123">
        <v>1000</v>
      </c>
    </row>
    <row r="124" spans="1:18" x14ac:dyDescent="0.25">
      <c r="A124" t="s">
        <v>1451</v>
      </c>
      <c r="C124" t="s">
        <v>985</v>
      </c>
      <c r="D124" t="s">
        <v>718</v>
      </c>
      <c r="E124" t="s">
        <v>1452</v>
      </c>
      <c r="F124" s="73" t="s">
        <v>1453</v>
      </c>
      <c r="G124" s="34"/>
      <c r="H124">
        <v>0</v>
      </c>
      <c r="I124">
        <v>1000</v>
      </c>
      <c r="K124" s="34"/>
    </row>
    <row r="126" spans="1:18" x14ac:dyDescent="0.25">
      <c r="A126" t="s">
        <v>1454</v>
      </c>
      <c r="C126" t="s">
        <v>985</v>
      </c>
      <c r="D126" t="s">
        <v>722</v>
      </c>
      <c r="E126" t="s">
        <v>1455</v>
      </c>
      <c r="F126" s="60" t="s">
        <v>1456</v>
      </c>
      <c r="G126" s="34" t="s">
        <v>1457</v>
      </c>
      <c r="H126">
        <v>0</v>
      </c>
      <c r="I126">
        <v>1000</v>
      </c>
      <c r="K126" t="s">
        <v>1458</v>
      </c>
      <c r="L126" t="s">
        <v>1455</v>
      </c>
    </row>
    <row r="128" spans="1:18" x14ac:dyDescent="0.25">
      <c r="A128" t="s">
        <v>1459</v>
      </c>
      <c r="C128" t="s">
        <v>985</v>
      </c>
      <c r="D128" t="s">
        <v>726</v>
      </c>
      <c r="E128" t="s">
        <v>1460</v>
      </c>
      <c r="F128" t="s">
        <v>1461</v>
      </c>
      <c r="G128" s="29" t="s">
        <v>1462</v>
      </c>
      <c r="H128">
        <v>-1000</v>
      </c>
      <c r="I128">
        <v>1000</v>
      </c>
      <c r="K128" s="29" t="s">
        <v>1463</v>
      </c>
      <c r="L128" t="s">
        <v>1464</v>
      </c>
    </row>
    <row r="129" spans="3:12" x14ac:dyDescent="0.25">
      <c r="C129" t="s">
        <v>985</v>
      </c>
      <c r="D129" t="s">
        <v>729</v>
      </c>
      <c r="E129" t="s">
        <v>1460</v>
      </c>
      <c r="F129" t="s">
        <v>1465</v>
      </c>
      <c r="G129" s="29" t="s">
        <v>1466</v>
      </c>
      <c r="H129">
        <v>0</v>
      </c>
      <c r="I129">
        <v>1000</v>
      </c>
      <c r="K129" t="s">
        <v>1467</v>
      </c>
      <c r="L129" t="s">
        <v>1468</v>
      </c>
    </row>
    <row r="130" spans="3:12" x14ac:dyDescent="0.25">
      <c r="C130" t="s">
        <v>985</v>
      </c>
      <c r="D130" t="s">
        <v>733</v>
      </c>
      <c r="E130" t="s">
        <v>1460</v>
      </c>
      <c r="F130" t="s">
        <v>1469</v>
      </c>
      <c r="G130" s="29" t="s">
        <v>1470</v>
      </c>
      <c r="H130">
        <v>0</v>
      </c>
      <c r="I130">
        <v>1000</v>
      </c>
      <c r="K130" s="29" t="s">
        <v>1471</v>
      </c>
      <c r="L130" t="s">
        <v>1472</v>
      </c>
    </row>
    <row r="131" spans="3:12" x14ac:dyDescent="0.25">
      <c r="C131" t="s">
        <v>985</v>
      </c>
      <c r="D131" t="s">
        <v>737</v>
      </c>
      <c r="E131" t="s">
        <v>1460</v>
      </c>
      <c r="F131" t="s">
        <v>1473</v>
      </c>
      <c r="H131">
        <v>0</v>
      </c>
      <c r="I131">
        <v>1000</v>
      </c>
      <c r="K131" t="s">
        <v>1474</v>
      </c>
      <c r="L131" t="s">
        <v>1475</v>
      </c>
    </row>
    <row r="132" spans="3:12" x14ac:dyDescent="0.25">
      <c r="C132" t="s">
        <v>1095</v>
      </c>
      <c r="D132" t="s">
        <v>741</v>
      </c>
      <c r="E132" t="s">
        <v>1460</v>
      </c>
      <c r="F132" t="s">
        <v>1476</v>
      </c>
      <c r="G132" s="29" t="s">
        <v>1477</v>
      </c>
      <c r="H132">
        <v>0</v>
      </c>
      <c r="I132">
        <v>1000</v>
      </c>
      <c r="K132" s="29" t="s">
        <v>1478</v>
      </c>
      <c r="L132" t="s">
        <v>1479</v>
      </c>
    </row>
    <row r="133" spans="3:12" x14ac:dyDescent="0.25">
      <c r="C133" t="s">
        <v>985</v>
      </c>
      <c r="D133" t="s">
        <v>746</v>
      </c>
      <c r="E133" t="s">
        <v>1460</v>
      </c>
      <c r="F133" t="s">
        <v>1480</v>
      </c>
      <c r="G133" s="29" t="s">
        <v>1481</v>
      </c>
      <c r="H133">
        <v>0</v>
      </c>
      <c r="I133">
        <v>1000</v>
      </c>
      <c r="K133" t="s">
        <v>1482</v>
      </c>
      <c r="L133" t="s">
        <v>1483</v>
      </c>
    </row>
    <row r="134" spans="3:12" x14ac:dyDescent="0.25">
      <c r="G134" s="29"/>
    </row>
    <row r="135" spans="3:12" x14ac:dyDescent="0.25">
      <c r="C135" t="s">
        <v>1014</v>
      </c>
      <c r="D135" t="s">
        <v>1484</v>
      </c>
      <c r="E135" t="s">
        <v>1485</v>
      </c>
      <c r="F135" t="s">
        <v>1486</v>
      </c>
      <c r="G135" s="29" t="s">
        <v>1487</v>
      </c>
      <c r="H135">
        <v>-1000</v>
      </c>
      <c r="I135">
        <v>1000</v>
      </c>
      <c r="K135" t="s">
        <v>1488</v>
      </c>
      <c r="L135" t="s">
        <v>1489</v>
      </c>
    </row>
    <row r="136" spans="3:12" x14ac:dyDescent="0.25">
      <c r="C136" t="s">
        <v>1014</v>
      </c>
      <c r="D136" t="s">
        <v>1490</v>
      </c>
      <c r="E136" t="s">
        <v>1485</v>
      </c>
      <c r="F136" t="s">
        <v>1491</v>
      </c>
      <c r="G136" s="29" t="s">
        <v>1492</v>
      </c>
      <c r="H136">
        <v>0</v>
      </c>
      <c r="I136">
        <v>1000</v>
      </c>
      <c r="K136" t="s">
        <v>1493</v>
      </c>
      <c r="L136" t="s">
        <v>1494</v>
      </c>
    </row>
    <row r="137" spans="3:12" x14ac:dyDescent="0.25">
      <c r="C137" t="s">
        <v>1014</v>
      </c>
      <c r="D137" t="s">
        <v>1495</v>
      </c>
      <c r="E137" t="s">
        <v>1485</v>
      </c>
      <c r="F137" t="s">
        <v>1496</v>
      </c>
      <c r="G137" s="29" t="s">
        <v>1497</v>
      </c>
      <c r="H137">
        <v>0</v>
      </c>
      <c r="I137">
        <v>1000</v>
      </c>
      <c r="K137" t="s">
        <v>1498</v>
      </c>
      <c r="L137" t="s">
        <v>1499</v>
      </c>
    </row>
    <row r="138" spans="3:12" x14ac:dyDescent="0.25">
      <c r="C138" t="s">
        <v>1014</v>
      </c>
      <c r="D138" t="s">
        <v>1500</v>
      </c>
      <c r="E138" t="s">
        <v>1501</v>
      </c>
      <c r="F138" t="s">
        <v>1502</v>
      </c>
      <c r="G138" s="29" t="s">
        <v>1503</v>
      </c>
      <c r="H138">
        <v>0</v>
      </c>
      <c r="I138">
        <v>1000</v>
      </c>
      <c r="K138" t="s">
        <v>1504</v>
      </c>
      <c r="L138" t="s">
        <v>1505</v>
      </c>
    </row>
    <row r="140" spans="3:12" x14ac:dyDescent="0.25">
      <c r="C140" t="s">
        <v>985</v>
      </c>
      <c r="D140" t="s">
        <v>751</v>
      </c>
      <c r="E140" t="s">
        <v>1506</v>
      </c>
      <c r="F140" t="s">
        <v>1507</v>
      </c>
      <c r="H140">
        <v>0</v>
      </c>
      <c r="I140">
        <v>1000</v>
      </c>
    </row>
    <row r="141" spans="3:12" x14ac:dyDescent="0.25">
      <c r="C141" t="s">
        <v>985</v>
      </c>
      <c r="D141" t="s">
        <v>756</v>
      </c>
      <c r="E141" t="s">
        <v>1506</v>
      </c>
      <c r="F141" t="s">
        <v>1508</v>
      </c>
      <c r="H141">
        <v>-1000</v>
      </c>
      <c r="I141">
        <v>1000</v>
      </c>
    </row>
    <row r="142" spans="3:12" x14ac:dyDescent="0.25">
      <c r="C142" t="s">
        <v>985</v>
      </c>
      <c r="D142" t="s">
        <v>760</v>
      </c>
      <c r="E142" t="s">
        <v>1506</v>
      </c>
      <c r="F142" t="s">
        <v>1509</v>
      </c>
      <c r="H142">
        <v>-1000</v>
      </c>
      <c r="I142">
        <v>1000</v>
      </c>
    </row>
    <row r="143" spans="3:12" x14ac:dyDescent="0.25">
      <c r="C143" t="s">
        <v>985</v>
      </c>
      <c r="D143" t="s">
        <v>765</v>
      </c>
      <c r="E143" t="s">
        <v>1506</v>
      </c>
      <c r="F143" t="s">
        <v>1510</v>
      </c>
      <c r="H143">
        <v>0</v>
      </c>
      <c r="I143">
        <v>1000</v>
      </c>
    </row>
    <row r="144" spans="3:12" x14ac:dyDescent="0.25">
      <c r="C144" t="s">
        <v>985</v>
      </c>
      <c r="D144" t="s">
        <v>770</v>
      </c>
      <c r="E144" t="s">
        <v>1506</v>
      </c>
      <c r="F144" t="s">
        <v>1511</v>
      </c>
      <c r="H144">
        <v>0</v>
      </c>
      <c r="I144">
        <v>1000</v>
      </c>
    </row>
    <row r="145" spans="3:12" x14ac:dyDescent="0.25">
      <c r="C145" t="s">
        <v>985</v>
      </c>
      <c r="D145" t="s">
        <v>774</v>
      </c>
      <c r="E145" t="s">
        <v>1506</v>
      </c>
      <c r="F145" t="s">
        <v>1512</v>
      </c>
      <c r="H145">
        <v>0</v>
      </c>
      <c r="I145">
        <v>1000</v>
      </c>
    </row>
    <row r="146" spans="3:12" x14ac:dyDescent="0.25">
      <c r="C146" t="s">
        <v>985</v>
      </c>
      <c r="D146" t="s">
        <v>778</v>
      </c>
      <c r="E146" t="s">
        <v>1506</v>
      </c>
      <c r="F146" t="s">
        <v>1513</v>
      </c>
      <c r="H146">
        <v>0</v>
      </c>
      <c r="I146">
        <v>1000</v>
      </c>
    </row>
    <row r="147" spans="3:12" x14ac:dyDescent="0.25">
      <c r="C147" t="s">
        <v>985</v>
      </c>
      <c r="D147" t="s">
        <v>781</v>
      </c>
      <c r="E147" t="s">
        <v>1506</v>
      </c>
      <c r="F147" t="s">
        <v>1514</v>
      </c>
      <c r="H147">
        <v>0</v>
      </c>
      <c r="I147">
        <v>1000</v>
      </c>
    </row>
    <row r="148" spans="3:12" x14ac:dyDescent="0.25">
      <c r="C148" t="s">
        <v>985</v>
      </c>
      <c r="D148" t="s">
        <v>785</v>
      </c>
      <c r="E148" t="s">
        <v>1506</v>
      </c>
      <c r="F148" t="s">
        <v>1515</v>
      </c>
      <c r="H148">
        <v>0</v>
      </c>
      <c r="I148">
        <v>1000</v>
      </c>
    </row>
    <row r="149" spans="3:12" x14ac:dyDescent="0.25">
      <c r="C149" t="s">
        <v>985</v>
      </c>
      <c r="D149" t="s">
        <v>788</v>
      </c>
      <c r="E149" t="s">
        <v>1506</v>
      </c>
      <c r="F149" s="60" t="s">
        <v>1516</v>
      </c>
      <c r="G149" s="29" t="s">
        <v>1517</v>
      </c>
      <c r="H149">
        <v>0</v>
      </c>
      <c r="I149">
        <v>1000</v>
      </c>
      <c r="L149" t="s">
        <v>1518</v>
      </c>
    </row>
    <row r="150" spans="3:12" x14ac:dyDescent="0.25">
      <c r="C150" t="s">
        <v>985</v>
      </c>
      <c r="D150" t="s">
        <v>792</v>
      </c>
      <c r="E150" t="s">
        <v>1506</v>
      </c>
      <c r="F150" t="s">
        <v>1519</v>
      </c>
      <c r="H150">
        <v>0</v>
      </c>
      <c r="I150">
        <v>1000</v>
      </c>
    </row>
    <row r="151" spans="3:12" x14ac:dyDescent="0.25">
      <c r="C151" t="s">
        <v>985</v>
      </c>
      <c r="D151" t="s">
        <v>795</v>
      </c>
      <c r="E151" t="s">
        <v>1506</v>
      </c>
      <c r="F151" t="s">
        <v>1520</v>
      </c>
      <c r="H151">
        <v>0</v>
      </c>
      <c r="I151">
        <v>1000</v>
      </c>
    </row>
    <row r="152" spans="3:12" x14ac:dyDescent="0.25">
      <c r="C152" t="s">
        <v>985</v>
      </c>
      <c r="D152" t="s">
        <v>798</v>
      </c>
      <c r="E152" t="s">
        <v>1506</v>
      </c>
      <c r="F152" t="s">
        <v>1521</v>
      </c>
      <c r="G152" s="29"/>
      <c r="H152">
        <v>0</v>
      </c>
      <c r="I152">
        <v>1000</v>
      </c>
      <c r="K152" s="29"/>
      <c r="L152" t="s">
        <v>1522</v>
      </c>
    </row>
    <row r="153" spans="3:12" x14ac:dyDescent="0.25">
      <c r="C153" t="s">
        <v>985</v>
      </c>
      <c r="D153" t="s">
        <v>802</v>
      </c>
      <c r="E153" t="s">
        <v>1506</v>
      </c>
      <c r="F153" t="s">
        <v>1523</v>
      </c>
      <c r="H153">
        <v>0</v>
      </c>
      <c r="I153">
        <v>1000</v>
      </c>
    </row>
    <row r="154" spans="3:12" x14ac:dyDescent="0.25">
      <c r="C154" t="s">
        <v>985</v>
      </c>
      <c r="D154" t="s">
        <v>805</v>
      </c>
      <c r="E154" t="s">
        <v>1506</v>
      </c>
      <c r="F154" t="s">
        <v>1524</v>
      </c>
      <c r="H154">
        <v>0</v>
      </c>
      <c r="I154">
        <v>1000</v>
      </c>
      <c r="K154" s="5"/>
      <c r="L154" s="74" t="s">
        <v>1525</v>
      </c>
    </row>
    <row r="155" spans="3:12" ht="17.25" x14ac:dyDescent="0.25">
      <c r="C155" t="s">
        <v>985</v>
      </c>
      <c r="D155" t="s">
        <v>809</v>
      </c>
      <c r="E155" t="s">
        <v>1506</v>
      </c>
      <c r="F155" t="s">
        <v>1526</v>
      </c>
      <c r="H155">
        <v>0</v>
      </c>
      <c r="I155">
        <v>1000</v>
      </c>
      <c r="L155" t="s">
        <v>1527</v>
      </c>
    </row>
    <row r="156" spans="3:12" x14ac:dyDescent="0.25">
      <c r="C156" t="s">
        <v>985</v>
      </c>
      <c r="D156" t="s">
        <v>813</v>
      </c>
      <c r="E156" t="s">
        <v>1506</v>
      </c>
      <c r="F156" t="s">
        <v>1528</v>
      </c>
      <c r="H156">
        <v>0</v>
      </c>
      <c r="I156">
        <v>1000</v>
      </c>
    </row>
    <row r="157" spans="3:12" x14ac:dyDescent="0.25">
      <c r="C157" t="s">
        <v>985</v>
      </c>
      <c r="D157" t="s">
        <v>816</v>
      </c>
      <c r="E157" t="s">
        <v>1506</v>
      </c>
      <c r="F157" t="s">
        <v>1529</v>
      </c>
      <c r="H157">
        <v>0</v>
      </c>
      <c r="I157">
        <v>1000</v>
      </c>
    </row>
    <row r="158" spans="3:12" x14ac:dyDescent="0.25">
      <c r="C158" t="s">
        <v>985</v>
      </c>
      <c r="D158" t="s">
        <v>820</v>
      </c>
      <c r="E158" t="s">
        <v>1506</v>
      </c>
      <c r="F158" t="s">
        <v>1530</v>
      </c>
      <c r="H158">
        <v>0</v>
      </c>
      <c r="I158">
        <v>1000</v>
      </c>
    </row>
    <row r="159" spans="3:12" x14ac:dyDescent="0.25">
      <c r="C159" t="s">
        <v>985</v>
      </c>
      <c r="D159" t="s">
        <v>825</v>
      </c>
      <c r="E159" t="s">
        <v>1506</v>
      </c>
      <c r="F159" t="s">
        <v>1531</v>
      </c>
      <c r="H159">
        <v>0</v>
      </c>
      <c r="I159">
        <v>1000</v>
      </c>
      <c r="L159" t="s">
        <v>1532</v>
      </c>
    </row>
    <row r="160" spans="3:12" x14ac:dyDescent="0.25">
      <c r="C160" t="s">
        <v>1014</v>
      </c>
      <c r="D160" t="s">
        <v>1533</v>
      </c>
      <c r="E160" t="s">
        <v>1506</v>
      </c>
      <c r="F160" t="s">
        <v>1534</v>
      </c>
      <c r="H160">
        <v>0</v>
      </c>
      <c r="I160">
        <v>1000</v>
      </c>
    </row>
    <row r="161" spans="2:11" x14ac:dyDescent="0.25">
      <c r="C161" t="s">
        <v>1014</v>
      </c>
      <c r="D161" t="s">
        <v>1535</v>
      </c>
      <c r="E161" t="s">
        <v>1506</v>
      </c>
      <c r="F161" t="s">
        <v>1536</v>
      </c>
      <c r="H161">
        <v>0</v>
      </c>
      <c r="I161">
        <v>1000</v>
      </c>
    </row>
    <row r="162" spans="2:11" x14ac:dyDescent="0.25">
      <c r="C162" t="s">
        <v>1095</v>
      </c>
      <c r="D162" t="s">
        <v>829</v>
      </c>
      <c r="E162" t="s">
        <v>1506</v>
      </c>
      <c r="F162" t="s">
        <v>1537</v>
      </c>
      <c r="H162">
        <v>0</v>
      </c>
      <c r="I162">
        <v>1000</v>
      </c>
    </row>
    <row r="163" spans="2:11" x14ac:dyDescent="0.25">
      <c r="C163" t="s">
        <v>1095</v>
      </c>
      <c r="D163" t="s">
        <v>832</v>
      </c>
      <c r="E163" t="s">
        <v>1506</v>
      </c>
      <c r="F163" t="s">
        <v>1538</v>
      </c>
      <c r="H163">
        <v>0</v>
      </c>
      <c r="I163">
        <v>1000</v>
      </c>
    </row>
    <row r="164" spans="2:11" x14ac:dyDescent="0.25">
      <c r="C164" t="s">
        <v>985</v>
      </c>
      <c r="D164" t="s">
        <v>837</v>
      </c>
      <c r="E164" t="s">
        <v>1506</v>
      </c>
      <c r="F164" t="s">
        <v>1539</v>
      </c>
      <c r="H164">
        <v>0</v>
      </c>
      <c r="I164">
        <v>1000</v>
      </c>
    </row>
    <row r="165" spans="2:11" x14ac:dyDescent="0.25">
      <c r="C165" t="s">
        <v>985</v>
      </c>
      <c r="D165" t="s">
        <v>840</v>
      </c>
      <c r="E165" t="s">
        <v>1506</v>
      </c>
      <c r="F165" t="s">
        <v>1540</v>
      </c>
      <c r="H165">
        <v>-1000</v>
      </c>
      <c r="I165">
        <v>1000</v>
      </c>
    </row>
    <row r="167" spans="2:11" x14ac:dyDescent="0.25">
      <c r="C167" t="s">
        <v>985</v>
      </c>
      <c r="D167" t="s">
        <v>844</v>
      </c>
      <c r="E167" t="s">
        <v>1541</v>
      </c>
      <c r="F167" t="s">
        <v>1542</v>
      </c>
      <c r="G167" s="29" t="s">
        <v>1543</v>
      </c>
      <c r="H167">
        <v>0</v>
      </c>
      <c r="I167">
        <v>1000</v>
      </c>
    </row>
    <row r="168" spans="2:11" x14ac:dyDescent="0.25">
      <c r="C168" t="s">
        <v>985</v>
      </c>
      <c r="D168" t="s">
        <v>847</v>
      </c>
      <c r="E168" t="s">
        <v>1541</v>
      </c>
      <c r="F168" t="s">
        <v>1544</v>
      </c>
      <c r="G168" s="29" t="s">
        <v>1545</v>
      </c>
      <c r="H168">
        <v>0</v>
      </c>
      <c r="I168">
        <v>1000</v>
      </c>
    </row>
    <row r="170" spans="2:11" x14ac:dyDescent="0.25">
      <c r="C170" t="s">
        <v>1095</v>
      </c>
      <c r="D170" t="s">
        <v>850</v>
      </c>
      <c r="E170" t="s">
        <v>1546</v>
      </c>
      <c r="F170" s="60" t="s">
        <v>894</v>
      </c>
      <c r="H170">
        <v>0</v>
      </c>
      <c r="I170">
        <v>1000</v>
      </c>
    </row>
    <row r="171" spans="2:11" x14ac:dyDescent="0.25">
      <c r="C171" t="s">
        <v>1014</v>
      </c>
      <c r="D171" t="s">
        <v>1547</v>
      </c>
      <c r="E171" t="s">
        <v>1548</v>
      </c>
      <c r="F171" s="60" t="s">
        <v>1549</v>
      </c>
      <c r="H171">
        <v>0</v>
      </c>
      <c r="I171">
        <v>1000</v>
      </c>
    </row>
    <row r="172" spans="2:11" x14ac:dyDescent="0.25">
      <c r="C172" t="s">
        <v>985</v>
      </c>
      <c r="D172" t="s">
        <v>292</v>
      </c>
      <c r="E172" t="s">
        <v>1550</v>
      </c>
      <c r="F172" t="s">
        <v>1551</v>
      </c>
      <c r="H172">
        <v>-1000</v>
      </c>
      <c r="I172">
        <v>1000</v>
      </c>
    </row>
    <row r="173" spans="2:11" x14ac:dyDescent="0.25">
      <c r="C173" t="s">
        <v>985</v>
      </c>
      <c r="D173" t="s">
        <v>293</v>
      </c>
      <c r="E173" t="s">
        <v>1552</v>
      </c>
      <c r="F173" t="s">
        <v>1553</v>
      </c>
      <c r="H173">
        <v>-1000</v>
      </c>
      <c r="I173">
        <v>1000</v>
      </c>
    </row>
    <row r="175" spans="2:11" x14ac:dyDescent="0.25">
      <c r="B175" s="6"/>
      <c r="G175" s="34"/>
      <c r="K175" s="34"/>
    </row>
    <row r="177" spans="7:11" ht="15.75" x14ac:dyDescent="0.25">
      <c r="G177" s="34"/>
      <c r="K177" s="75"/>
    </row>
    <row r="178" spans="7:11" ht="15.75" x14ac:dyDescent="0.25">
      <c r="G178" s="34"/>
      <c r="K178" s="75"/>
    </row>
    <row r="179" spans="7:11" ht="15.75" x14ac:dyDescent="0.25">
      <c r="G179" s="34"/>
      <c r="K179" s="75"/>
    </row>
    <row r="180" spans="7:11" x14ac:dyDescent="0.25">
      <c r="G180" s="34"/>
    </row>
    <row r="181" spans="7:11" ht="15.75" x14ac:dyDescent="0.25">
      <c r="G181" s="34"/>
      <c r="K181" s="75"/>
    </row>
    <row r="182" spans="7:11" ht="15.75" x14ac:dyDescent="0.25">
      <c r="G182" s="34"/>
      <c r="K182" s="75"/>
    </row>
    <row r="183" spans="7:11" ht="15.75" x14ac:dyDescent="0.25">
      <c r="G183" s="34"/>
      <c r="K183" s="75"/>
    </row>
    <row r="184" spans="7:11" ht="15.75" x14ac:dyDescent="0.25">
      <c r="G184" s="34"/>
      <c r="K184" s="75"/>
    </row>
    <row r="185" spans="7:11" ht="15.75" x14ac:dyDescent="0.25">
      <c r="G185" s="34"/>
      <c r="K185" s="64"/>
    </row>
    <row r="186" spans="7:11" ht="15.75" x14ac:dyDescent="0.25">
      <c r="G186" s="34"/>
      <c r="K186" s="75"/>
    </row>
    <row r="188" spans="7:11" x14ac:dyDescent="0.25">
      <c r="G188" s="63"/>
      <c r="K188" s="34"/>
    </row>
    <row r="189" spans="7:11" x14ac:dyDescent="0.25">
      <c r="G189" s="76"/>
      <c r="K189" s="34"/>
    </row>
    <row r="190" spans="7:11" x14ac:dyDescent="0.25">
      <c r="G190" s="76"/>
      <c r="K190" s="34"/>
    </row>
    <row r="191" spans="7:11" x14ac:dyDescent="0.25">
      <c r="G191" s="63"/>
      <c r="K191" s="67"/>
    </row>
    <row r="193" spans="7:11" x14ac:dyDescent="0.25">
      <c r="G193" s="76"/>
      <c r="K193" s="34"/>
    </row>
    <row r="194" spans="7:11" x14ac:dyDescent="0.25">
      <c r="G194" s="76"/>
      <c r="K194" s="34"/>
    </row>
    <row r="195" spans="7:11" ht="15.75" x14ac:dyDescent="0.25">
      <c r="G195" s="63"/>
      <c r="K195" s="75"/>
    </row>
    <row r="196" spans="7:11" ht="15.75" x14ac:dyDescent="0.25">
      <c r="G196" s="63"/>
      <c r="K196" s="75"/>
    </row>
    <row r="197" spans="7:11" x14ac:dyDescent="0.25">
      <c r="G197" s="76"/>
      <c r="K197" s="34"/>
    </row>
    <row r="198" spans="7:11" x14ac:dyDescent="0.25">
      <c r="G198" s="76"/>
      <c r="K198" s="34"/>
    </row>
    <row r="199" spans="7:11" x14ac:dyDescent="0.25">
      <c r="G199" s="63"/>
      <c r="K199" s="34"/>
    </row>
    <row r="201" spans="7:11" x14ac:dyDescent="0.25">
      <c r="G201" s="34"/>
      <c r="K201" s="34"/>
    </row>
    <row r="202" spans="7:11" x14ac:dyDescent="0.25">
      <c r="G202" s="34"/>
    </row>
    <row r="203" spans="7:11" x14ac:dyDescent="0.25">
      <c r="G203" s="34"/>
      <c r="K203" s="34"/>
    </row>
    <row r="204" spans="7:11" x14ac:dyDescent="0.25">
      <c r="G204" s="34"/>
      <c r="K204" s="34"/>
    </row>
    <row r="205" spans="7:11" x14ac:dyDescent="0.25">
      <c r="G205" s="34"/>
      <c r="K205" s="34"/>
    </row>
    <row r="206" spans="7:11" x14ac:dyDescent="0.25">
      <c r="G206" s="34"/>
      <c r="K206" s="34"/>
    </row>
    <row r="207" spans="7:11" x14ac:dyDescent="0.25">
      <c r="G207" s="34"/>
      <c r="K207" s="34"/>
    </row>
    <row r="208" spans="7:11" x14ac:dyDescent="0.25">
      <c r="G208" s="34"/>
      <c r="K208" s="34"/>
    </row>
    <row r="209" spans="6:12" x14ac:dyDescent="0.25">
      <c r="G209" s="34"/>
      <c r="K209" s="34"/>
    </row>
    <row r="211" spans="6:12" x14ac:dyDescent="0.25">
      <c r="G211" s="34"/>
      <c r="K211" s="34"/>
    </row>
    <row r="212" spans="6:12" x14ac:dyDescent="0.25">
      <c r="G212" s="34"/>
      <c r="L212" s="68"/>
    </row>
    <row r="213" spans="6:12" x14ac:dyDescent="0.25">
      <c r="G213" s="34"/>
    </row>
    <row r="214" spans="6:12" x14ac:dyDescent="0.25">
      <c r="G214" s="34"/>
      <c r="L214" s="68"/>
    </row>
    <row r="216" spans="6:12" x14ac:dyDescent="0.25">
      <c r="G216" s="34"/>
      <c r="K216" s="34"/>
    </row>
    <row r="217" spans="6:12" x14ac:dyDescent="0.25">
      <c r="G217" s="34"/>
      <c r="K217" s="34"/>
    </row>
    <row r="218" spans="6:12" x14ac:dyDescent="0.25">
      <c r="G218" s="34"/>
      <c r="K218" s="34"/>
    </row>
    <row r="219" spans="6:12" x14ac:dyDescent="0.25">
      <c r="G219" s="34"/>
      <c r="K219" s="34"/>
    </row>
    <row r="221" spans="6:12" x14ac:dyDescent="0.25">
      <c r="G221" s="34"/>
      <c r="K221" s="34"/>
    </row>
    <row r="222" spans="6:12" x14ac:dyDescent="0.25">
      <c r="G222" s="34"/>
      <c r="K222" s="34"/>
    </row>
    <row r="223" spans="6:12" x14ac:dyDescent="0.25">
      <c r="F223" s="77"/>
      <c r="G223" s="78"/>
      <c r="H223" s="71"/>
      <c r="I223" s="71"/>
      <c r="K223" s="34"/>
    </row>
    <row r="224" spans="6:12" x14ac:dyDescent="0.25">
      <c r="G224" s="34"/>
      <c r="K224" s="34"/>
    </row>
    <row r="225" spans="7:11" x14ac:dyDescent="0.25">
      <c r="G225" s="34"/>
      <c r="K225" s="34"/>
    </row>
    <row r="227" spans="7:11" x14ac:dyDescent="0.25">
      <c r="G227" s="34"/>
      <c r="K227" s="34"/>
    </row>
    <row r="228" spans="7:11" x14ac:dyDescent="0.25">
      <c r="G228" s="34"/>
      <c r="K228" s="34"/>
    </row>
    <row r="229" spans="7:11" x14ac:dyDescent="0.25">
      <c r="G229" s="34"/>
      <c r="K229" s="34"/>
    </row>
    <row r="230" spans="7:11" x14ac:dyDescent="0.25">
      <c r="G230" s="34"/>
      <c r="K230" s="34"/>
    </row>
    <row r="232" spans="7:11" x14ac:dyDescent="0.25">
      <c r="G232" s="34"/>
    </row>
    <row r="233" spans="7:11" x14ac:dyDescent="0.25">
      <c r="G233" s="34"/>
    </row>
    <row r="234" spans="7:11" x14ac:dyDescent="0.25">
      <c r="G234" s="34"/>
    </row>
    <row r="235" spans="7:11" x14ac:dyDescent="0.25">
      <c r="G235" s="34"/>
    </row>
    <row r="236" spans="7:11" x14ac:dyDescent="0.25">
      <c r="G236" s="34"/>
    </row>
    <row r="237" spans="7:11" x14ac:dyDescent="0.25">
      <c r="G237" s="34"/>
    </row>
    <row r="238" spans="7:11" x14ac:dyDescent="0.25">
      <c r="G238" s="34"/>
    </row>
    <row r="239" spans="7:11" x14ac:dyDescent="0.25">
      <c r="G239" s="34"/>
    </row>
    <row r="240" spans="7:11" x14ac:dyDescent="0.25">
      <c r="G240" s="34"/>
    </row>
    <row r="241" spans="7:11" x14ac:dyDescent="0.25">
      <c r="G241" s="34"/>
    </row>
    <row r="242" spans="7:11" x14ac:dyDescent="0.25">
      <c r="G242" s="34"/>
    </row>
    <row r="244" spans="7:11" x14ac:dyDescent="0.25">
      <c r="G244" s="34"/>
      <c r="K244" s="34"/>
    </row>
    <row r="245" spans="7:11" x14ac:dyDescent="0.25">
      <c r="G245" s="34"/>
    </row>
    <row r="247" spans="7:11" x14ac:dyDescent="0.25">
      <c r="G247" s="34"/>
      <c r="K247" s="34"/>
    </row>
  </sheetData>
  <hyperlinks>
    <hyperlink ref="K14" r:id="rId1" display="https://biocyc.org/NEW-IMAGE?type=EC-NUMBER&amp;object=EC-4.2.1.147" xr:uid="{CCCB1E76-C9BC-49C8-9448-39D50AD08A8D}"/>
    <hyperlink ref="K16" r:id="rId2" display="https://biocyc.org/META/NEW-IMAGE?type=EC-NUMBER&amp;object=EC-1.5.1" xr:uid="{652F6A5C-8458-47B7-837C-D217450F4562}"/>
    <hyperlink ref="K17" r:id="rId3" display="https://biocyc.org/META/NEW-IMAGE?type=EC-NUMBER&amp;object=EC-3.5.4.27" xr:uid="{2BD2A18C-B2D1-4B79-B428-5125EF96B402}"/>
    <hyperlink ref="K25" r:id="rId4" display="https://metacyc.org/META/NEW-IMAGE?type=EC-NUMBER&amp;object=EC-1.17.1.9" xr:uid="{FA9700CE-B0FB-45F1-9BFA-557200C0CDC4}"/>
    <hyperlink ref="K12" r:id="rId5" display="https://metacyc.org/META/NEW-IMAGE?type=EC-NUMBER&amp;object=EC-5.3.1.27" xr:uid="{047E0E00-0DB7-498B-8D82-F677D4BF6308}"/>
    <hyperlink ref="K27" r:id="rId6" display="https://biocyc.org/META/NEW-IMAGE?type=EC-NUMBER&amp;object=EC-2.1.2.1" xr:uid="{B3FDE8FC-B7E5-4489-B65F-A1C8A5A96302}"/>
    <hyperlink ref="K28" r:id="rId7" display="https://biocyc.org/META/NEW-IMAGE?type=EC-NUMBER&amp;object=EC-2.6.1.45" xr:uid="{D1FD5645-FC2B-4880-95AD-D833787BFD05}"/>
    <hyperlink ref="K31" r:id="rId8" display="https://biocyc.org/META/NEW-IMAGE?type=EC-NUMBER&amp;object=EC-2.7.1.165" xr:uid="{5831AAA6-5B91-4F3A-BE04-BACD6F169C2C}"/>
    <hyperlink ref="K33" r:id="rId9" display="https://www.genome.jp/dbget-bin/www_bget?ec:4.2.1.11" xr:uid="{F8379123-5414-4205-B162-0703315278E8}"/>
    <hyperlink ref="K34" r:id="rId10" display="https://biocyc.org/META/NEW-IMAGE?type=EC-NUMBER&amp;object=EC-4.1.1.31" xr:uid="{DB3E35F7-6A6A-4F0F-AE12-864BA8302BF7}"/>
    <hyperlink ref="K35" r:id="rId11" display="https://biocyc.org/META/NEW-IMAGE?type=EC-NUMBER&amp;object=EC-1.1.1.37" xr:uid="{AEAC18EA-39D8-4EEA-99E8-2909C87A714A}"/>
    <hyperlink ref="K36" r:id="rId12" display="https://biocyc.org/META/NEW-IMAGE?type=EC-NUMBER&amp;object=EC-6.2.1.9" xr:uid="{91A119DB-138D-4EB6-8C28-5A095DAABDCC}"/>
    <hyperlink ref="K37" r:id="rId13" display="https://biocyc.org/META/NEW-IMAGE?type=EC-NUMBER&amp;object=EC-4.1.3.24" xr:uid="{CF0BDC3C-8536-4CBC-9C1E-AB38B499594C}"/>
    <hyperlink ref="K29" r:id="rId14" display="https://metacyc.org/META/NEW-IMAGE?type=EC-NUMBER&amp;object=EC-1.1.1.29" xr:uid="{62DE5932-0C2B-4A05-98F3-6DC03C989CA6}"/>
    <hyperlink ref="K32" r:id="rId15" display="https://metacyc.org/META/NEW-IMAGE?type=EC-NUMBER&amp;object=EC-5.4.2.12" xr:uid="{63F06AFE-680D-41EF-B8BB-DCBAA7D4B155}"/>
    <hyperlink ref="G3" r:id="rId16" display="https://metacyc.org/META/NEW-IMAGE?type=REACTION&amp;object=RXN-12219" xr:uid="{20403E02-3261-45A8-8E9C-F74404BB3073}"/>
    <hyperlink ref="G4" r:id="rId17" display="https://metacyc.org/META/NEW-IMAGE?type=REACTION&amp;object=METHANE-MONOOXYGENASE-RXN" xr:uid="{23D9E127-9C08-4D72-BE4A-1EA61B0298DB}"/>
    <hyperlink ref="G6" r:id="rId18" display="https://metacyc.org/META/NEW-IMAGE?type=REACTION&amp;object=RXN-2861" xr:uid="{C1249CBE-D457-4236-A0FB-82195C0EDC81}"/>
    <hyperlink ref="K15" r:id="rId19" display="https://biocyc.org/META/NEW-IMAGE?type=EC-NUMBER&amp;object=EC-1.5.1" xr:uid="{C4FE05AC-C740-46DC-BBD1-AA7F7D0625DD}"/>
    <hyperlink ref="G27" r:id="rId20" display="https://metacyc.org/META/NEW-IMAGE?type=REACTION&amp;object=GLYOHMETRANS-RXN" xr:uid="{9E6F7B1A-B31E-48EA-A6F4-4113A64DD598}"/>
    <hyperlink ref="G28" r:id="rId21" display="https://metacyc.org/META/NEW-IMAGE?type=REACTION&amp;object=SERINE--GLYOXYLATE-AMINOTRANSFERASE-RXN" xr:uid="{5F732793-F09E-45BF-8EA3-76DDC7764118}"/>
    <hyperlink ref="G29" r:id="rId22" display="https://metacyc.org/META/NEW-IMAGE?type=REACTION&amp;object=HYDROXYPYRUVATE-REDUCTASE-RXN" xr:uid="{69F166FC-A948-443D-B797-718173976154}"/>
    <hyperlink ref="G30" r:id="rId23" display="https://metacyc.org/META/NEW-IMAGE?type=REACTION&amp;object=HYDROXYPYRUVATE-REDUCTASE-RXN" xr:uid="{C4781201-8B53-41CD-A618-4C34C356507E}"/>
    <hyperlink ref="K30" r:id="rId24" display="https://metacyc.org/META/NEW-IMAGE?type=EC-NUMBER&amp;object=EC-1.1.1.29" xr:uid="{BF5A5560-9040-4482-85C8-762A723BD215}"/>
    <hyperlink ref="G31" r:id="rId25" display="https://metacyc.org/META/NEW-IMAGE?type=REACTION&amp;object=GKI-RXN" xr:uid="{46B26C19-77A8-4980-9A88-EC735097EBB1}"/>
    <hyperlink ref="G32" r:id="rId26" display="https://metacyc.org/META/NEW-IMAGE?type=REACTION&amp;object=3PGAREARR-RXN" xr:uid="{44D4F401-5E1E-45AF-9457-079567C45DB8}"/>
    <hyperlink ref="G33" r:id="rId27" display="https://metacyc.org/META/NEW-IMAGE?type=REACTION&amp;object=2PGADEHYDRAT-RXN" xr:uid="{73B7E8FA-BE8A-467A-B148-EAFEAE1E0C53}"/>
    <hyperlink ref="G34" r:id="rId28" display="https://metacyc.org/META/NEW-IMAGE?type=REACTION&amp;object=PEPCARBOX-RXN" xr:uid="{65E38DD0-118A-4C25-8128-7BF328B2CFB0}"/>
    <hyperlink ref="G35" r:id="rId29" display="https://metacyc.org/META/NEW-IMAGE?type=REACTION&amp;object=MALATE-DEH-RXN" xr:uid="{824BB784-9E1A-43EE-AB79-1FB160710DDA}"/>
    <hyperlink ref="G36" r:id="rId30" display="https://metacyc.org/META/NEW-IMAGE?type=REACTION&amp;object=MALATE--COA-LIGASE-RXN" xr:uid="{7D082BDA-C9F7-488D-8D1A-1F28F703146C}"/>
    <hyperlink ref="G37" r:id="rId31" display="https://metacyc.org/META/NEW-IMAGE?type=REACTION&amp;object=MALYL-COA-LYASE-RXN" xr:uid="{AE41CD65-A195-42C5-96B7-85EB5FCFD7F2}"/>
    <hyperlink ref="K39" r:id="rId32" display="https://biocyc.org/NEW-IMAGE?type=EC-NUMBER&amp;object=EC-2.3.1.9" xr:uid="{1F803C7B-CCC9-41AB-BB6D-E91DE47EFF23}"/>
    <hyperlink ref="K40" r:id="rId33" display="https://biocyc.org/META/NEW-IMAGE?type=EC-NUMBER&amp;object=EC-1.1.1.36" xr:uid="{13E36EA9-7590-4ABB-8DD3-A5014BF23BB1}"/>
    <hyperlink ref="K42" r:id="rId34" display="https://biocyc.org/META/NEW-IMAGE?type=EC-NUMBER&amp;object=EC-1.3.1.85" xr:uid="{3AEB6639-7AEA-49A8-8D32-73C62CD73F4B}"/>
    <hyperlink ref="K44" r:id="rId35" display="https://biocyc.org/META/NEW-IMAGE?type=EC-NUMBER&amp;object=EC-5.4.99.63" xr:uid="{45887EF0-62E9-4684-A9C5-AE9059F66A79}"/>
    <hyperlink ref="K45" r:id="rId36" display="https://biocyc.org/META/NEW-IMAGE?type=EC-NUMBER&amp;object=EC-1.3.8.12" xr:uid="{9E73DAE0-2D3D-4F79-8E1F-712EDACB71B8}"/>
    <hyperlink ref="K47" r:id="rId37" display="https://biocyc.org/META/NEW-IMAGE?type=EC-NUMBER&amp;object=EC-4.1.3.24" xr:uid="{C9E33683-AE39-46FF-A994-C633574FEE32}"/>
    <hyperlink ref="G39" r:id="rId38" display="https://metacyc.org/META/NEW-IMAGE?type=REACTION&amp;object=ACETYL-COA-ACETYLTRANSFER-RXN" xr:uid="{464680FF-AD88-42BF-9B7D-4C954DB9AEF1}"/>
    <hyperlink ref="G40" r:id="rId39" display="https://metacyc.org/META/NEW-IMAGE?type=REACTION&amp;object=RXN-5901" xr:uid="{0477CDDF-83AA-4A82-869B-24E5D6814D8D}"/>
    <hyperlink ref="G41" r:id="rId40" display="https://metacyc.org/META/NEW-IMAGE?type=REACTION&amp;object=3-HYDROXBUTYRYL-COA-DEHYDRATASE-RXN" xr:uid="{A9F31B19-88B1-472D-B21C-1904A258866E}"/>
    <hyperlink ref="G42" r:id="rId41" display="https://metacyc.org/META/NEW-IMAGE?type=REACTION&amp;object=RXN-8957" xr:uid="{B95189B9-ED04-415E-859F-99A3A05F309D}"/>
    <hyperlink ref="G43" r:id="rId42" display="https://metacyc.org/META/NEW-IMAGE?type=REACTION&amp;object=RXN-16391" xr:uid="{C64A3E0E-45D5-4F13-8B0F-D3E47A4FA5BB}"/>
    <hyperlink ref="G44" r:id="rId43" display="https://metacyc.org/META/NEW-IMAGE?type=REACTION&amp;object=RXN-8958" xr:uid="{502C9DD8-4FFC-4A68-83C0-B9FE2A4FDA51}"/>
    <hyperlink ref="G45" r:id="rId44" display="https://metacyc.org/META/NEW-IMAGE?type=REACTION&amp;object=RXN-8959" xr:uid="{4D69A672-5B72-49B6-961F-3B24231C3733}"/>
    <hyperlink ref="G46" r:id="rId45" display="https://metacyc.org/META/NEW-IMAGE?type=REACTION&amp;object=RXN-8960" xr:uid="{3E5E2471-EE6E-498D-BAA5-2F94180CB275}"/>
    <hyperlink ref="G47" r:id="rId46" display="https://metacyc.org/META/NEW-IMAGE?type=REACTION&amp;object=RXN-8961" xr:uid="{F317C9B2-9CF1-465C-915D-5AF89785A646}"/>
    <hyperlink ref="K51" r:id="rId47" display="https://biocyc.org/META/NEW-IMAGE?type=EC-NUMBER&amp;object=EC-5.4.99.2" xr:uid="{764D8253-3F4B-4BE0-85F5-4F3A0E83DB39}"/>
    <hyperlink ref="G49" r:id="rId48" display="https://metacyc.org/META/NEW-IMAGE?type=REACTION&amp;object=PROPIONYL-COA-CARBOXY-RXN" xr:uid="{6D3AF689-ED71-4174-AE57-7A43688538CB}"/>
    <hyperlink ref="G50" r:id="rId49" display="https://metacyc.org/META/NEW-IMAGE?type=REACTION&amp;object=METHYLMALONYL-COA-EPIM-RXN" xr:uid="{06A69EED-073D-4FF9-BB64-586A15BCF2BA}"/>
    <hyperlink ref="G51" r:id="rId50" display="https://metacyc.org/META/NEW-IMAGE?type=REACTION&amp;object=METHYLMALONYL-COA-MUT-RXN" xr:uid="{6719498F-224D-4923-A70D-6B7CE0127DFA}"/>
    <hyperlink ref="G8" r:id="rId51" display="https://metacyc.org/META/NEW-IMAGE?type=REACTION&amp;object=FORMALDEHYDE-DEHYDROGENASE-RXN" xr:uid="{CD437D3B-886E-4677-BC94-6B58A4802494}"/>
    <hyperlink ref="G11" r:id="rId52" display="https://metacyc.org/META/NEW-IMAGE?type=REACTION&amp;object=R10-RXN" xr:uid="{28281C3E-FAD1-4133-BAB3-752204F3AB4E}"/>
    <hyperlink ref="G12" r:id="rId53" display="https://metacyc.org/META/NEW-IMAGE?type=REACTION&amp;object=R12-RXN" xr:uid="{E338B096-F08E-47C3-BE35-CFFBB213C147}"/>
    <hyperlink ref="G14" r:id="rId54" display="https://metacyc.org/META/NEW-IMAGE?type=REACTION&amp;object=RXN-2882" xr:uid="{8AB99F02-2629-4959-A922-2DC2D3AD4F0D}"/>
    <hyperlink ref="G15" r:id="rId55" display="https://metacyc.org/META/NEW-IMAGE?type=REACTION&amp;object=RXN-2883" xr:uid="{B4DC9696-DE25-41E7-B774-20870D19A969}"/>
    <hyperlink ref="G16" r:id="rId56" display="https://metacyc.org/META/NEW-IMAGE?type=REACTION&amp;object=RXN-2883" xr:uid="{1A3844F9-FC12-4CA4-AAC4-747964EFF8C6}"/>
    <hyperlink ref="G17" r:id="rId57" display="https://metacyc.org/META/NEW-IMAGE?type=REACTION&amp;object=3.5.4.27-RXN" xr:uid="{3989BC00-6CE8-4322-A2B0-9FC59F9A31E9}"/>
    <hyperlink ref="G18" r:id="rId58" display="https://metacyc.org/META/NEW-IMAGE?type=REACTION&amp;object=RXN-2884" xr:uid="{631206C3-5AFE-4A2E-8538-C8DDE274673C}"/>
    <hyperlink ref="G25" r:id="rId59" display="https://metacyc.org/META/NEW-IMAGE?type=REACTION&amp;object=1.2.1.2-RXN" xr:uid="{3D0858FA-7F6A-4CB2-865A-502305FEA45B}"/>
    <hyperlink ref="K9" r:id="rId60" tooltip="Go to the Enzyme Summary Page" display="https://www.brenda-enzymes.org/enzyme.php?ecno=1.2.2.B1" xr:uid="{7DE66D6A-42F1-496F-AE7B-C1AA57B40EF2}"/>
    <hyperlink ref="G21" r:id="rId61" display="https://biocyc.org/MOB3B/NEW-IMAGE?type=REACTION&amp;object=METHYLENETHFDEHYDROG-NADP-RXN" xr:uid="{635D3EC6-1D84-4E8A-9B11-6F75B27D4D59}"/>
    <hyperlink ref="G22" r:id="rId62" display="https://biocyc.org/MOB3B/NEW-IMAGE?type=REACTION&amp;object=METHENYLTHFCYCLOHYDRO-RXN" xr:uid="{6645B0F6-C841-4266-81AD-3BC95C358444}"/>
    <hyperlink ref="G23" r:id="rId63" display="https://biocyc.org/MOB3B/NEW-IMAGE?type=REACTION&amp;object=FORMATETHFLIG-RXN" xr:uid="{788D39B7-FB71-4001-A5CB-5230AFF1FDC9}"/>
    <hyperlink ref="G53" r:id="rId64" display="https://metacyc.org/META/NEW-IMAGE?type=REACTION&amp;object=PYRUVDEH-RXN" xr:uid="{06264AB6-E1DE-4154-8F4D-D3B5A77A7C77}"/>
    <hyperlink ref="K53" r:id="rId65" display="https://metacyc.org/META/NEW-IMAGE?type=EC-NUMBER&amp;object=EC-1.2.1.104" xr:uid="{66BD1B50-E476-4FB1-9362-FEDFCE70B46A}"/>
    <hyperlink ref="G54" r:id="rId66" display="https://metacyc.org/META/NEW-IMAGE?type=REACTION&amp;object=CITSYN-RXN" xr:uid="{0B49FBCC-812B-4B37-ABB1-1D3B49C6CC83}"/>
    <hyperlink ref="G55" r:id="rId67" display="https://metacyc.org/META/NEW-IMAGE?type=REACTION&amp;object=RXN-14047" xr:uid="{555AFB62-BE93-4A3C-8100-046BE4BAD9BA}"/>
    <hyperlink ref="K55" r:id="rId68" display="https://metacyc.org/META/NEW-IMAGE?type=EC-NUMBER&amp;object=EC-4.2.1.3" xr:uid="{7302306D-4351-477F-BE2E-1568127658D4}"/>
    <hyperlink ref="G56" r:id="rId69" display="https://metacyc.org/META/NEW-IMAGE?type=REACTION&amp;object=ISOCITDEH-RXN" xr:uid="{5C32FB33-8570-422E-BC15-63F741759D5E}"/>
    <hyperlink ref="K56" r:id="rId70" display="https://metacyc.org/META/NEW-IMAGE?type=EC-NUMBER&amp;object=EC-1.1.1.42" xr:uid="{9637B130-9473-4A04-906F-62DF9A9CB562}"/>
    <hyperlink ref="G57" r:id="rId71" display="https://metacyc.org/META/NEW-IMAGE?type=REACTION&amp;object=ISOCITRATE-DEHYDROGENASE-NAD%2b-RXN" xr:uid="{95D16C45-2773-4AE9-B6C7-9210D0F835FF}"/>
    <hyperlink ref="K57" r:id="rId72" display="https://metacyc.org/META/NEW-IMAGE?type=EC-NUMBER&amp;object=EC-1.1.1.41" xr:uid="{7790D77F-1097-415D-86FD-DEE45E6D2422}"/>
    <hyperlink ref="G58" r:id="rId73" display="https://metacyc.org/META/NEW-IMAGE?type=REACTION&amp;object=2OXOGLUTARATEDEH-RXN" xr:uid="{5921837F-4277-48C7-AFDA-175E6E371BF4}"/>
    <hyperlink ref="K58" r:id="rId74" display="https://metacyc.org/META/NEW-IMAGE?type=EC-NUMBER&amp;object=EC-1.2.1.105" xr:uid="{01FBECB7-1D79-4090-B636-C87935260C0F}"/>
    <hyperlink ref="G59" r:id="rId75" display="https://metacyc.org/META/NEW-IMAGE?type=REACTION&amp;object=SUCCCOASYN-RXN" xr:uid="{90C2B4FE-F900-4507-822B-BB9F7901AFB3}"/>
    <hyperlink ref="K59" r:id="rId76" display="https://metacyc.org/META/NEW-IMAGE?type=EC-NUMBER&amp;object=EC-6.2.1.5" xr:uid="{94E68094-4DE1-444B-BD8D-E3BF2D805E10}"/>
    <hyperlink ref="G60" r:id="rId77" display="https://metacyc.org/META/NEW-IMAGE?type=REACTION&amp;object=SUCCINATE-DEHYDROGENASE-UBIQUINONE-RXN" xr:uid="{CC1620FF-E1A8-40D1-A091-FBD145B10424}"/>
    <hyperlink ref="K60" r:id="rId78" display="https://metacyc.org/META/NEW-IMAGE?type=EC-NUMBER&amp;object=EC-1.3.5.1" xr:uid="{1C35C1B7-EF79-4DD9-91B2-B1F23B3E2CC9}"/>
    <hyperlink ref="G61" r:id="rId79" display="https://metacyc.org/META/NEW-IMAGE?type=REACTION&amp;object=FUMHYDR-RXN" xr:uid="{ABC5AEA2-38D5-425D-87DC-1ECF3E844D58}"/>
    <hyperlink ref="K61" r:id="rId80" display="https://metacyc.org/META/NEW-IMAGE?type=EC-NUMBER&amp;object=EC-4.2.1.2" xr:uid="{E488D80B-6FE6-4CDE-BE0A-C2D50AC7055A}"/>
    <hyperlink ref="G62" r:id="rId81" display="https://metacyc.org/META/NEW-IMAGE?type=REACTION&amp;object=MALIC-NADP-RXN" xr:uid="{D3AE20D4-9F0C-4F04-A309-936842AEF1CA}"/>
    <hyperlink ref="K62" r:id="rId82" display="https://metacyc.org/META/NEW-IMAGE?type=EC-NUMBER&amp;object=EC-1.1.1.40" xr:uid="{5FA3D815-07DF-4FD8-AA0B-83648E3E1CD3}"/>
    <hyperlink ref="G64" r:id="rId83" display="https://metacyc.org/META/NEW-IMAGE?type=REACTION&amp;object=PYRUVATE-CARBOXYLASE-RXN" xr:uid="{92F381DE-B16E-448C-A67A-F66C67275FAC}"/>
    <hyperlink ref="G63" r:id="rId84" display="https://metacyc.org/META/NEW-IMAGE?type=REACTION&amp;object=1.1.1.39-RXN" xr:uid="{99C1E0EF-280F-47CE-B783-A98EAB8E42DD}"/>
    <hyperlink ref="K100" r:id="rId85" display="https://www.genome.jp/dbget-bin/www_bget?ec:1.4.1.13" xr:uid="{9CE3E07A-1C8A-4DFE-B401-ECDF8C6F1956}"/>
    <hyperlink ref="K99" r:id="rId86" display="https://www.genome.jp/dbget-bin/www_bget?ec:6.3.1.2" xr:uid="{68DCB5A2-64C8-4F6B-8CD1-1BE0F9A4757B}"/>
    <hyperlink ref="K86" r:id="rId87" display="https://biocyc.org/MOB3B/NEW-IMAGE?type=EC-NUMBER&amp;object=EC-5.1.3.1" xr:uid="{4A8E1687-9DBB-45C4-89AC-FEC34658BE1E}"/>
    <hyperlink ref="G85" r:id="rId88" display="https://biocyc.org/META/NEW-IMAGE?type=REACTION&amp;object=2TRANSKETO-RXN" xr:uid="{7D12588A-E140-47ED-ADA3-4C7C88A03DEC}"/>
    <hyperlink ref="G87" r:id="rId89" display="https://biocyc.org/MOB3B/NEW-IMAGE?type=REACTION&amp;object=RIB5PISOM-RXN" xr:uid="{CF9B660F-3846-4D4D-B760-80E71395E779}"/>
    <hyperlink ref="G88" r:id="rId90" display="https://metacyc.org/META/NEW-IMAGE?type=REACTION&amp;object=TRANSALDOL-RXN" xr:uid="{DC0E107A-6253-4C41-B27D-170484A81E28}"/>
    <hyperlink ref="G86" r:id="rId91" display="https://metacyc.org/META/NEW-IMAGE?type=REACTION&amp;object=RIBULP3EPIM-RXN" xr:uid="{E1C3A9CA-D711-4073-99AF-CFBDD64B1DF4}"/>
    <hyperlink ref="K115" r:id="rId92" display="https://www.genome.jp/dbget-bin/www_bget?ec:7.1.1.8" xr:uid="{5FC31499-4AD7-4119-B948-EA163D3E5CCF}"/>
    <hyperlink ref="G116" r:id="rId93" display="https://metacyc.org/META/NEW-IMAGE?type=REACTION&amp;object=CYTOCHROME-C-OXIDASE-RXN" xr:uid="{CA0D03FE-DAE8-425B-AA89-B829CBE9ED40}"/>
    <hyperlink ref="G117" r:id="rId94" display="https://metacyc.org/META/NEW-IMAGE?type=REACTION&amp;object=RXN-20992" xr:uid="{78821F61-0D9A-4E6A-97DB-D80AB04D1481}"/>
    <hyperlink ref="G118" r:id="rId95" display="https://metacyc.org/META/NEW-IMAGE?type=REACTION&amp;object=RXN-21817" xr:uid="{EE94402D-29F5-4885-9B95-C0B6F11DC8F3}"/>
    <hyperlink ref="G149" r:id="rId96" display="https://metacyc.org/META/NEW-IMAGE?type=REACTION&amp;object=3.6.3.26-RXN" xr:uid="{6C1D2376-3E9E-4515-8D43-ABA771D4FC0F}"/>
    <hyperlink ref="G103" r:id="rId97" display="https://biocyc.org/META/NEW-IMAGE?type=REACTION&amp;object=NITRATE-REDUCTASE-NADPORNOPH-RXN" xr:uid="{2A70ACCB-B864-45B5-AF57-F24CC6ACF8E2}"/>
    <hyperlink ref="G104" r:id="rId98" display="https://biocyc.org/META/NEW-IMAGE?type=REACTION&amp;object=RXN-13854" xr:uid="{16D05C7A-8F31-460B-945F-57FCD908F8AD}"/>
    <hyperlink ref="G102" r:id="rId99" display="https://metacyc.org/META/NEW-IMAGE?type=REACTION&amp;object=RXN-12365" xr:uid="{C41F4956-C98E-4ACB-8681-5950254DBB9F}"/>
    <hyperlink ref="G101" r:id="rId100" display="https://metacyc.org/META/NEW-IMAGE?type=REACTION&amp;object=NITROGENASE-RXN" xr:uid="{1C7EB469-6F02-453B-B1F2-CCC77B9B6A91}"/>
    <hyperlink ref="G105" r:id="rId101" display="https://metacyc.org/META/NEW-IMAGE?type=REACTION&amp;object=AMONITRO-RXN" xr:uid="{CAF5F260-708E-4603-88FD-11A83672DBFA}"/>
    <hyperlink ref="G106" r:id="rId102" display="https://metacyc.org/META/NEW-IMAGE?type=REACTION&amp;object=HAONITRO-RXN" xr:uid="{A0F4AB7C-586F-4DBA-9632-C37851B62D22}"/>
    <hyperlink ref="G107" r:id="rId103" display="https://metacyc.org/META/NEW-IMAGE?type=REACTION&amp;object=NITRITE-REDUCTASE-CYTOCHROME-RXN" xr:uid="{091B1824-EEF5-4F20-9B6D-4B1FB9652584}"/>
    <hyperlink ref="G108" r:id="rId104" display="https://metacyc.org/META/NEW-IMAGE?type=REACTION&amp;object=NITRIC-OXIDE-REDUCTASE-RXN" xr:uid="{DD54E0D9-7F67-4EA3-92D4-E0C416CBB872}"/>
    <hyperlink ref="G99" r:id="rId105" display="https://metacyc.org/META/NEW-IMAGE?type=REACTION&amp;object=GLUTAMINESYN-RXN" xr:uid="{9BB2D0DD-DAA0-44DF-8CC9-40460C7B0D03}"/>
    <hyperlink ref="G100" r:id="rId106" display="https://metacyc.org/META/NEW-IMAGE?type=REACTION&amp;object=GLUTAMATESYN-RXN" xr:uid="{09B4F171-8FC2-43CF-BE1A-891298EB3F68}"/>
    <hyperlink ref="G119" r:id="rId107" display="https://metacyc.org/META/NEW-IMAGE?type=REACTION&amp;object=TRANS-RXN-370" xr:uid="{6B97CBFF-FCB1-44CD-9C9F-5DEAC281859C}"/>
    <hyperlink ref="G109" r:id="rId108" display="https://metacyc.org/META/NEW-IMAGE?type=REACTION&amp;object=GLUTKIN-RXN" xr:uid="{370A645C-1BE5-4B6F-BA8A-FF1A32B0E6D7}"/>
    <hyperlink ref="K110" r:id="rId109" display="https://www.genome.jp/dbget-bin/www_bget?ec:1.2.1.41" xr:uid="{046F31F5-4D88-440D-A435-59864C55FFE5}"/>
    <hyperlink ref="G110" r:id="rId110" display="https://metacyc.org/META/NEW-IMAGE?type=REACTION&amp;object=GLUTSEMIALDEHYDROG-RXN" xr:uid="{31B90578-B487-4EF7-AF33-57518C0C86D0}"/>
    <hyperlink ref="K111" r:id="rId111" display="https://www.genome.jp/dbget-bin/www_bget?ec:2.6.1.13" xr:uid="{6098D6B5-88ED-46EC-A98E-4E7D3312A388}"/>
    <hyperlink ref="G111" r:id="rId112" display="https://metacyc.org/META/NEW-IMAGE?type=REACTION&amp;object=ORNITHINE-GLU-AMINOTRANSFERASE-RXN" xr:uid="{C1C06D8A-4FAE-4274-9F19-F1A621C48716}"/>
    <hyperlink ref="K112" r:id="rId113" display="https://www.genome.jp/dbget-bin/www_bget?ec:4.1.1.17" xr:uid="{FEA880D8-6BED-434F-87C1-54AA43CA9B0F}"/>
    <hyperlink ref="G112" r:id="rId114" display="https://metacyc.org/META/NEW-IMAGE?type=REACTION&amp;object=ORNDECARBOX-RXN" xr:uid="{72AC9AA4-A6D6-4371-966B-EBED121989EE}"/>
    <hyperlink ref="G126" r:id="rId115" display="https://metacyc.org/META/NEW-IMAGE?type=REACTION&amp;object=HYDROGEN-DEHYDROGENASE-RXN" xr:uid="{C42D9D6A-30E1-42AC-8B6F-A78D09408AA6}"/>
    <hyperlink ref="L154" r:id="rId116" display="https://metacyc.org/gene?orgid=META&amp;id=EG11512-MONOMER" xr:uid="{82EB06A7-1830-4E9D-92A6-594671DE8D42}"/>
    <hyperlink ref="G135" r:id="rId117" display="https://metacyc.org/META/NEW-IMAGE?type=REACTION&amp;object=PHOSPHOGLUCMUT-RXN" xr:uid="{D871E742-9103-4122-BEA4-0F97C28BED42}"/>
    <hyperlink ref="G136" r:id="rId118" display="https://metacyc.org/META/NEW-IMAGE?type=REACTION&amp;object=GLUC1PADENYLTRANS-RXN" xr:uid="{14B6C977-BD00-4E9C-8DF3-7BCC0E8A2AED}"/>
    <hyperlink ref="G137" r:id="rId119" display="https://metacyc.org/META/NEW-IMAGE?type=REACTION&amp;object=GLYCOGENSYN-RXN" xr:uid="{7B7A5383-0F41-42FA-976B-45D79BC814A2}"/>
    <hyperlink ref="G138" r:id="rId120" display="https://metacyc.org/META/NEW-IMAGE?type=REACTION&amp;object=RXN0-5184" xr:uid="{EAC5DF59-3CA7-4469-B71B-DCAD3C695206}"/>
    <hyperlink ref="K90" r:id="rId121" display="https://metacyc.org/META/NEW-IMAGE?type=EC-NUMBER&amp;object=EC-2.3.1.dq" xr:uid="{3BB161A1-A9EC-45BE-A805-2F0C77C762ED}"/>
    <hyperlink ref="G90" r:id="rId122" display="https://metacyc.org/META/NEW-IMAGE?type=REACTION&amp;object=RXN1-42" xr:uid="{274C4BBD-D0DC-4D9C-9584-C02E740377F0}"/>
    <hyperlink ref="G91" r:id="rId123" display="https://metacyc.org/META/NEW-IMAGE?type=REACTION&amp;object=3.1.1.75-RXN" xr:uid="{14D6BB4C-EDEC-4032-90F8-29A894856CD8}"/>
    <hyperlink ref="G92" r:id="rId124" display="https://biocyc.org/MOB3B/NEW-IMAGE?type=REACTION&amp;object=3-HYDROXYBUTYRATE-DEHYDROGENASE-RXN" xr:uid="{0A6BDB5D-E291-4D26-9AB3-20A360D9C121}"/>
    <hyperlink ref="G93" r:id="rId125" display="https://metacyc.org/META/NEW-IMAGE?type=REACTION&amp;object=ACETOACETATE--COA-LIGASE-RXN" xr:uid="{6258A547-6E09-4150-A0FE-96BBC66E1A17}"/>
    <hyperlink ref="G74" r:id="rId126" display="https://metacyc.org/META/NEW-IMAGE?type=REACTION&amp;object=GLU6PDEHYDROG-RXN" xr:uid="{D82FB295-6F1A-40DE-9D4A-813094FE39E7}"/>
    <hyperlink ref="K74" r:id="rId127" display="https://metacyc.org/META/NEW-IMAGE?type=EC-NUMBER&amp;object=EC-1.1.1.49" xr:uid="{D76C1A88-E3C2-4307-8D13-9F3C6B1858CA}"/>
    <hyperlink ref="G75" r:id="rId128" display="https://metacyc.org/META/NEW-IMAGE?type=REACTION&amp;object=6PGLUCONOLACT-RXN" xr:uid="{2E543EB3-5E3B-4F3A-91EB-02044E8FA740}"/>
    <hyperlink ref="K75" r:id="rId129" display="https://metacyc.org/META/NEW-IMAGE?type=EC-NUMBER&amp;object=EC-3.1.1.31" xr:uid="{1FC3E96A-D564-47E0-BAD0-44C0640FEE6A}"/>
    <hyperlink ref="G76" r:id="rId130" display="https://metacyc.org/META/NEW-IMAGE?type=REACTION&amp;object=PGLUCONDEHYDRAT-RXN" xr:uid="{BE1DF93D-7BD9-4ADE-A228-37182E071F4F}"/>
    <hyperlink ref="K76" r:id="rId131" display="https://metacyc.org/META/NEW-IMAGE?type=EC-NUMBER&amp;object=EC-4.2.1.12" xr:uid="{5DFDF539-DA67-4AF9-AF47-04A2CBC10F43}"/>
    <hyperlink ref="G77" r:id="rId132" display="https://metacyc.org/META/NEW-IMAGE?type=REACTION&amp;object=KDPGALDOL-RXN" xr:uid="{1F4F7A93-C980-4748-B1B8-6E8E541ED942}"/>
    <hyperlink ref="G128" r:id="rId133" display="https://metacyc.org/META/NEW-IMAGE?type=REACTION&amp;object=PHOSACETYLTRANS-RXN" xr:uid="{9987EB38-5EC0-4F5C-B688-C958A85045E1}"/>
    <hyperlink ref="K128" r:id="rId134" display="https://metacyc.org/META/NEW-IMAGE?type=EC-NUMBER&amp;object=EC-2.3.1.8" xr:uid="{1A855432-3AF8-4C82-880D-2DA44292BA7C}"/>
    <hyperlink ref="G129" r:id="rId135" display="https://metacyc.org/META/NEW-IMAGE?type=REACTION&amp;object=ACETATEKIN-RXN" xr:uid="{FCF87978-3B69-4499-AB5E-1FB8B367C16A}"/>
    <hyperlink ref="G130" r:id="rId136" display="https://metacyc.org/META/NEW-IMAGE?type=REACTION&amp;object=ACETALD-DEHYDROG-RXN" xr:uid="{1998D0CA-5696-4131-AD22-6B1E82A37195}"/>
    <hyperlink ref="K130" r:id="rId137" display="https://metacyc.org/META/NEW-IMAGE?type=EC-NUMBER&amp;object=EC-1.2.1.10" xr:uid="{B094A045-3EC6-4B13-B7C6-3B59C8ABDE11}"/>
    <hyperlink ref="G96" r:id="rId138" display="https://metacyc.org/META/NEW-IMAGE?type=REACTION&amp;object=RXN0-5224" xr:uid="{E2A1F63D-34AE-434C-9229-3FE26F266CA9}"/>
    <hyperlink ref="K96" r:id="rId139" display="https://metacyc.org/META/NEW-IMAGE?type=EC-NUMBER&amp;object=EC-4.2.1.1" xr:uid="{CDE965BA-560D-477F-BFC4-26E1952DE1C2}"/>
    <hyperlink ref="G132" r:id="rId140" display="https://metacyc.org/META/NEW-IMAGE?type=REACTION&amp;object=ACETOACETATE-DECARBOXYLASE-RXN" xr:uid="{A67FABAC-A606-4993-8B17-857C4624D3F6}"/>
    <hyperlink ref="K132" r:id="rId141" display="https://www.genome.jp/entry/4.1.1.4" xr:uid="{AE686498-2D8C-4995-9DD4-389823C25160}"/>
    <hyperlink ref="G167" r:id="rId142" display="https://metacyc.org/META/NEW-IMAGE?type=REACTION&amp;object=GLUTAMIN-RXN" xr:uid="{C292EE06-7633-4260-9BF3-C3A20A88AA86}"/>
    <hyperlink ref="G168" r:id="rId143" display="https://metacyc.org/META/NEW-IMAGE?type=REACTION&amp;object=GLUTAMATE-DEHYDROGENASE-RXN" xr:uid="{98990374-2A79-475A-ABAE-8B6649579E6E}"/>
    <hyperlink ref="K66" r:id="rId144" display="https://biocyc.org/MOB3B/NEW-IMAGE?type=EC-NUMBER&amp;object=EC-5.3.1.9" xr:uid="{242E4D37-EE53-4DCB-B4FB-56BB0C21CE0A}"/>
    <hyperlink ref="G67" r:id="rId145" display="https://metacyc.org/META/NEW-IMAGE?type=REACTION&amp;object=2.7.1.90-RXN" xr:uid="{5BBBD9C7-E1E4-43FE-B974-8169681B5C2C}"/>
    <hyperlink ref="G66" r:id="rId146" display="https://metacyc.org/META/NEW-IMAGE?type=REACTION&amp;object=PGLUCISOM-RXN" xr:uid="{6423D172-4DAA-4458-A9AE-9AFD5A9339D0}"/>
    <hyperlink ref="G69" r:id="rId147" display="https://metacyc.org/META/NEW-IMAGE?type=REACTION&amp;object=TRIOSEPISOMERIZATION-RXN" xr:uid="{4FE7B100-CE18-4CAC-ADB3-169C882568B5}"/>
    <hyperlink ref="G70" r:id="rId148" display="https://metacyc.org/META/NEW-IMAGE?type=REACTION&amp;object=GAPOXNPHOSPHN-RXN" xr:uid="{AED4813E-2DD0-4D11-8ADC-86BC7B46771F}"/>
    <hyperlink ref="G71" r:id="rId149" display="https://metacyc.org/META/NEW-IMAGE?type=REACTION&amp;object=PHOSGLYPHOS-RXN" xr:uid="{AF15474A-663D-4C0F-B044-3EE226C3A5FB}"/>
    <hyperlink ref="G72" r:id="rId150" display="https://metacyc.org/META/NEW-IMAGE?type=REACTION&amp;object=PYRUVATEORTHOPHOSPHATE-DIKINASE-RXN" xr:uid="{55C8B9C0-86CA-47D3-AE09-B973F3FF208E}"/>
    <hyperlink ref="K69" r:id="rId151" display="https://biocyc.org/MOB3B/NEW-IMAGE?type=EC-NUMBER&amp;object=EC-5.3.1.1" xr:uid="{53FA0522-4105-4190-A2FB-223EFD24206A}"/>
    <hyperlink ref="K70" r:id="rId152" display="https://biocyc.org/MOB3B/NEW-IMAGE?type=EC-NUMBER&amp;object=EC-1.2.1.12" xr:uid="{0B58948F-1B8F-4371-9FA5-130339D67BF6}"/>
    <hyperlink ref="G133" r:id="rId153" display="https://metacyc.org/META/NEW-IMAGE?type=REACTION&amp;object=DLACTDEHYDROGNAD-RXN" xr:uid="{113AC275-39F0-458B-9D13-6D8F1B29A555}"/>
    <hyperlink ref="G68" r:id="rId154" display="https://metacyc.org/META/NEW-IMAGE?type=REACTION&amp;object=F16ALDOLASE-RXN" xr:uid="{3BFB20B6-7E2B-4919-BE89-001EEC4DED3E}"/>
    <hyperlink ref="K68" r:id="rId155" display="https://biocyc.org/MOB3B/NEW-IMAGE?type=EC-NUMBER&amp;object=EC-4.1.2.13" xr:uid="{E87E1E17-40B5-40C0-B405-60ADA11BEB58}"/>
    <hyperlink ref="G79" r:id="rId156" display="https://metacyc.org/META/NEW-IMAGE?type=REACTION&amp;object=RXN-9952" xr:uid="{A3DEE2BA-EAB8-40CC-A6A4-9A938258F045}"/>
    <hyperlink ref="G80" r:id="rId157" display="https://metacyc.org/META/NEW-IMAGE?type=REACTION&amp;object=RXN-3341" xr:uid="{E6C3B3D4-F50B-46A8-8B40-0AAF87CF0BAA}"/>
    <hyperlink ref="G81" r:id="rId158" display="https://metacyc.org/META/NEW-IMAGE?type=REACTION&amp;object=PHOSPHOKETOLASE-RXN" xr:uid="{A3CF75FC-985F-47AE-B447-622EA022EF61}"/>
    <hyperlink ref="G82" r:id="rId159" display="https://metacyc.org/META/NEW-IMAGE?type=REACTION&amp;object=FRUCTOSE-6-PHOSPHATE-PHOSPHOKETOLASE-RXN" xr:uid="{C9FF7983-82EE-4D91-9BE8-7E98DCD3EBAD}"/>
    <hyperlink ref="G120" r:id="rId160" display="https://metacyc.org/META/NEW-IMAGE?type=REACTION&amp;object=ATP-PYROPHOSPHATASE-RXN" xr:uid="{212CD2A8-0639-4496-9405-04293623099A}"/>
    <hyperlink ref="K122" r:id="rId161" display="https://metacyc.org/META/NEW-IMAGE?type=EC-NUMBER&amp;object=EC-2.7.4.3" xr:uid="{69C5B060-BDD1-4E36-82E9-ECA731B9C35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ADF5-4ED6-4A18-AE03-E23274CE6A23}">
  <sheetPr codeName="Sheet6"/>
  <dimension ref="A2:BP85"/>
  <sheetViews>
    <sheetView zoomScale="90" zoomScaleNormal="90" workbookViewId="0">
      <selection activeCell="G2" sqref="G2"/>
    </sheetView>
  </sheetViews>
  <sheetFormatPr defaultColWidth="8.85546875" defaultRowHeight="15" x14ac:dyDescent="0.25"/>
  <cols>
    <col min="1" max="2" width="15.42578125" customWidth="1"/>
    <col min="3" max="3" width="25.28515625" customWidth="1"/>
    <col min="4" max="5" width="30.28515625" customWidth="1"/>
    <col min="6" max="6" width="29.28515625" customWidth="1"/>
    <col min="7" max="7" width="58.140625" customWidth="1"/>
    <col min="232" max="232" width="11.7109375" customWidth="1"/>
    <col min="488" max="488" width="11.7109375" customWidth="1"/>
    <col min="744" max="744" width="11.7109375" customWidth="1"/>
    <col min="1000" max="1000" width="11.7109375" customWidth="1"/>
    <col min="1256" max="1256" width="11.7109375" customWidth="1"/>
    <col min="1512" max="1512" width="11.7109375" customWidth="1"/>
    <col min="1768" max="1768" width="11.7109375" customWidth="1"/>
    <col min="2024" max="2024" width="11.7109375" customWidth="1"/>
    <col min="2280" max="2280" width="11.7109375" customWidth="1"/>
    <col min="2536" max="2536" width="11.7109375" customWidth="1"/>
    <col min="2792" max="2792" width="11.7109375" customWidth="1"/>
    <col min="3048" max="3048" width="11.7109375" customWidth="1"/>
    <col min="3304" max="3304" width="11.7109375" customWidth="1"/>
    <col min="3560" max="3560" width="11.7109375" customWidth="1"/>
    <col min="3816" max="3816" width="11.7109375" customWidth="1"/>
    <col min="4072" max="4072" width="11.7109375" customWidth="1"/>
    <col min="4328" max="4328" width="11.7109375" customWidth="1"/>
    <col min="4584" max="4584" width="11.7109375" customWidth="1"/>
    <col min="4840" max="4840" width="11.7109375" customWidth="1"/>
    <col min="5096" max="5096" width="11.7109375" customWidth="1"/>
    <col min="5352" max="5352" width="11.7109375" customWidth="1"/>
    <col min="5608" max="5608" width="11.7109375" customWidth="1"/>
    <col min="5864" max="5864" width="11.7109375" customWidth="1"/>
    <col min="6120" max="6120" width="11.7109375" customWidth="1"/>
    <col min="6376" max="6376" width="11.7109375" customWidth="1"/>
    <col min="6632" max="6632" width="11.7109375" customWidth="1"/>
    <col min="6888" max="6888" width="11.7109375" customWidth="1"/>
    <col min="7144" max="7144" width="11.7109375" customWidth="1"/>
    <col min="7400" max="7400" width="11.7109375" customWidth="1"/>
    <col min="7656" max="7656" width="11.7109375" customWidth="1"/>
    <col min="7912" max="7912" width="11.7109375" customWidth="1"/>
    <col min="8168" max="8168" width="11.7109375" customWidth="1"/>
    <col min="8424" max="8424" width="11.7109375" customWidth="1"/>
    <col min="8680" max="8680" width="11.7109375" customWidth="1"/>
    <col min="8936" max="8936" width="11.7109375" customWidth="1"/>
    <col min="9192" max="9192" width="11.7109375" customWidth="1"/>
    <col min="9448" max="9448" width="11.7109375" customWidth="1"/>
    <col min="9704" max="9704" width="11.7109375" customWidth="1"/>
    <col min="9960" max="9960" width="11.7109375" customWidth="1"/>
    <col min="10216" max="10216" width="11.7109375" customWidth="1"/>
    <col min="10472" max="10472" width="11.7109375" customWidth="1"/>
    <col min="10728" max="10728" width="11.7109375" customWidth="1"/>
    <col min="10984" max="10984" width="11.7109375" customWidth="1"/>
    <col min="11240" max="11240" width="11.7109375" customWidth="1"/>
    <col min="11496" max="11496" width="11.7109375" customWidth="1"/>
    <col min="11752" max="11752" width="11.7109375" customWidth="1"/>
    <col min="12008" max="12008" width="11.7109375" customWidth="1"/>
    <col min="12264" max="12264" width="11.7109375" customWidth="1"/>
    <col min="12520" max="12520" width="11.7109375" customWidth="1"/>
    <col min="12776" max="12776" width="11.7109375" customWidth="1"/>
    <col min="13032" max="13032" width="11.7109375" customWidth="1"/>
    <col min="13288" max="13288" width="11.7109375" customWidth="1"/>
    <col min="13544" max="13544" width="11.7109375" customWidth="1"/>
    <col min="13800" max="13800" width="11.7109375" customWidth="1"/>
    <col min="14056" max="14056" width="11.7109375" customWidth="1"/>
    <col min="14312" max="14312" width="11.7109375" customWidth="1"/>
    <col min="14568" max="14568" width="11.7109375" customWidth="1"/>
    <col min="14824" max="14824" width="11.7109375" customWidth="1"/>
    <col min="15080" max="15080" width="11.7109375" customWidth="1"/>
    <col min="15336" max="15336" width="11.7109375" customWidth="1"/>
    <col min="15592" max="15592" width="11.7109375" customWidth="1"/>
    <col min="15848" max="15848" width="11.7109375" customWidth="1"/>
    <col min="16104" max="16104" width="11.7109375" customWidth="1"/>
  </cols>
  <sheetData>
    <row r="2" spans="1:68" x14ac:dyDescent="0.25">
      <c r="A2" s="2" t="s">
        <v>13</v>
      </c>
      <c r="B2" s="2"/>
      <c r="C2" s="2" t="s">
        <v>1638</v>
      </c>
    </row>
    <row r="3" spans="1:68" s="2" customFormat="1" ht="12.75" x14ac:dyDescent="0.2">
      <c r="A3" s="2" t="s">
        <v>145</v>
      </c>
    </row>
    <row r="4" spans="1:68" x14ac:dyDescent="0.25">
      <c r="A4" t="s">
        <v>1639</v>
      </c>
      <c r="AA4" s="1" t="s">
        <v>14</v>
      </c>
      <c r="AB4" s="1"/>
    </row>
    <row r="5" spans="1:68" x14ac:dyDescent="0.25">
      <c r="A5" s="1" t="s">
        <v>15</v>
      </c>
    </row>
    <row r="6" spans="1:68" x14ac:dyDescent="0.25">
      <c r="B6" s="6" t="s">
        <v>70</v>
      </c>
      <c r="C6" s="6" t="s">
        <v>88</v>
      </c>
      <c r="D6" s="6" t="s">
        <v>90</v>
      </c>
      <c r="E6" s="6" t="s">
        <v>91</v>
      </c>
      <c r="F6" s="6" t="s">
        <v>89</v>
      </c>
      <c r="G6" s="6" t="s">
        <v>93</v>
      </c>
      <c r="I6" t="s">
        <v>2</v>
      </c>
      <c r="J6" t="s">
        <v>3</v>
      </c>
      <c r="K6" t="s">
        <v>4</v>
      </c>
      <c r="L6" t="s">
        <v>5</v>
      </c>
      <c r="M6" t="s">
        <v>6</v>
      </c>
      <c r="N6" t="s">
        <v>7</v>
      </c>
      <c r="O6" t="s">
        <v>8</v>
      </c>
      <c r="P6" t="s">
        <v>9</v>
      </c>
      <c r="Q6" t="s">
        <v>16</v>
      </c>
      <c r="R6" t="s">
        <v>10</v>
      </c>
      <c r="S6" t="s">
        <v>11</v>
      </c>
      <c r="T6" t="s">
        <v>72</v>
      </c>
      <c r="U6" t="s">
        <v>17</v>
      </c>
      <c r="V6" t="s">
        <v>73</v>
      </c>
      <c r="W6" t="s">
        <v>12</v>
      </c>
      <c r="X6" t="s">
        <v>176</v>
      </c>
      <c r="Y6" t="s">
        <v>85</v>
      </c>
      <c r="AA6" s="1" t="s">
        <v>2</v>
      </c>
      <c r="AB6" s="1" t="s">
        <v>3</v>
      </c>
      <c r="AC6" s="1" t="s">
        <v>4</v>
      </c>
      <c r="AD6" s="1" t="s">
        <v>5</v>
      </c>
      <c r="AE6" s="1" t="s">
        <v>6</v>
      </c>
      <c r="AF6" s="1" t="s">
        <v>7</v>
      </c>
      <c r="AG6" s="1" t="s">
        <v>8</v>
      </c>
      <c r="AH6" s="1" t="s">
        <v>9</v>
      </c>
      <c r="AI6" s="1" t="s">
        <v>16</v>
      </c>
      <c r="AJ6" s="1" t="s">
        <v>10</v>
      </c>
      <c r="AK6" s="1" t="s">
        <v>11</v>
      </c>
      <c r="AL6" s="1" t="s">
        <v>97</v>
      </c>
      <c r="AM6" s="1" t="s">
        <v>96</v>
      </c>
      <c r="AN6" s="1" t="s">
        <v>18</v>
      </c>
      <c r="AO6" s="1" t="s">
        <v>94</v>
      </c>
      <c r="AP6" s="1" t="s">
        <v>85</v>
      </c>
      <c r="AQ6" s="1"/>
      <c r="AU6" s="1" t="s">
        <v>2</v>
      </c>
      <c r="AV6" s="1" t="s">
        <v>3</v>
      </c>
      <c r="AW6" s="1" t="s">
        <v>4</v>
      </c>
      <c r="AX6" s="1" t="s">
        <v>5</v>
      </c>
      <c r="AY6" s="1" t="s">
        <v>6</v>
      </c>
      <c r="AZ6" s="1" t="s">
        <v>7</v>
      </c>
      <c r="BA6" s="1" t="s">
        <v>8</v>
      </c>
      <c r="BB6" s="1" t="s">
        <v>9</v>
      </c>
      <c r="BC6" s="1" t="s">
        <v>16</v>
      </c>
      <c r="BD6" s="1" t="s">
        <v>10</v>
      </c>
      <c r="BE6" s="1" t="s">
        <v>11</v>
      </c>
      <c r="BF6" s="1" t="s">
        <v>97</v>
      </c>
      <c r="BG6" s="1" t="s">
        <v>96</v>
      </c>
      <c r="BH6" s="1" t="s">
        <v>12</v>
      </c>
      <c r="BI6" s="1" t="s">
        <v>94</v>
      </c>
      <c r="BJ6" s="1" t="s">
        <v>85</v>
      </c>
      <c r="BK6" s="1"/>
      <c r="BM6" s="1" t="s">
        <v>19</v>
      </c>
      <c r="BN6" s="1" t="s">
        <v>95</v>
      </c>
      <c r="BO6" s="1"/>
      <c r="BP6" t="s">
        <v>20</v>
      </c>
    </row>
    <row r="7" spans="1:68" x14ac:dyDescent="0.25">
      <c r="A7" t="s">
        <v>21</v>
      </c>
      <c r="B7">
        <v>89.09</v>
      </c>
      <c r="C7">
        <v>4.7</v>
      </c>
      <c r="D7">
        <f>(C7/100)*24*(1/B7)</f>
        <v>1.2661353687282524E-2</v>
      </c>
      <c r="E7">
        <f>((F7*B7*(10^(-6)))/1)*100</f>
        <v>4.3475919999999997</v>
      </c>
      <c r="F7">
        <v>488</v>
      </c>
      <c r="M7">
        <v>1</v>
      </c>
      <c r="S7">
        <v>0</v>
      </c>
      <c r="T7">
        <v>1</v>
      </c>
      <c r="AA7">
        <f>I7*D7</f>
        <v>0</v>
      </c>
      <c r="AB7">
        <f>J7*D7</f>
        <v>0</v>
      </c>
      <c r="AC7">
        <f>K7*D7</f>
        <v>0</v>
      </c>
      <c r="AD7">
        <f>L7*D7</f>
        <v>0</v>
      </c>
      <c r="AE7">
        <f>M7*D7</f>
        <v>1.2661353687282524E-2</v>
      </c>
      <c r="AF7">
        <f>N7*D7</f>
        <v>0</v>
      </c>
      <c r="AG7">
        <f>O7*D7</f>
        <v>0</v>
      </c>
      <c r="AH7">
        <f>P7*D7</f>
        <v>0</v>
      </c>
      <c r="AI7">
        <f>Q7*D7</f>
        <v>0</v>
      </c>
      <c r="AJ7">
        <f>R7*D7</f>
        <v>0</v>
      </c>
      <c r="AK7">
        <f>D7*S7</f>
        <v>0</v>
      </c>
      <c r="AL7">
        <f>T7*D7</f>
        <v>1.2661353687282524E-2</v>
      </c>
      <c r="AM7">
        <f>V7*D7</f>
        <v>0</v>
      </c>
      <c r="AN7">
        <f>D7*W7</f>
        <v>0</v>
      </c>
      <c r="AO7">
        <f>$D7*X7</f>
        <v>0</v>
      </c>
      <c r="AP7">
        <f>$D7*Y7</f>
        <v>0</v>
      </c>
    </row>
    <row r="8" spans="1:68" x14ac:dyDescent="0.25">
      <c r="A8" t="s">
        <v>22</v>
      </c>
      <c r="B8">
        <v>174.2</v>
      </c>
      <c r="C8">
        <v>5.2</v>
      </c>
      <c r="D8">
        <f t="shared" ref="D8:D26" si="0">(C8/100)*24*(1/B8)</f>
        <v>7.1641791044776137E-3</v>
      </c>
      <c r="E8">
        <f t="shared" ref="E8:E26" si="1">((F8*B8*(10^(-6)))/1)*100</f>
        <v>4.8950199999999988</v>
      </c>
      <c r="F8">
        <v>281</v>
      </c>
      <c r="O8">
        <v>1</v>
      </c>
      <c r="Q8">
        <v>6</v>
      </c>
      <c r="R8">
        <v>-1</v>
      </c>
      <c r="S8">
        <v>1</v>
      </c>
      <c r="T8">
        <v>3</v>
      </c>
      <c r="V8">
        <v>1</v>
      </c>
      <c r="AA8">
        <f t="shared" ref="AA8:AA26" si="2">I8*D8</f>
        <v>0</v>
      </c>
      <c r="AB8">
        <f t="shared" ref="AB8:AB26" si="3">J8*D8</f>
        <v>0</v>
      </c>
      <c r="AC8">
        <f t="shared" ref="AC8:AC26" si="4">K8*D8</f>
        <v>0</v>
      </c>
      <c r="AD8">
        <f t="shared" ref="AD8:AD26" si="5">L8*D8</f>
        <v>0</v>
      </c>
      <c r="AE8">
        <f t="shared" ref="AE8:AE26" si="6">M8*D8</f>
        <v>0</v>
      </c>
      <c r="AF8">
        <f t="shared" ref="AF8:AF26" si="7">N8*D8</f>
        <v>0</v>
      </c>
      <c r="AG8">
        <f t="shared" ref="AG8:AG26" si="8">O8*D8</f>
        <v>7.1641791044776137E-3</v>
      </c>
      <c r="AH8">
        <f t="shared" ref="AH8:AH26" si="9">P8*D8</f>
        <v>0</v>
      </c>
      <c r="AI8">
        <f t="shared" ref="AI8:AI26" si="10">Q8*D8</f>
        <v>4.2985074626865682E-2</v>
      </c>
      <c r="AJ8">
        <f t="shared" ref="AJ8:AJ26" si="11">R8*D8</f>
        <v>-7.1641791044776137E-3</v>
      </c>
      <c r="AK8">
        <f t="shared" ref="AK8:AK26" si="12">D8*S8</f>
        <v>7.1641791044776137E-3</v>
      </c>
      <c r="AL8">
        <f t="shared" ref="AL8:AL26" si="13">T8*D8</f>
        <v>2.1492537313432841E-2</v>
      </c>
      <c r="AM8">
        <f t="shared" ref="AM8:AM26" si="14">V8*D8</f>
        <v>7.1641791044776137E-3</v>
      </c>
      <c r="AN8">
        <f t="shared" ref="AN8:AN26" si="15">D8*W8</f>
        <v>0</v>
      </c>
      <c r="AO8">
        <f t="shared" ref="AO8:AO26" si="16">$D8*X8</f>
        <v>0</v>
      </c>
      <c r="AP8">
        <f t="shared" ref="AP8:AP26" si="17">$D8*Y8</f>
        <v>0</v>
      </c>
    </row>
    <row r="9" spans="1:68" x14ac:dyDescent="0.25">
      <c r="A9" t="s">
        <v>23</v>
      </c>
      <c r="B9">
        <v>132.12</v>
      </c>
      <c r="C9">
        <v>1.6</v>
      </c>
      <c r="D9">
        <f t="shared" si="0"/>
        <v>2.9064486830154405E-3</v>
      </c>
      <c r="E9">
        <f t="shared" si="1"/>
        <v>3.0255479999999997</v>
      </c>
      <c r="F9">
        <v>229</v>
      </c>
      <c r="P9">
        <v>1</v>
      </c>
      <c r="Q9">
        <v>2</v>
      </c>
      <c r="S9">
        <v>0</v>
      </c>
      <c r="T9">
        <v>1</v>
      </c>
      <c r="V9">
        <v>1</v>
      </c>
      <c r="AA9">
        <f t="shared" si="2"/>
        <v>0</v>
      </c>
      <c r="AB9">
        <f t="shared" si="3"/>
        <v>0</v>
      </c>
      <c r="AC9">
        <f t="shared" si="4"/>
        <v>0</v>
      </c>
      <c r="AD9">
        <f t="shared" si="5"/>
        <v>0</v>
      </c>
      <c r="AE9">
        <f t="shared" si="6"/>
        <v>0</v>
      </c>
      <c r="AF9">
        <f t="shared" si="7"/>
        <v>0</v>
      </c>
      <c r="AG9">
        <f t="shared" si="8"/>
        <v>0</v>
      </c>
      <c r="AH9">
        <f t="shared" si="9"/>
        <v>2.9064486830154405E-3</v>
      </c>
      <c r="AI9">
        <f t="shared" si="10"/>
        <v>5.812897366030881E-3</v>
      </c>
      <c r="AJ9">
        <f t="shared" si="11"/>
        <v>0</v>
      </c>
      <c r="AK9">
        <f t="shared" si="12"/>
        <v>0</v>
      </c>
      <c r="AL9">
        <f t="shared" si="13"/>
        <v>2.9064486830154405E-3</v>
      </c>
      <c r="AM9">
        <f t="shared" si="14"/>
        <v>2.9064486830154405E-3</v>
      </c>
      <c r="AN9">
        <f t="shared" si="15"/>
        <v>0</v>
      </c>
      <c r="AO9">
        <f t="shared" si="16"/>
        <v>0</v>
      </c>
      <c r="AP9">
        <f t="shared" si="17"/>
        <v>0</v>
      </c>
      <c r="AT9" s="1" t="s">
        <v>24</v>
      </c>
      <c r="AU9">
        <f t="shared" ref="AU9:BJ9" si="18">AA28</f>
        <v>0</v>
      </c>
      <c r="AV9">
        <f>AB28</f>
        <v>3.5758209518064509E-3</v>
      </c>
      <c r="AW9">
        <f>AC28</f>
        <v>8.2726577306496442E-3</v>
      </c>
      <c r="AX9">
        <f t="shared" si="18"/>
        <v>3.1136595735672283E-2</v>
      </c>
      <c r="AY9">
        <f t="shared" si="18"/>
        <v>5.7811685953528931E-2</v>
      </c>
      <c r="AZ9">
        <f t="shared" si="18"/>
        <v>9.8803079972554723E-3</v>
      </c>
      <c r="BA9">
        <f t="shared" si="18"/>
        <v>2.1531453583106149E-2</v>
      </c>
      <c r="BB9">
        <f t="shared" si="18"/>
        <v>2.6020312314363643E-2</v>
      </c>
      <c r="BC9">
        <f t="shared" si="18"/>
        <v>0.12348806381852305</v>
      </c>
      <c r="BD9">
        <f t="shared" si="18"/>
        <v>-4.5012383054528912E-2</v>
      </c>
      <c r="BE9">
        <f t="shared" si="18"/>
        <v>0.10406501595476988</v>
      </c>
      <c r="BF9">
        <f t="shared" si="18"/>
        <v>0.12295548116601659</v>
      </c>
      <c r="BG9">
        <f t="shared" si="18"/>
        <v>1.8932390495139912E-2</v>
      </c>
      <c r="BH9">
        <f>AN28</f>
        <v>-1.032077925929973E-2</v>
      </c>
      <c r="BI9">
        <f t="shared" si="18"/>
        <v>0</v>
      </c>
      <c r="BJ9">
        <f t="shared" si="18"/>
        <v>0</v>
      </c>
      <c r="BM9" s="7">
        <v>22000</v>
      </c>
      <c r="BN9" s="3">
        <f>BM9*24*(1/(10^6))</f>
        <v>0.52800000000000002</v>
      </c>
      <c r="BO9" s="3"/>
    </row>
    <row r="10" spans="1:68" x14ac:dyDescent="0.25">
      <c r="A10" t="s">
        <v>25</v>
      </c>
      <c r="B10">
        <v>133.11000000000001</v>
      </c>
      <c r="C10">
        <v>3.2</v>
      </c>
      <c r="D10">
        <f t="shared" si="0"/>
        <v>5.7696641875140857E-3</v>
      </c>
      <c r="E10">
        <f t="shared" si="1"/>
        <v>3.048219</v>
      </c>
      <c r="F10">
        <v>229</v>
      </c>
      <c r="P10">
        <v>1</v>
      </c>
      <c r="S10">
        <v>0</v>
      </c>
      <c r="T10">
        <v>1</v>
      </c>
      <c r="AA10">
        <f t="shared" si="2"/>
        <v>0</v>
      </c>
      <c r="AB10">
        <f t="shared" si="3"/>
        <v>0</v>
      </c>
      <c r="AC10">
        <f t="shared" si="4"/>
        <v>0</v>
      </c>
      <c r="AD10">
        <f t="shared" si="5"/>
        <v>0</v>
      </c>
      <c r="AE10">
        <f t="shared" si="6"/>
        <v>0</v>
      </c>
      <c r="AF10">
        <f t="shared" si="7"/>
        <v>0</v>
      </c>
      <c r="AG10">
        <f t="shared" si="8"/>
        <v>0</v>
      </c>
      <c r="AH10">
        <f t="shared" si="9"/>
        <v>5.7696641875140857E-3</v>
      </c>
      <c r="AI10">
        <f t="shared" si="10"/>
        <v>0</v>
      </c>
      <c r="AJ10">
        <f t="shared" si="11"/>
        <v>0</v>
      </c>
      <c r="AK10">
        <f t="shared" si="12"/>
        <v>0</v>
      </c>
      <c r="AL10">
        <f t="shared" si="13"/>
        <v>5.7696641875140857E-3</v>
      </c>
      <c r="AM10">
        <f t="shared" si="14"/>
        <v>0</v>
      </c>
      <c r="AN10">
        <f t="shared" si="15"/>
        <v>0</v>
      </c>
      <c r="AO10">
        <f t="shared" si="16"/>
        <v>0</v>
      </c>
      <c r="AP10">
        <f t="shared" si="17"/>
        <v>0</v>
      </c>
      <c r="AT10" s="1" t="s">
        <v>26</v>
      </c>
      <c r="AU10">
        <f>AA36</f>
        <v>0</v>
      </c>
      <c r="AV10">
        <f t="shared" ref="AV10:BJ10" si="19">AB36</f>
        <v>9.6894334709367487E-3</v>
      </c>
      <c r="AW10">
        <f t="shared" si="19"/>
        <v>0</v>
      </c>
      <c r="AX10">
        <f t="shared" si="19"/>
        <v>4.6797902083034939E-3</v>
      </c>
      <c r="AY10">
        <f t="shared" si="19"/>
        <v>0</v>
      </c>
      <c r="AZ10">
        <f t="shared" si="19"/>
        <v>0</v>
      </c>
      <c r="BA10">
        <f t="shared" si="19"/>
        <v>0</v>
      </c>
      <c r="BB10">
        <f t="shared" si="19"/>
        <v>5.0096432626332557E-3</v>
      </c>
      <c r="BC10">
        <f t="shared" si="19"/>
        <v>6.8300198062156273E-2</v>
      </c>
      <c r="BD10">
        <f t="shared" si="19"/>
        <v>-1.403937062491048E-2</v>
      </c>
      <c r="BE10">
        <f t="shared" si="19"/>
        <v>0</v>
      </c>
      <c r="BF10">
        <f t="shared" si="19"/>
        <v>7.3392304588371969E-3</v>
      </c>
      <c r="BG10">
        <f t="shared" si="19"/>
        <v>2.921261112407952E-2</v>
      </c>
      <c r="BH10">
        <f>AN36</f>
        <v>4.6797902083034939E-3</v>
      </c>
      <c r="BI10">
        <f t="shared" si="19"/>
        <v>0</v>
      </c>
      <c r="BJ10">
        <f t="shared" si="19"/>
        <v>0</v>
      </c>
      <c r="BM10" s="7">
        <v>256</v>
      </c>
      <c r="BN10" s="3">
        <f>BM10*24*(1/(10^6))</f>
        <v>6.1440000000000002E-3</v>
      </c>
      <c r="BO10" s="3"/>
    </row>
    <row r="11" spans="1:68" x14ac:dyDescent="0.25">
      <c r="A11" t="s">
        <v>27</v>
      </c>
      <c r="B11">
        <v>121.16</v>
      </c>
      <c r="C11">
        <v>0.4</v>
      </c>
      <c r="D11">
        <f t="shared" si="0"/>
        <v>7.9234070650379676E-4</v>
      </c>
      <c r="E11">
        <f t="shared" si="1"/>
        <v>1.0540919999999998</v>
      </c>
      <c r="F11">
        <v>87</v>
      </c>
      <c r="L11">
        <v>1</v>
      </c>
      <c r="Q11">
        <v>4</v>
      </c>
      <c r="R11">
        <v>-1</v>
      </c>
      <c r="S11">
        <v>4</v>
      </c>
      <c r="T11">
        <v>1</v>
      </c>
      <c r="AA11">
        <f t="shared" si="2"/>
        <v>0</v>
      </c>
      <c r="AB11">
        <f t="shared" si="3"/>
        <v>0</v>
      </c>
      <c r="AC11">
        <f t="shared" si="4"/>
        <v>0</v>
      </c>
      <c r="AD11">
        <f t="shared" si="5"/>
        <v>7.9234070650379676E-4</v>
      </c>
      <c r="AE11">
        <f t="shared" si="6"/>
        <v>0</v>
      </c>
      <c r="AF11">
        <f t="shared" si="7"/>
        <v>0</v>
      </c>
      <c r="AG11">
        <f t="shared" si="8"/>
        <v>0</v>
      </c>
      <c r="AH11">
        <f t="shared" si="9"/>
        <v>0</v>
      </c>
      <c r="AI11">
        <f t="shared" si="10"/>
        <v>3.169362826015187E-3</v>
      </c>
      <c r="AJ11">
        <f t="shared" si="11"/>
        <v>-7.9234070650379676E-4</v>
      </c>
      <c r="AK11">
        <f t="shared" si="12"/>
        <v>3.169362826015187E-3</v>
      </c>
      <c r="AL11">
        <f t="shared" si="13"/>
        <v>7.9234070650379676E-4</v>
      </c>
      <c r="AM11">
        <f t="shared" si="14"/>
        <v>0</v>
      </c>
      <c r="AN11">
        <f t="shared" si="15"/>
        <v>0</v>
      </c>
      <c r="AO11">
        <f t="shared" si="16"/>
        <v>0</v>
      </c>
      <c r="AP11">
        <f t="shared" si="17"/>
        <v>0</v>
      </c>
      <c r="AT11" s="1" t="s">
        <v>28</v>
      </c>
      <c r="AU11">
        <f>AA43</f>
        <v>0</v>
      </c>
      <c r="AV11">
        <f t="shared" ref="AV11:BI11" si="20">AB43</f>
        <v>1.4910150809962883E-3</v>
      </c>
      <c r="AW11">
        <f t="shared" si="20"/>
        <v>0</v>
      </c>
      <c r="AX11">
        <f t="shared" si="20"/>
        <v>7.4550754049814414E-4</v>
      </c>
      <c r="AY11">
        <f t="shared" si="20"/>
        <v>0</v>
      </c>
      <c r="AZ11">
        <f t="shared" si="20"/>
        <v>0</v>
      </c>
      <c r="BA11">
        <f t="shared" si="20"/>
        <v>0</v>
      </c>
      <c r="BB11">
        <f t="shared" si="20"/>
        <v>7.4550754049814414E-4</v>
      </c>
      <c r="BC11">
        <f t="shared" si="20"/>
        <v>1.1075260021640429E-2</v>
      </c>
      <c r="BD11">
        <f t="shared" si="20"/>
        <v>-2.2365226214944326E-3</v>
      </c>
      <c r="BE11">
        <f t="shared" si="20"/>
        <v>1.7462768628628529E-3</v>
      </c>
      <c r="BF11">
        <f t="shared" si="20"/>
        <v>1.0007693223647086E-3</v>
      </c>
      <c r="BG11">
        <f t="shared" si="20"/>
        <v>4.7080292197538799E-3</v>
      </c>
      <c r="BH11">
        <f t="shared" si="20"/>
        <v>7.4550754049814414E-4</v>
      </c>
      <c r="BI11">
        <f t="shared" si="20"/>
        <v>0</v>
      </c>
      <c r="BJ11">
        <f>AP43</f>
        <v>0</v>
      </c>
      <c r="BM11" s="7">
        <v>150</v>
      </c>
      <c r="BN11" s="3">
        <f t="shared" ref="BN11:BN19" si="21">BM11*24*(1/(10^6))</f>
        <v>3.5999999999999999E-3</v>
      </c>
      <c r="BO11" s="3"/>
    </row>
    <row r="12" spans="1:68" x14ac:dyDescent="0.25">
      <c r="A12" t="s">
        <v>29</v>
      </c>
      <c r="B12">
        <v>147.13</v>
      </c>
      <c r="C12">
        <v>3.7</v>
      </c>
      <c r="D12">
        <f t="shared" si="0"/>
        <v>6.0354788282471292E-3</v>
      </c>
      <c r="E12">
        <f t="shared" si="1"/>
        <v>3.6782499999999994</v>
      </c>
      <c r="F12">
        <v>250</v>
      </c>
      <c r="O12">
        <v>1</v>
      </c>
      <c r="S12">
        <v>0</v>
      </c>
      <c r="T12">
        <v>1</v>
      </c>
      <c r="AA12">
        <f t="shared" si="2"/>
        <v>0</v>
      </c>
      <c r="AB12">
        <f t="shared" si="3"/>
        <v>0</v>
      </c>
      <c r="AC12">
        <f t="shared" si="4"/>
        <v>0</v>
      </c>
      <c r="AD12">
        <f t="shared" si="5"/>
        <v>0</v>
      </c>
      <c r="AE12">
        <f t="shared" si="6"/>
        <v>0</v>
      </c>
      <c r="AF12">
        <f t="shared" si="7"/>
        <v>0</v>
      </c>
      <c r="AG12">
        <f t="shared" si="8"/>
        <v>6.0354788282471292E-3</v>
      </c>
      <c r="AH12">
        <f t="shared" si="9"/>
        <v>0</v>
      </c>
      <c r="AI12">
        <f t="shared" si="10"/>
        <v>0</v>
      </c>
      <c r="AJ12">
        <f t="shared" si="11"/>
        <v>0</v>
      </c>
      <c r="AK12">
        <f t="shared" si="12"/>
        <v>0</v>
      </c>
      <c r="AL12">
        <f t="shared" si="13"/>
        <v>6.0354788282471292E-3</v>
      </c>
      <c r="AM12">
        <f t="shared" si="14"/>
        <v>0</v>
      </c>
      <c r="AN12">
        <f t="shared" si="15"/>
        <v>0</v>
      </c>
      <c r="AO12">
        <f t="shared" si="16"/>
        <v>0</v>
      </c>
      <c r="AP12">
        <f t="shared" si="17"/>
        <v>0</v>
      </c>
      <c r="AT12" s="1" t="s">
        <v>30</v>
      </c>
      <c r="AU12">
        <f>AA49</f>
        <v>0</v>
      </c>
      <c r="AV12">
        <f t="shared" ref="AV12:BJ12" si="22">AB49</f>
        <v>0</v>
      </c>
      <c r="AW12">
        <f t="shared" si="22"/>
        <v>0</v>
      </c>
      <c r="AX12">
        <f t="shared" si="22"/>
        <v>5.539693610786346E-3</v>
      </c>
      <c r="AY12">
        <f t="shared" si="22"/>
        <v>0</v>
      </c>
      <c r="AZ12">
        <f t="shared" si="22"/>
        <v>4.4317548886290761E-2</v>
      </c>
      <c r="BA12">
        <f t="shared" si="22"/>
        <v>0</v>
      </c>
      <c r="BB12">
        <f t="shared" si="22"/>
        <v>0</v>
      </c>
      <c r="BC12">
        <f t="shared" si="22"/>
        <v>3.8777855275504418E-2</v>
      </c>
      <c r="BD12">
        <f t="shared" si="22"/>
        <v>-2.7698468053931734E-3</v>
      </c>
      <c r="BE12">
        <f t="shared" si="22"/>
        <v>8.0325557356402011E-2</v>
      </c>
      <c r="BF12">
        <f t="shared" si="22"/>
        <v>2.7698468053931734E-3</v>
      </c>
      <c r="BG12">
        <f t="shared" si="22"/>
        <v>0</v>
      </c>
      <c r="BH12">
        <f t="shared" si="22"/>
        <v>0</v>
      </c>
      <c r="BI12">
        <f t="shared" si="22"/>
        <v>0</v>
      </c>
      <c r="BJ12">
        <f t="shared" si="22"/>
        <v>0</v>
      </c>
      <c r="BM12" s="7">
        <v>258</v>
      </c>
      <c r="BN12" s="3">
        <f>BM12*24*(1/(10^6))</f>
        <v>6.1919999999999996E-3</v>
      </c>
      <c r="BO12" s="3"/>
    </row>
    <row r="13" spans="1:68" x14ac:dyDescent="0.25">
      <c r="A13" t="s">
        <v>31</v>
      </c>
      <c r="B13">
        <v>146.13999999999999</v>
      </c>
      <c r="C13">
        <v>1.9</v>
      </c>
      <c r="D13">
        <f t="shared" si="0"/>
        <v>3.1202956069522375E-3</v>
      </c>
      <c r="E13">
        <f t="shared" si="1"/>
        <v>3.6534999999999997</v>
      </c>
      <c r="F13">
        <v>250</v>
      </c>
      <c r="O13">
        <v>1</v>
      </c>
      <c r="Q13">
        <v>0</v>
      </c>
      <c r="S13">
        <v>0</v>
      </c>
      <c r="T13">
        <v>1</v>
      </c>
      <c r="V13">
        <v>1</v>
      </c>
      <c r="AA13">
        <f t="shared" si="2"/>
        <v>0</v>
      </c>
      <c r="AB13">
        <f t="shared" si="3"/>
        <v>0</v>
      </c>
      <c r="AC13">
        <f t="shared" si="4"/>
        <v>0</v>
      </c>
      <c r="AD13">
        <f t="shared" si="5"/>
        <v>0</v>
      </c>
      <c r="AE13">
        <f t="shared" si="6"/>
        <v>0</v>
      </c>
      <c r="AF13">
        <f t="shared" si="7"/>
        <v>0</v>
      </c>
      <c r="AG13">
        <f t="shared" si="8"/>
        <v>3.1202956069522375E-3</v>
      </c>
      <c r="AH13">
        <f t="shared" si="9"/>
        <v>0</v>
      </c>
      <c r="AI13">
        <f t="shared" si="10"/>
        <v>0</v>
      </c>
      <c r="AJ13">
        <f t="shared" si="11"/>
        <v>0</v>
      </c>
      <c r="AK13">
        <f t="shared" si="12"/>
        <v>0</v>
      </c>
      <c r="AL13">
        <f t="shared" si="13"/>
        <v>3.1202956069522375E-3</v>
      </c>
      <c r="AM13">
        <f t="shared" si="14"/>
        <v>3.1202956069522375E-3</v>
      </c>
      <c r="AN13">
        <f t="shared" si="15"/>
        <v>0</v>
      </c>
      <c r="AO13">
        <f t="shared" si="16"/>
        <v>0</v>
      </c>
      <c r="AP13">
        <f t="shared" si="17"/>
        <v>0</v>
      </c>
      <c r="AT13" s="1" t="s">
        <v>32</v>
      </c>
      <c r="AU13">
        <f>AA59</f>
        <v>1.0334460410386808E-3</v>
      </c>
      <c r="AV13">
        <f t="shared" ref="AV13:BJ13" si="23">AB59</f>
        <v>3.6438082467230319E-4</v>
      </c>
      <c r="AW13">
        <f t="shared" si="23"/>
        <v>0</v>
      </c>
      <c r="AX13">
        <f t="shared" si="23"/>
        <v>7.2876164934460627E-4</v>
      </c>
      <c r="AY13">
        <f t="shared" si="23"/>
        <v>0</v>
      </c>
      <c r="AZ13">
        <f t="shared" si="23"/>
        <v>5.1013315454122438E-3</v>
      </c>
      <c r="BA13">
        <f t="shared" si="23"/>
        <v>0</v>
      </c>
      <c r="BB13">
        <f t="shared" si="23"/>
        <v>0</v>
      </c>
      <c r="BC13">
        <f t="shared" si="23"/>
        <v>7.0457296481316817E-3</v>
      </c>
      <c r="BD13">
        <f t="shared" si="23"/>
        <v>-3.6438082467230308E-4</v>
      </c>
      <c r="BE13">
        <f t="shared" si="23"/>
        <v>6.9232356687737584E-3</v>
      </c>
      <c r="BF13">
        <f t="shared" si="23"/>
        <v>3.6438082467230308E-4</v>
      </c>
      <c r="BG13">
        <f t="shared" si="23"/>
        <v>2.4343740201511314E-4</v>
      </c>
      <c r="BH13">
        <f t="shared" si="23"/>
        <v>0</v>
      </c>
      <c r="BI13">
        <f t="shared" si="23"/>
        <v>0</v>
      </c>
      <c r="BJ13">
        <f t="shared" si="23"/>
        <v>0</v>
      </c>
      <c r="BM13" s="7"/>
      <c r="BN13" s="3">
        <f t="shared" si="21"/>
        <v>0</v>
      </c>
      <c r="BO13" s="3"/>
    </row>
    <row r="14" spans="1:68" x14ac:dyDescent="0.25">
      <c r="A14" t="s">
        <v>33</v>
      </c>
      <c r="B14">
        <v>75.069999999999993</v>
      </c>
      <c r="C14">
        <v>2.9</v>
      </c>
      <c r="D14">
        <f t="shared" si="0"/>
        <v>9.2713467430398291E-3</v>
      </c>
      <c r="E14">
        <f t="shared" si="1"/>
        <v>4.3690739999999995</v>
      </c>
      <c r="F14">
        <v>582</v>
      </c>
      <c r="L14">
        <v>1</v>
      </c>
      <c r="R14">
        <v>-1</v>
      </c>
      <c r="S14">
        <v>0</v>
      </c>
      <c r="T14">
        <v>1</v>
      </c>
      <c r="W14">
        <v>-1</v>
      </c>
      <c r="AA14">
        <f t="shared" si="2"/>
        <v>0</v>
      </c>
      <c r="AB14">
        <f t="shared" si="3"/>
        <v>0</v>
      </c>
      <c r="AC14">
        <f t="shared" si="4"/>
        <v>0</v>
      </c>
      <c r="AD14">
        <f t="shared" si="5"/>
        <v>9.2713467430398291E-3</v>
      </c>
      <c r="AE14">
        <f t="shared" si="6"/>
        <v>0</v>
      </c>
      <c r="AF14">
        <f t="shared" si="7"/>
        <v>0</v>
      </c>
      <c r="AG14">
        <f t="shared" si="8"/>
        <v>0</v>
      </c>
      <c r="AH14">
        <f t="shared" si="9"/>
        <v>0</v>
      </c>
      <c r="AI14">
        <f t="shared" si="10"/>
        <v>0</v>
      </c>
      <c r="AJ14">
        <f t="shared" si="11"/>
        <v>-9.2713467430398291E-3</v>
      </c>
      <c r="AK14">
        <f t="shared" si="12"/>
        <v>0</v>
      </c>
      <c r="AL14">
        <f t="shared" si="13"/>
        <v>9.2713467430398291E-3</v>
      </c>
      <c r="AM14">
        <f t="shared" si="14"/>
        <v>0</v>
      </c>
      <c r="AN14">
        <f t="shared" si="15"/>
        <v>-9.2713467430398291E-3</v>
      </c>
      <c r="AO14">
        <f t="shared" si="16"/>
        <v>0</v>
      </c>
      <c r="AP14">
        <f t="shared" si="17"/>
        <v>0</v>
      </c>
      <c r="AT14" s="1" t="s">
        <v>34</v>
      </c>
      <c r="AU14">
        <f>AA67</f>
        <v>8.0122409236333281E-4</v>
      </c>
      <c r="AV14">
        <f t="shared" ref="AV14:BJ14" si="24">AB67</f>
        <v>0</v>
      </c>
      <c r="AW14">
        <f t="shared" si="24"/>
        <v>0</v>
      </c>
      <c r="AX14">
        <f t="shared" si="24"/>
        <v>4.0061204618166646E-4</v>
      </c>
      <c r="AY14">
        <f t="shared" si="24"/>
        <v>1.201836138544999E-3</v>
      </c>
      <c r="AZ14">
        <f t="shared" si="24"/>
        <v>8.0122409236333281E-4</v>
      </c>
      <c r="BA14">
        <f t="shared" si="24"/>
        <v>4.0061204618166641E-4</v>
      </c>
      <c r="BB14">
        <f t="shared" si="24"/>
        <v>4.0061204618166641E-4</v>
      </c>
      <c r="BC14">
        <f t="shared" si="24"/>
        <v>2.8042843232716653E-3</v>
      </c>
      <c r="BD14">
        <f t="shared" si="24"/>
        <v>0</v>
      </c>
      <c r="BE14">
        <f t="shared" si="24"/>
        <v>8.0122409236333281E-4</v>
      </c>
      <c r="BF14">
        <f t="shared" si="24"/>
        <v>2.0030602309083316E-3</v>
      </c>
      <c r="BG14">
        <f t="shared" si="24"/>
        <v>8.0122409236333281E-4</v>
      </c>
      <c r="BH14">
        <f t="shared" si="24"/>
        <v>0</v>
      </c>
      <c r="BI14">
        <f t="shared" si="24"/>
        <v>0</v>
      </c>
      <c r="BJ14">
        <f t="shared" si="24"/>
        <v>0</v>
      </c>
      <c r="BM14" s="7">
        <v>138</v>
      </c>
      <c r="BN14" s="3">
        <f t="shared" si="21"/>
        <v>3.3119999999999998E-3</v>
      </c>
      <c r="BO14" s="3"/>
    </row>
    <row r="15" spans="1:68" x14ac:dyDescent="0.25">
      <c r="A15" t="s">
        <v>35</v>
      </c>
      <c r="B15">
        <v>155.15</v>
      </c>
      <c r="C15">
        <v>1.4</v>
      </c>
      <c r="D15">
        <f t="shared" si="0"/>
        <v>2.1656461488881724E-3</v>
      </c>
      <c r="E15">
        <f t="shared" si="1"/>
        <v>1.39635</v>
      </c>
      <c r="F15">
        <v>90</v>
      </c>
      <c r="J15">
        <v>1</v>
      </c>
      <c r="Q15">
        <v>4</v>
      </c>
      <c r="R15">
        <v>-3</v>
      </c>
      <c r="S15">
        <v>0</v>
      </c>
      <c r="T15">
        <v>1</v>
      </c>
      <c r="V15">
        <v>2</v>
      </c>
      <c r="W15">
        <v>1</v>
      </c>
      <c r="AA15">
        <f t="shared" si="2"/>
        <v>0</v>
      </c>
      <c r="AB15">
        <f t="shared" si="3"/>
        <v>2.1656461488881724E-3</v>
      </c>
      <c r="AC15">
        <f t="shared" si="4"/>
        <v>0</v>
      </c>
      <c r="AD15">
        <f t="shared" si="5"/>
        <v>0</v>
      </c>
      <c r="AE15">
        <f t="shared" si="6"/>
        <v>0</v>
      </c>
      <c r="AF15">
        <f t="shared" si="7"/>
        <v>0</v>
      </c>
      <c r="AG15">
        <f t="shared" si="8"/>
        <v>0</v>
      </c>
      <c r="AH15">
        <f t="shared" si="9"/>
        <v>0</v>
      </c>
      <c r="AI15">
        <f t="shared" si="10"/>
        <v>8.6625845955526897E-3</v>
      </c>
      <c r="AJ15">
        <f t="shared" si="11"/>
        <v>-6.4969384466645169E-3</v>
      </c>
      <c r="AK15">
        <f t="shared" si="12"/>
        <v>0</v>
      </c>
      <c r="AL15">
        <f t="shared" si="13"/>
        <v>2.1656461488881724E-3</v>
      </c>
      <c r="AM15">
        <f t="shared" si="14"/>
        <v>4.3312922977763449E-3</v>
      </c>
      <c r="AN15">
        <f t="shared" si="15"/>
        <v>2.1656461488881724E-3</v>
      </c>
      <c r="AO15">
        <f t="shared" si="16"/>
        <v>0</v>
      </c>
      <c r="AP15">
        <f t="shared" si="17"/>
        <v>0</v>
      </c>
      <c r="AT15" s="1" t="s">
        <v>36</v>
      </c>
      <c r="AU15">
        <f>AA71</f>
        <v>0</v>
      </c>
      <c r="AV15">
        <f t="shared" ref="AV15:BJ15" si="25">AB71</f>
        <v>0</v>
      </c>
      <c r="AW15">
        <f t="shared" si="25"/>
        <v>0</v>
      </c>
      <c r="AX15">
        <f t="shared" si="25"/>
        <v>0</v>
      </c>
      <c r="AY15">
        <f t="shared" si="25"/>
        <v>0</v>
      </c>
      <c r="AZ15">
        <f t="shared" si="25"/>
        <v>0</v>
      </c>
      <c r="BA15">
        <f t="shared" si="25"/>
        <v>0</v>
      </c>
      <c r="BB15">
        <f t="shared" si="25"/>
        <v>0</v>
      </c>
      <c r="BC15">
        <f t="shared" si="25"/>
        <v>0</v>
      </c>
      <c r="BD15">
        <f t="shared" si="25"/>
        <v>0</v>
      </c>
      <c r="BE15">
        <f t="shared" si="25"/>
        <v>0</v>
      </c>
      <c r="BF15">
        <f t="shared" si="25"/>
        <v>0</v>
      </c>
      <c r="BG15">
        <f t="shared" si="25"/>
        <v>0</v>
      </c>
      <c r="BH15">
        <f t="shared" si="25"/>
        <v>0</v>
      </c>
      <c r="BI15">
        <f t="shared" si="25"/>
        <v>3.1914893617021279E-3</v>
      </c>
      <c r="BJ15">
        <f t="shared" si="25"/>
        <v>0</v>
      </c>
      <c r="BM15" s="7"/>
      <c r="BN15" s="3">
        <f t="shared" si="21"/>
        <v>0</v>
      </c>
      <c r="BO15" s="3"/>
    </row>
    <row r="16" spans="1:68" x14ac:dyDescent="0.25">
      <c r="A16" t="s">
        <v>37</v>
      </c>
      <c r="B16">
        <v>131.16999999999999</v>
      </c>
      <c r="C16">
        <v>2.9</v>
      </c>
      <c r="D16">
        <f t="shared" si="0"/>
        <v>5.306091331859419E-3</v>
      </c>
      <c r="E16">
        <f t="shared" si="1"/>
        <v>3.6202920000000001</v>
      </c>
      <c r="F16">
        <v>276</v>
      </c>
      <c r="M16">
        <v>1</v>
      </c>
      <c r="P16">
        <v>1</v>
      </c>
      <c r="Q16">
        <v>2</v>
      </c>
      <c r="S16">
        <v>4</v>
      </c>
      <c r="T16">
        <v>1</v>
      </c>
      <c r="W16">
        <v>-1</v>
      </c>
      <c r="AA16">
        <f t="shared" si="2"/>
        <v>0</v>
      </c>
      <c r="AB16">
        <f t="shared" si="3"/>
        <v>0</v>
      </c>
      <c r="AC16">
        <f t="shared" si="4"/>
        <v>0</v>
      </c>
      <c r="AD16">
        <f t="shared" si="5"/>
        <v>0</v>
      </c>
      <c r="AE16">
        <f>M16*D16</f>
        <v>5.306091331859419E-3</v>
      </c>
      <c r="AF16">
        <f t="shared" si="7"/>
        <v>0</v>
      </c>
      <c r="AG16">
        <f t="shared" si="8"/>
        <v>0</v>
      </c>
      <c r="AH16">
        <f t="shared" si="9"/>
        <v>5.306091331859419E-3</v>
      </c>
      <c r="AI16">
        <f t="shared" si="10"/>
        <v>1.0612182663718838E-2</v>
      </c>
      <c r="AJ16">
        <f t="shared" si="11"/>
        <v>0</v>
      </c>
      <c r="AK16">
        <f t="shared" si="12"/>
        <v>2.1224365327437676E-2</v>
      </c>
      <c r="AL16">
        <f t="shared" si="13"/>
        <v>5.306091331859419E-3</v>
      </c>
      <c r="AM16">
        <f t="shared" si="14"/>
        <v>0</v>
      </c>
      <c r="AN16">
        <f t="shared" si="15"/>
        <v>-5.306091331859419E-3</v>
      </c>
      <c r="AO16">
        <f t="shared" si="16"/>
        <v>0</v>
      </c>
      <c r="AP16">
        <f t="shared" si="17"/>
        <v>0</v>
      </c>
      <c r="AT16" s="1" t="s">
        <v>38</v>
      </c>
      <c r="AU16">
        <f>AA75</f>
        <v>0</v>
      </c>
      <c r="AV16">
        <f t="shared" ref="AV16:BJ16" si="26">AB75</f>
        <v>0</v>
      </c>
      <c r="AW16">
        <f t="shared" si="26"/>
        <v>0</v>
      </c>
      <c r="AX16">
        <f t="shared" si="26"/>
        <v>1.5986297459320579E-3</v>
      </c>
      <c r="AY16">
        <f t="shared" si="26"/>
        <v>0</v>
      </c>
      <c r="AZ16">
        <f t="shared" si="26"/>
        <v>0</v>
      </c>
      <c r="BA16">
        <f t="shared" si="26"/>
        <v>0</v>
      </c>
      <c r="BB16">
        <f t="shared" si="26"/>
        <v>0</v>
      </c>
      <c r="BC16">
        <f t="shared" si="26"/>
        <v>0</v>
      </c>
      <c r="BD16">
        <f t="shared" si="26"/>
        <v>-1.5986297459320579E-3</v>
      </c>
      <c r="BE16">
        <f t="shared" si="26"/>
        <v>1.5986297459320579E-3</v>
      </c>
      <c r="BF16">
        <f t="shared" si="26"/>
        <v>0</v>
      </c>
      <c r="BG16">
        <f t="shared" si="26"/>
        <v>0</v>
      </c>
      <c r="BH16">
        <f t="shared" si="26"/>
        <v>0</v>
      </c>
      <c r="BI16">
        <f t="shared" si="26"/>
        <v>0</v>
      </c>
      <c r="BJ16">
        <f t="shared" si="26"/>
        <v>0</v>
      </c>
      <c r="BM16" s="7"/>
      <c r="BN16" s="3">
        <f t="shared" si="21"/>
        <v>0</v>
      </c>
      <c r="BO16" s="3"/>
    </row>
    <row r="17" spans="1:67" x14ac:dyDescent="0.25">
      <c r="A17" t="s">
        <v>39</v>
      </c>
      <c r="B17">
        <v>131.16999999999999</v>
      </c>
      <c r="C17">
        <v>5.4</v>
      </c>
      <c r="D17">
        <f t="shared" si="0"/>
        <v>9.8803079972554723E-3</v>
      </c>
      <c r="E17">
        <f t="shared" si="1"/>
        <v>5.614075999999999</v>
      </c>
      <c r="F17">
        <v>428</v>
      </c>
      <c r="M17">
        <v>2</v>
      </c>
      <c r="N17">
        <v>1</v>
      </c>
      <c r="R17">
        <v>-1</v>
      </c>
      <c r="S17">
        <v>1</v>
      </c>
      <c r="T17">
        <v>1</v>
      </c>
      <c r="AA17">
        <f t="shared" si="2"/>
        <v>0</v>
      </c>
      <c r="AB17">
        <f t="shared" si="3"/>
        <v>0</v>
      </c>
      <c r="AC17">
        <f t="shared" si="4"/>
        <v>0</v>
      </c>
      <c r="AD17">
        <f t="shared" si="5"/>
        <v>0</v>
      </c>
      <c r="AE17">
        <f t="shared" si="6"/>
        <v>1.9760615994510945E-2</v>
      </c>
      <c r="AF17">
        <f t="shared" si="7"/>
        <v>9.8803079972554723E-3</v>
      </c>
      <c r="AG17">
        <f t="shared" si="8"/>
        <v>0</v>
      </c>
      <c r="AH17">
        <f t="shared" si="9"/>
        <v>0</v>
      </c>
      <c r="AI17">
        <f t="shared" si="10"/>
        <v>0</v>
      </c>
      <c r="AJ17">
        <f t="shared" si="11"/>
        <v>-9.8803079972554723E-3</v>
      </c>
      <c r="AK17">
        <f t="shared" si="12"/>
        <v>9.8803079972554723E-3</v>
      </c>
      <c r="AL17">
        <f t="shared" si="13"/>
        <v>9.8803079972554723E-3</v>
      </c>
      <c r="AM17">
        <f t="shared" si="14"/>
        <v>0</v>
      </c>
      <c r="AN17">
        <f t="shared" si="15"/>
        <v>0</v>
      </c>
      <c r="AO17">
        <f t="shared" si="16"/>
        <v>0</v>
      </c>
      <c r="AP17">
        <f t="shared" si="17"/>
        <v>0</v>
      </c>
      <c r="AT17" s="1" t="s">
        <v>40</v>
      </c>
      <c r="AU17">
        <f>AA79</f>
        <v>0</v>
      </c>
      <c r="AV17">
        <f t="shared" ref="AV17:BJ17" si="27">AB79</f>
        <v>0</v>
      </c>
      <c r="AW17">
        <f t="shared" si="27"/>
        <v>0</v>
      </c>
      <c r="AX17">
        <f t="shared" si="27"/>
        <v>0</v>
      </c>
      <c r="AY17">
        <f t="shared" si="27"/>
        <v>0</v>
      </c>
      <c r="AZ17">
        <f t="shared" si="27"/>
        <v>0</v>
      </c>
      <c r="BA17">
        <f t="shared" si="27"/>
        <v>0</v>
      </c>
      <c r="BB17">
        <f t="shared" si="27"/>
        <v>0</v>
      </c>
      <c r="BC17">
        <f t="shared" si="27"/>
        <v>0</v>
      </c>
      <c r="BD17">
        <f t="shared" si="27"/>
        <v>0</v>
      </c>
      <c r="BE17">
        <f t="shared" si="27"/>
        <v>0</v>
      </c>
      <c r="BF17">
        <f t="shared" si="27"/>
        <v>0</v>
      </c>
      <c r="BG17">
        <f t="shared" si="27"/>
        <v>0</v>
      </c>
      <c r="BH17">
        <f t="shared" si="27"/>
        <v>0</v>
      </c>
      <c r="BI17">
        <f t="shared" si="27"/>
        <v>0</v>
      </c>
      <c r="BJ17">
        <f t="shared" si="27"/>
        <v>7.2088308177517459E-4</v>
      </c>
      <c r="BM17" s="7"/>
      <c r="BN17" s="3">
        <f t="shared" si="21"/>
        <v>0</v>
      </c>
      <c r="BO17" s="3"/>
    </row>
    <row r="18" spans="1:67" x14ac:dyDescent="0.25">
      <c r="A18" t="s">
        <v>41</v>
      </c>
      <c r="B18">
        <v>146.19</v>
      </c>
      <c r="C18">
        <v>2.5</v>
      </c>
      <c r="D18">
        <f t="shared" si="0"/>
        <v>4.104247896572954E-3</v>
      </c>
      <c r="E18">
        <f t="shared" si="1"/>
        <v>4.7657940000000005</v>
      </c>
      <c r="F18">
        <v>326</v>
      </c>
      <c r="M18">
        <v>1</v>
      </c>
      <c r="P18">
        <v>1</v>
      </c>
      <c r="Q18">
        <v>2</v>
      </c>
      <c r="S18">
        <v>2</v>
      </c>
      <c r="T18">
        <v>2</v>
      </c>
      <c r="AA18">
        <f t="shared" si="2"/>
        <v>0</v>
      </c>
      <c r="AB18">
        <f t="shared" si="3"/>
        <v>0</v>
      </c>
      <c r="AC18">
        <f t="shared" si="4"/>
        <v>0</v>
      </c>
      <c r="AD18">
        <f t="shared" si="5"/>
        <v>0</v>
      </c>
      <c r="AE18">
        <f t="shared" si="6"/>
        <v>4.104247896572954E-3</v>
      </c>
      <c r="AF18">
        <f t="shared" si="7"/>
        <v>0</v>
      </c>
      <c r="AG18">
        <f t="shared" si="8"/>
        <v>0</v>
      </c>
      <c r="AH18">
        <f t="shared" si="9"/>
        <v>4.104247896572954E-3</v>
      </c>
      <c r="AI18">
        <f t="shared" si="10"/>
        <v>8.208495793145908E-3</v>
      </c>
      <c r="AJ18">
        <f t="shared" si="11"/>
        <v>0</v>
      </c>
      <c r="AK18">
        <f t="shared" si="12"/>
        <v>8.208495793145908E-3</v>
      </c>
      <c r="AL18">
        <f t="shared" si="13"/>
        <v>8.208495793145908E-3</v>
      </c>
      <c r="AM18">
        <f t="shared" si="14"/>
        <v>0</v>
      </c>
      <c r="AN18">
        <f t="shared" si="15"/>
        <v>0</v>
      </c>
      <c r="AO18">
        <f t="shared" si="16"/>
        <v>0</v>
      </c>
      <c r="AP18">
        <f t="shared" si="17"/>
        <v>0</v>
      </c>
      <c r="BM18" s="7">
        <f>BM9+BM10+BM11+BM12+BM14</f>
        <v>22802</v>
      </c>
      <c r="BN18" s="3">
        <f t="shared" si="21"/>
        <v>0.54724799999999996</v>
      </c>
      <c r="BO18" s="3"/>
    </row>
    <row r="19" spans="1:67" x14ac:dyDescent="0.25">
      <c r="A19" t="s">
        <v>42</v>
      </c>
      <c r="B19">
        <v>149.21</v>
      </c>
      <c r="C19">
        <v>1.3</v>
      </c>
      <c r="D19">
        <f t="shared" si="0"/>
        <v>2.0910126667113465E-3</v>
      </c>
      <c r="E19">
        <f t="shared" si="1"/>
        <v>2.1784659999999998</v>
      </c>
      <c r="F19">
        <v>146</v>
      </c>
      <c r="P19">
        <v>1</v>
      </c>
      <c r="Q19">
        <v>7</v>
      </c>
      <c r="S19">
        <v>7</v>
      </c>
      <c r="T19">
        <v>1</v>
      </c>
      <c r="W19">
        <v>1</v>
      </c>
      <c r="AA19">
        <f t="shared" si="2"/>
        <v>0</v>
      </c>
      <c r="AB19">
        <f t="shared" si="3"/>
        <v>0</v>
      </c>
      <c r="AC19">
        <f t="shared" si="4"/>
        <v>0</v>
      </c>
      <c r="AD19">
        <f t="shared" si="5"/>
        <v>0</v>
      </c>
      <c r="AE19">
        <f t="shared" si="6"/>
        <v>0</v>
      </c>
      <c r="AF19">
        <f t="shared" si="7"/>
        <v>0</v>
      </c>
      <c r="AG19">
        <f t="shared" si="8"/>
        <v>0</v>
      </c>
      <c r="AH19">
        <f t="shared" si="9"/>
        <v>2.0910126667113465E-3</v>
      </c>
      <c r="AI19">
        <f t="shared" si="10"/>
        <v>1.4637088666979426E-2</v>
      </c>
      <c r="AJ19">
        <f t="shared" si="11"/>
        <v>0</v>
      </c>
      <c r="AK19">
        <f t="shared" si="12"/>
        <v>1.4637088666979426E-2</v>
      </c>
      <c r="AL19">
        <f t="shared" si="13"/>
        <v>2.0910126667113465E-3</v>
      </c>
      <c r="AM19">
        <f t="shared" si="14"/>
        <v>0</v>
      </c>
      <c r="AN19">
        <f t="shared" si="15"/>
        <v>2.0910126667113465E-3</v>
      </c>
      <c r="AO19">
        <f t="shared" si="16"/>
        <v>0</v>
      </c>
      <c r="AP19">
        <f t="shared" si="17"/>
        <v>0</v>
      </c>
      <c r="AT19" s="1" t="s">
        <v>43</v>
      </c>
      <c r="AU19">
        <f>AU9+AU10+AU11+AU12+AU13+AU14+AU15+AU16+AU17</f>
        <v>1.8346701334020137E-3</v>
      </c>
      <c r="AV19">
        <f t="shared" ref="AV19:BH19" si="28">AV9+AV10+AV11+AV12+AV13+AV14+AV15+AV16+AV17</f>
        <v>1.512065032841179E-2</v>
      </c>
      <c r="AW19">
        <f t="shared" si="28"/>
        <v>8.2726577306496442E-3</v>
      </c>
      <c r="AX19">
        <f t="shared" si="28"/>
        <v>4.4829590536718596E-2</v>
      </c>
      <c r="AY19">
        <f t="shared" si="28"/>
        <v>5.9013522092073931E-2</v>
      </c>
      <c r="AZ19">
        <f t="shared" si="28"/>
        <v>6.0100412521321811E-2</v>
      </c>
      <c r="BA19">
        <f t="shared" si="28"/>
        <v>2.1932065629287817E-2</v>
      </c>
      <c r="BB19">
        <f t="shared" si="28"/>
        <v>3.217607516367671E-2</v>
      </c>
      <c r="BC19">
        <f>BC9+BC10+BC11+BC12+BC13+BC14+BC15+BC16+BC17</f>
        <v>0.25149139114922753</v>
      </c>
      <c r="BD19">
        <f t="shared" si="28"/>
        <v>-6.6021133676931354E-2</v>
      </c>
      <c r="BE19">
        <f t="shared" si="28"/>
        <v>0.19545993968110389</v>
      </c>
      <c r="BF19">
        <f t="shared" si="28"/>
        <v>0.13643276880819227</v>
      </c>
      <c r="BG19">
        <f t="shared" si="28"/>
        <v>5.389769233335176E-2</v>
      </c>
      <c r="BH19">
        <f t="shared" si="28"/>
        <v>-4.8954815104980919E-3</v>
      </c>
      <c r="BI19">
        <f>SUM(BI9:BI17)</f>
        <v>3.1914893617021279E-3</v>
      </c>
      <c r="BJ19">
        <f>SUM(BJ9:BJ17)</f>
        <v>7.2088308177517459E-4</v>
      </c>
      <c r="BM19" s="7">
        <f>BM18+BC19</f>
        <v>22802.251491391151</v>
      </c>
      <c r="BN19" s="3">
        <f t="shared" si="21"/>
        <v>0.54725403579338749</v>
      </c>
      <c r="BO19" s="3"/>
    </row>
    <row r="20" spans="1:67" x14ac:dyDescent="0.25">
      <c r="A20" t="s">
        <v>44</v>
      </c>
      <c r="B20">
        <v>165.19</v>
      </c>
      <c r="C20">
        <v>2.9</v>
      </c>
      <c r="D20">
        <f t="shared" si="0"/>
        <v>4.2133301047278891E-3</v>
      </c>
      <c r="E20">
        <f t="shared" si="1"/>
        <v>2.9073439999999997</v>
      </c>
      <c r="F20">
        <v>176</v>
      </c>
      <c r="K20">
        <v>1</v>
      </c>
      <c r="L20">
        <v>2</v>
      </c>
      <c r="Q20">
        <v>1</v>
      </c>
      <c r="S20">
        <v>1</v>
      </c>
      <c r="T20">
        <v>1</v>
      </c>
      <c r="AA20">
        <f t="shared" si="2"/>
        <v>0</v>
      </c>
      <c r="AB20">
        <f t="shared" si="3"/>
        <v>0</v>
      </c>
      <c r="AC20">
        <f t="shared" si="4"/>
        <v>4.2133301047278891E-3</v>
      </c>
      <c r="AD20">
        <f t="shared" si="5"/>
        <v>8.4266602094557781E-3</v>
      </c>
      <c r="AE20">
        <f t="shared" si="6"/>
        <v>0</v>
      </c>
      <c r="AF20">
        <f t="shared" si="7"/>
        <v>0</v>
      </c>
      <c r="AG20">
        <f t="shared" si="8"/>
        <v>0</v>
      </c>
      <c r="AH20">
        <f t="shared" si="9"/>
        <v>0</v>
      </c>
      <c r="AI20">
        <f t="shared" si="10"/>
        <v>4.2133301047278891E-3</v>
      </c>
      <c r="AJ20">
        <f t="shared" si="11"/>
        <v>0</v>
      </c>
      <c r="AK20">
        <f t="shared" si="12"/>
        <v>4.2133301047278891E-3</v>
      </c>
      <c r="AL20">
        <f t="shared" si="13"/>
        <v>4.2133301047278891E-3</v>
      </c>
      <c r="AM20">
        <f t="shared" si="14"/>
        <v>0</v>
      </c>
      <c r="AN20">
        <f t="shared" si="15"/>
        <v>0</v>
      </c>
      <c r="AO20">
        <f t="shared" si="16"/>
        <v>0</v>
      </c>
      <c r="AP20">
        <f t="shared" si="17"/>
        <v>0</v>
      </c>
      <c r="AT20" s="1" t="s">
        <v>43</v>
      </c>
      <c r="AU20" s="3">
        <f>AU19/($BN$19/100)</f>
        <v>0.33525017878437036</v>
      </c>
      <c r="AV20" s="3">
        <f t="shared" ref="AV20:BJ20" si="29">AV19/($BN$19/100)</f>
        <v>2.7630038957118814</v>
      </c>
      <c r="AW20" s="3">
        <f t="shared" si="29"/>
        <v>1.5116668292187683</v>
      </c>
      <c r="AX20" s="3">
        <f t="shared" si="29"/>
        <v>8.1917331996878584</v>
      </c>
      <c r="AY20" s="3">
        <f t="shared" si="29"/>
        <v>10.783570011780441</v>
      </c>
      <c r="AZ20" s="3">
        <f t="shared" si="29"/>
        <v>10.98217803623697</v>
      </c>
      <c r="BA20" s="3">
        <f t="shared" si="29"/>
        <v>4.0076571746961296</v>
      </c>
      <c r="BB20" s="3">
        <f t="shared" si="29"/>
        <v>5.8795500917648047</v>
      </c>
      <c r="BC20" s="3">
        <f t="shared" si="29"/>
        <v>45.955146001733027</v>
      </c>
      <c r="BD20" s="3">
        <f t="shared" si="29"/>
        <v>-12.064074334548579</v>
      </c>
      <c r="BE20" s="3">
        <f t="shared" si="29"/>
        <v>35.716491226553259</v>
      </c>
      <c r="BF20" s="3">
        <f t="shared" si="29"/>
        <v>24.930427166315436</v>
      </c>
      <c r="BG20" s="3">
        <f t="shared" si="29"/>
        <v>9.8487519155912651</v>
      </c>
      <c r="BH20" s="3">
        <f t="shared" si="29"/>
        <v>-0.89455375206156573</v>
      </c>
      <c r="BI20" s="3">
        <f t="shared" si="29"/>
        <v>0.58318242588658697</v>
      </c>
      <c r="BJ20" s="3">
        <f t="shared" si="29"/>
        <v>0.13172732124854347</v>
      </c>
      <c r="BM20" s="7">
        <f>BM19/(BM19/100)</f>
        <v>100</v>
      </c>
      <c r="BN20" s="3">
        <f>BN19/(BN19/100)</f>
        <v>100</v>
      </c>
      <c r="BO20" s="3"/>
    </row>
    <row r="21" spans="1:67" x14ac:dyDescent="0.25">
      <c r="A21" t="s">
        <v>45</v>
      </c>
      <c r="B21">
        <v>115.13</v>
      </c>
      <c r="C21">
        <v>2.5</v>
      </c>
      <c r="D21">
        <f t="shared" si="0"/>
        <v>5.2115000434291682E-3</v>
      </c>
      <c r="E21">
        <f t="shared" si="1"/>
        <v>2.4177299999999997</v>
      </c>
      <c r="F21">
        <v>210</v>
      </c>
      <c r="O21">
        <v>1</v>
      </c>
      <c r="Q21">
        <v>1</v>
      </c>
      <c r="S21">
        <v>2</v>
      </c>
      <c r="T21">
        <v>1</v>
      </c>
      <c r="AA21">
        <f t="shared" si="2"/>
        <v>0</v>
      </c>
      <c r="AB21">
        <f t="shared" si="3"/>
        <v>0</v>
      </c>
      <c r="AC21">
        <f t="shared" si="4"/>
        <v>0</v>
      </c>
      <c r="AD21">
        <f t="shared" si="5"/>
        <v>0</v>
      </c>
      <c r="AE21">
        <f t="shared" si="6"/>
        <v>0</v>
      </c>
      <c r="AF21">
        <f t="shared" si="7"/>
        <v>0</v>
      </c>
      <c r="AG21">
        <f t="shared" si="8"/>
        <v>5.2115000434291682E-3</v>
      </c>
      <c r="AH21">
        <f t="shared" si="9"/>
        <v>0</v>
      </c>
      <c r="AI21">
        <f t="shared" si="10"/>
        <v>5.2115000434291682E-3</v>
      </c>
      <c r="AJ21">
        <f t="shared" si="11"/>
        <v>0</v>
      </c>
      <c r="AK21">
        <f t="shared" si="12"/>
        <v>1.0423000086858336E-2</v>
      </c>
      <c r="AL21">
        <f t="shared" si="13"/>
        <v>5.2115000434291682E-3</v>
      </c>
      <c r="AM21">
        <f t="shared" si="14"/>
        <v>0</v>
      </c>
      <c r="AN21">
        <f t="shared" si="15"/>
        <v>0</v>
      </c>
      <c r="AO21">
        <f t="shared" si="16"/>
        <v>0</v>
      </c>
      <c r="AP21">
        <f t="shared" si="17"/>
        <v>0</v>
      </c>
    </row>
    <row r="22" spans="1:67" x14ac:dyDescent="0.25">
      <c r="A22" t="s">
        <v>46</v>
      </c>
      <c r="B22">
        <v>105.09</v>
      </c>
      <c r="C22">
        <v>2.6</v>
      </c>
      <c r="D22">
        <f t="shared" si="0"/>
        <v>5.9377676277476456E-3</v>
      </c>
      <c r="E22">
        <f t="shared" si="1"/>
        <v>2.1543449999999997</v>
      </c>
      <c r="F22">
        <v>205</v>
      </c>
      <c r="L22">
        <v>1</v>
      </c>
      <c r="R22">
        <v>-1</v>
      </c>
      <c r="S22">
        <v>0</v>
      </c>
      <c r="T22">
        <v>1</v>
      </c>
      <c r="AA22">
        <f t="shared" si="2"/>
        <v>0</v>
      </c>
      <c r="AB22">
        <f t="shared" si="3"/>
        <v>0</v>
      </c>
      <c r="AC22">
        <f t="shared" si="4"/>
        <v>0</v>
      </c>
      <c r="AD22">
        <f t="shared" si="5"/>
        <v>5.9377676277476456E-3</v>
      </c>
      <c r="AE22">
        <f t="shared" si="6"/>
        <v>0</v>
      </c>
      <c r="AF22">
        <f t="shared" si="7"/>
        <v>0</v>
      </c>
      <c r="AG22">
        <f t="shared" si="8"/>
        <v>0</v>
      </c>
      <c r="AH22">
        <f t="shared" si="9"/>
        <v>0</v>
      </c>
      <c r="AI22">
        <f t="shared" si="10"/>
        <v>0</v>
      </c>
      <c r="AJ22">
        <f t="shared" si="11"/>
        <v>-5.9377676277476456E-3</v>
      </c>
      <c r="AK22">
        <f t="shared" si="12"/>
        <v>0</v>
      </c>
      <c r="AL22">
        <f t="shared" si="13"/>
        <v>5.9377676277476456E-3</v>
      </c>
      <c r="AM22">
        <f t="shared" si="14"/>
        <v>0</v>
      </c>
      <c r="AN22">
        <f t="shared" si="15"/>
        <v>0</v>
      </c>
      <c r="AO22">
        <f t="shared" si="16"/>
        <v>0</v>
      </c>
      <c r="AP22">
        <f t="shared" si="17"/>
        <v>0</v>
      </c>
    </row>
    <row r="23" spans="1:67" x14ac:dyDescent="0.25">
      <c r="A23" t="s">
        <v>47</v>
      </c>
      <c r="B23">
        <v>119.12</v>
      </c>
      <c r="C23">
        <v>2.9</v>
      </c>
      <c r="D23">
        <f t="shared" si="0"/>
        <v>5.842847548690396E-3</v>
      </c>
      <c r="E23">
        <f t="shared" si="1"/>
        <v>2.8707920000000002</v>
      </c>
      <c r="F23">
        <v>241</v>
      </c>
      <c r="P23">
        <v>1</v>
      </c>
      <c r="Q23">
        <v>2</v>
      </c>
      <c r="S23">
        <v>2</v>
      </c>
      <c r="T23">
        <v>1</v>
      </c>
      <c r="AA23">
        <f t="shared" si="2"/>
        <v>0</v>
      </c>
      <c r="AB23">
        <f t="shared" si="3"/>
        <v>0</v>
      </c>
      <c r="AC23">
        <f t="shared" si="4"/>
        <v>0</v>
      </c>
      <c r="AD23">
        <f t="shared" si="5"/>
        <v>0</v>
      </c>
      <c r="AE23">
        <f t="shared" si="6"/>
        <v>0</v>
      </c>
      <c r="AF23">
        <f t="shared" si="7"/>
        <v>0</v>
      </c>
      <c r="AG23">
        <f t="shared" si="8"/>
        <v>0</v>
      </c>
      <c r="AH23">
        <f t="shared" si="9"/>
        <v>5.842847548690396E-3</v>
      </c>
      <c r="AI23">
        <f t="shared" si="10"/>
        <v>1.1685695097380792E-2</v>
      </c>
      <c r="AJ23">
        <f t="shared" si="11"/>
        <v>0</v>
      </c>
      <c r="AK23">
        <f t="shared" si="12"/>
        <v>1.1685695097380792E-2</v>
      </c>
      <c r="AL23">
        <f t="shared" si="13"/>
        <v>5.842847548690396E-3</v>
      </c>
      <c r="AM23">
        <f t="shared" si="14"/>
        <v>0</v>
      </c>
      <c r="AN23">
        <f t="shared" si="15"/>
        <v>0</v>
      </c>
      <c r="AO23">
        <f t="shared" si="16"/>
        <v>0</v>
      </c>
      <c r="AP23">
        <f t="shared" si="17"/>
        <v>0</v>
      </c>
    </row>
    <row r="24" spans="1:67" x14ac:dyDescent="0.25">
      <c r="A24" t="s">
        <v>48</v>
      </c>
      <c r="B24">
        <v>204.23</v>
      </c>
      <c r="C24">
        <v>1.2</v>
      </c>
      <c r="D24">
        <f t="shared" si="0"/>
        <v>1.4101748029182787E-3</v>
      </c>
      <c r="E24">
        <f t="shared" si="1"/>
        <v>1.1028419999999999</v>
      </c>
      <c r="F24">
        <v>54</v>
      </c>
      <c r="J24">
        <v>1</v>
      </c>
      <c r="K24">
        <v>1</v>
      </c>
      <c r="L24">
        <v>1</v>
      </c>
      <c r="Q24">
        <v>4</v>
      </c>
      <c r="R24">
        <v>-2</v>
      </c>
      <c r="S24">
        <v>2</v>
      </c>
      <c r="T24">
        <v>1</v>
      </c>
      <c r="V24">
        <v>1</v>
      </c>
      <c r="AA24">
        <f t="shared" si="2"/>
        <v>0</v>
      </c>
      <c r="AB24">
        <f t="shared" si="3"/>
        <v>1.4101748029182787E-3</v>
      </c>
      <c r="AC24">
        <f t="shared" si="4"/>
        <v>1.4101748029182787E-3</v>
      </c>
      <c r="AD24">
        <f t="shared" si="5"/>
        <v>1.4101748029182787E-3</v>
      </c>
      <c r="AE24">
        <f t="shared" si="6"/>
        <v>0</v>
      </c>
      <c r="AF24">
        <f t="shared" si="7"/>
        <v>0</v>
      </c>
      <c r="AG24">
        <f t="shared" si="8"/>
        <v>0</v>
      </c>
      <c r="AH24">
        <f t="shared" si="9"/>
        <v>0</v>
      </c>
      <c r="AI24">
        <f t="shared" si="10"/>
        <v>5.6406992116731147E-3</v>
      </c>
      <c r="AJ24">
        <f t="shared" si="11"/>
        <v>-2.8203496058365573E-3</v>
      </c>
      <c r="AK24">
        <f t="shared" si="12"/>
        <v>2.8203496058365573E-3</v>
      </c>
      <c r="AL24">
        <f t="shared" si="13"/>
        <v>1.4101748029182787E-3</v>
      </c>
      <c r="AM24">
        <f t="shared" si="14"/>
        <v>1.4101748029182787E-3</v>
      </c>
      <c r="AN24">
        <f t="shared" si="15"/>
        <v>0</v>
      </c>
      <c r="AO24">
        <f t="shared" si="16"/>
        <v>0</v>
      </c>
      <c r="AP24">
        <f t="shared" si="17"/>
        <v>0</v>
      </c>
    </row>
    <row r="25" spans="1:67" x14ac:dyDescent="0.25">
      <c r="A25" t="s">
        <v>49</v>
      </c>
      <c r="B25">
        <v>181.19</v>
      </c>
      <c r="C25">
        <v>2</v>
      </c>
      <c r="D25">
        <f t="shared" si="0"/>
        <v>2.6491528230034771E-3</v>
      </c>
      <c r="E25">
        <f t="shared" si="1"/>
        <v>2.3735889999999999</v>
      </c>
      <c r="F25">
        <v>131</v>
      </c>
      <c r="K25">
        <v>1</v>
      </c>
      <c r="L25">
        <v>2</v>
      </c>
      <c r="Q25">
        <v>1</v>
      </c>
      <c r="R25">
        <v>-1</v>
      </c>
      <c r="S25">
        <v>1</v>
      </c>
      <c r="T25">
        <v>1</v>
      </c>
      <c r="AA25">
        <f t="shared" si="2"/>
        <v>0</v>
      </c>
      <c r="AB25">
        <f t="shared" si="3"/>
        <v>0</v>
      </c>
      <c r="AC25">
        <f t="shared" si="4"/>
        <v>2.6491528230034771E-3</v>
      </c>
      <c r="AD25">
        <f t="shared" si="5"/>
        <v>5.2983056460069542E-3</v>
      </c>
      <c r="AE25">
        <f t="shared" si="6"/>
        <v>0</v>
      </c>
      <c r="AF25">
        <f t="shared" si="7"/>
        <v>0</v>
      </c>
      <c r="AG25">
        <f t="shared" si="8"/>
        <v>0</v>
      </c>
      <c r="AH25">
        <f t="shared" si="9"/>
        <v>0</v>
      </c>
      <c r="AI25">
        <f t="shared" si="10"/>
        <v>2.6491528230034771E-3</v>
      </c>
      <c r="AJ25">
        <f t="shared" si="11"/>
        <v>-2.6491528230034771E-3</v>
      </c>
      <c r="AK25">
        <f t="shared" si="12"/>
        <v>2.6491528230034771E-3</v>
      </c>
      <c r="AL25">
        <f t="shared" si="13"/>
        <v>2.6491528230034771E-3</v>
      </c>
      <c r="AM25">
        <f t="shared" si="14"/>
        <v>0</v>
      </c>
      <c r="AN25">
        <f t="shared" si="15"/>
        <v>0</v>
      </c>
      <c r="AO25">
        <f t="shared" si="16"/>
        <v>0</v>
      </c>
      <c r="AP25">
        <f t="shared" si="17"/>
        <v>0</v>
      </c>
    </row>
    <row r="26" spans="1:67" x14ac:dyDescent="0.25">
      <c r="A26" t="s">
        <v>50</v>
      </c>
      <c r="B26">
        <v>117.151</v>
      </c>
      <c r="C26">
        <v>3.9</v>
      </c>
      <c r="D26">
        <f t="shared" si="0"/>
        <v>7.9896885216515431E-3</v>
      </c>
      <c r="E26">
        <f t="shared" si="1"/>
        <v>4.7094701999999993</v>
      </c>
      <c r="F26">
        <v>402</v>
      </c>
      <c r="M26">
        <v>2</v>
      </c>
      <c r="S26">
        <v>1</v>
      </c>
      <c r="T26">
        <v>1</v>
      </c>
      <c r="AA26">
        <f t="shared" si="2"/>
        <v>0</v>
      </c>
      <c r="AB26">
        <f t="shared" si="3"/>
        <v>0</v>
      </c>
      <c r="AC26">
        <f t="shared" si="4"/>
        <v>0</v>
      </c>
      <c r="AD26">
        <f t="shared" si="5"/>
        <v>0</v>
      </c>
      <c r="AE26">
        <f t="shared" si="6"/>
        <v>1.5979377043303086E-2</v>
      </c>
      <c r="AF26">
        <f t="shared" si="7"/>
        <v>0</v>
      </c>
      <c r="AG26">
        <f t="shared" si="8"/>
        <v>0</v>
      </c>
      <c r="AH26">
        <f t="shared" si="9"/>
        <v>0</v>
      </c>
      <c r="AI26">
        <f t="shared" si="10"/>
        <v>0</v>
      </c>
      <c r="AJ26">
        <f t="shared" si="11"/>
        <v>0</v>
      </c>
      <c r="AK26">
        <f t="shared" si="12"/>
        <v>7.9896885216515431E-3</v>
      </c>
      <c r="AL26">
        <f t="shared" si="13"/>
        <v>7.9896885216515431E-3</v>
      </c>
      <c r="AM26">
        <f t="shared" si="14"/>
        <v>0</v>
      </c>
      <c r="AN26">
        <f t="shared" si="15"/>
        <v>0</v>
      </c>
      <c r="AO26">
        <f t="shared" si="16"/>
        <v>0</v>
      </c>
      <c r="AP26">
        <f t="shared" si="17"/>
        <v>0</v>
      </c>
    </row>
    <row r="27" spans="1:67" x14ac:dyDescent="0.25">
      <c r="A27" t="s">
        <v>71</v>
      </c>
      <c r="B27" t="s">
        <v>86</v>
      </c>
      <c r="C27">
        <f>SUM(C7:C26)</f>
        <v>55.099999999999994</v>
      </c>
      <c r="E27">
        <f>SUM(E7:E26)</f>
        <v>64.182385199999999</v>
      </c>
      <c r="F27">
        <f>F7+F8+F9+F10+F11+F12+F13+F14+F15+F16+F17+F18+F19+F20+F21+F22+F23+F24+F25+F26</f>
        <v>5081</v>
      </c>
    </row>
    <row r="28" spans="1:67" x14ac:dyDescent="0.25">
      <c r="Z28" s="1" t="s">
        <v>24</v>
      </c>
      <c r="AA28" s="3">
        <f>AA7+AA8+AA9+AA10+AA11+AA12+AA13+AA14+AA15+AA16+AA17+AA18+AA19+AA20+AA21+AA22+AA23+AA24+AA25+AA26</f>
        <v>0</v>
      </c>
      <c r="AB28" s="3">
        <f t="shared" ref="AB28:AN28" si="30">AB7+AB8+AB9+AB10+AB11+AB12+AB13+AB14+AB15+AB16+AB17+AB18+AB19+AB20+AB21+AB22+AB23+AB24+AB25+AB26</f>
        <v>3.5758209518064509E-3</v>
      </c>
      <c r="AC28" s="3">
        <f t="shared" si="30"/>
        <v>8.2726577306496442E-3</v>
      </c>
      <c r="AD28" s="3">
        <f t="shared" si="30"/>
        <v>3.1136595735672283E-2</v>
      </c>
      <c r="AE28" s="3">
        <f t="shared" si="30"/>
        <v>5.7811685953528931E-2</v>
      </c>
      <c r="AF28" s="3">
        <f t="shared" si="30"/>
        <v>9.8803079972554723E-3</v>
      </c>
      <c r="AG28" s="3">
        <f t="shared" si="30"/>
        <v>2.1531453583106149E-2</v>
      </c>
      <c r="AH28" s="3">
        <f t="shared" si="30"/>
        <v>2.6020312314363643E-2</v>
      </c>
      <c r="AI28" s="3">
        <f t="shared" si="30"/>
        <v>0.12348806381852305</v>
      </c>
      <c r="AJ28" s="3">
        <f t="shared" si="30"/>
        <v>-4.5012383054528912E-2</v>
      </c>
      <c r="AK28" s="3">
        <f t="shared" si="30"/>
        <v>0.10406501595476988</v>
      </c>
      <c r="AL28" s="3">
        <f t="shared" si="30"/>
        <v>0.12295548116601659</v>
      </c>
      <c r="AM28" s="3">
        <f t="shared" si="30"/>
        <v>1.8932390495139912E-2</v>
      </c>
      <c r="AN28" s="3">
        <f t="shared" si="30"/>
        <v>-1.032077925929973E-2</v>
      </c>
      <c r="AO28" s="3">
        <f>SUM(AO7:AO26)</f>
        <v>0</v>
      </c>
      <c r="AP28" s="3">
        <f>SUM(AP7:AP26)</f>
        <v>0</v>
      </c>
    </row>
    <row r="29" spans="1:67" x14ac:dyDescent="0.25">
      <c r="A29" s="1" t="s">
        <v>1</v>
      </c>
    </row>
    <row r="31" spans="1:67" x14ac:dyDescent="0.25">
      <c r="A31" t="s">
        <v>52</v>
      </c>
      <c r="B31">
        <v>503.15</v>
      </c>
      <c r="D31">
        <f>($C$35/100)*24*(1/$B$35)*G31</f>
        <v>2.3295871962039417E-3</v>
      </c>
      <c r="E31">
        <f t="shared" ref="E31:E34" si="31">((F31*B31*(10^(-6)))/1)*100</f>
        <v>8.3019749999999988</v>
      </c>
      <c r="F31">
        <v>165</v>
      </c>
      <c r="G31">
        <f>339/1410</f>
        <v>0.2404255319148936</v>
      </c>
      <c r="J31">
        <v>1</v>
      </c>
      <c r="L31">
        <v>1</v>
      </c>
      <c r="Q31">
        <v>7</v>
      </c>
      <c r="R31">
        <v>-3</v>
      </c>
      <c r="S31">
        <v>0</v>
      </c>
      <c r="T31">
        <v>1</v>
      </c>
      <c r="V31">
        <v>4</v>
      </c>
      <c r="W31">
        <v>1</v>
      </c>
      <c r="AA31">
        <f>D31*I31</f>
        <v>0</v>
      </c>
      <c r="AB31">
        <f>D31*J31</f>
        <v>2.3295871962039417E-3</v>
      </c>
      <c r="AC31">
        <f>D31*K31</f>
        <v>0</v>
      </c>
      <c r="AD31">
        <f>D31*L31</f>
        <v>2.3295871962039417E-3</v>
      </c>
      <c r="AE31">
        <f>D31*M31</f>
        <v>0</v>
      </c>
      <c r="AF31">
        <f>D31*N31</f>
        <v>0</v>
      </c>
      <c r="AG31">
        <f>D31*O31</f>
        <v>0</v>
      </c>
      <c r="AH31">
        <f>D31*P31</f>
        <v>0</v>
      </c>
      <c r="AI31">
        <f>D31*Q31</f>
        <v>1.6307110373427591E-2</v>
      </c>
      <c r="AJ31">
        <f>D31*R31</f>
        <v>-6.9887615886118255E-3</v>
      </c>
      <c r="AK31">
        <f>D31*S31</f>
        <v>0</v>
      </c>
      <c r="AL31">
        <f>D31*T31</f>
        <v>2.3295871962039417E-3</v>
      </c>
      <c r="AM31">
        <f>D31*V31</f>
        <v>9.3183487848157668E-3</v>
      </c>
      <c r="AN31">
        <f>D31*W31</f>
        <v>2.3295871962039417E-3</v>
      </c>
      <c r="AO31">
        <f>$D31*X31</f>
        <v>0</v>
      </c>
      <c r="AP31">
        <f>$D31*Y31</f>
        <v>0</v>
      </c>
    </row>
    <row r="32" spans="1:67" x14ac:dyDescent="0.25">
      <c r="A32" t="s">
        <v>53</v>
      </c>
      <c r="B32">
        <v>519.15</v>
      </c>
      <c r="D32">
        <f t="shared" ref="D32:D34" si="32">($C$35/100)*24*(1/$B$35)*G32</f>
        <v>2.3502030120995518E-3</v>
      </c>
      <c r="E32">
        <f t="shared" si="31"/>
        <v>10.538744999999999</v>
      </c>
      <c r="F32">
        <v>203</v>
      </c>
      <c r="G32">
        <f>342/1410</f>
        <v>0.24255319148936169</v>
      </c>
      <c r="J32">
        <v>1</v>
      </c>
      <c r="L32">
        <v>1</v>
      </c>
      <c r="Q32">
        <v>8</v>
      </c>
      <c r="R32">
        <v>-3</v>
      </c>
      <c r="S32">
        <v>0</v>
      </c>
      <c r="V32">
        <v>5</v>
      </c>
      <c r="W32">
        <v>1</v>
      </c>
      <c r="AA32">
        <f t="shared" ref="AA32:AA34" si="33">D32*I32</f>
        <v>0</v>
      </c>
      <c r="AB32">
        <f t="shared" ref="AB32:AB34" si="34">D32*J32</f>
        <v>2.3502030120995518E-3</v>
      </c>
      <c r="AC32">
        <f t="shared" ref="AC32:AC34" si="35">D32*K32</f>
        <v>0</v>
      </c>
      <c r="AD32">
        <f t="shared" ref="AD32:AD34" si="36">D32*L32</f>
        <v>2.3502030120995518E-3</v>
      </c>
      <c r="AE32">
        <f t="shared" ref="AE32:AE34" si="37">D32*M32</f>
        <v>0</v>
      </c>
      <c r="AF32">
        <f t="shared" ref="AF32:AF34" si="38">D32*N32</f>
        <v>0</v>
      </c>
      <c r="AG32">
        <f t="shared" ref="AG32:AG34" si="39">D32*O32</f>
        <v>0</v>
      </c>
      <c r="AH32">
        <f t="shared" ref="AH32:AH34" si="40">D32*P32</f>
        <v>0</v>
      </c>
      <c r="AI32">
        <f t="shared" ref="AI32:AI34" si="41">D32*Q32</f>
        <v>1.8801624096796414E-2</v>
      </c>
      <c r="AJ32">
        <f t="shared" ref="AJ32:AJ34" si="42">D32*R32</f>
        <v>-7.0506090362986553E-3</v>
      </c>
      <c r="AK32">
        <f t="shared" ref="AK32:AK34" si="43">D32*S32</f>
        <v>0</v>
      </c>
      <c r="AL32">
        <f t="shared" ref="AL32:AL34" si="44">D32*T32</f>
        <v>0</v>
      </c>
      <c r="AM32">
        <f t="shared" ref="AM32:AM34" si="45">D32*V32</f>
        <v>1.175101506049776E-2</v>
      </c>
      <c r="AN32">
        <f t="shared" ref="AN32:AN34" si="46">D32*W32</f>
        <v>2.3502030120995518E-3</v>
      </c>
      <c r="AO32">
        <f t="shared" ref="AO32:AO34" si="47">$D32*X32</f>
        <v>0</v>
      </c>
      <c r="AP32">
        <f t="shared" ref="AP32:AP34" si="48">$D32*Y32</f>
        <v>0</v>
      </c>
    </row>
    <row r="33" spans="1:42" x14ac:dyDescent="0.25">
      <c r="A33" t="s">
        <v>54</v>
      </c>
      <c r="B33">
        <v>479.13</v>
      </c>
      <c r="D33">
        <f t="shared" si="32"/>
        <v>3.1336040161327361E-3</v>
      </c>
      <c r="E33">
        <f t="shared" si="31"/>
        <v>6.037037999999999</v>
      </c>
      <c r="F33">
        <v>126</v>
      </c>
      <c r="G33">
        <f>456/1410</f>
        <v>0.32340425531914896</v>
      </c>
      <c r="J33">
        <v>1</v>
      </c>
      <c r="P33">
        <v>1</v>
      </c>
      <c r="Q33">
        <v>7</v>
      </c>
      <c r="R33">
        <v>0</v>
      </c>
      <c r="S33">
        <v>0</v>
      </c>
      <c r="T33">
        <v>1</v>
      </c>
      <c r="V33">
        <v>2</v>
      </c>
      <c r="AA33">
        <f t="shared" si="33"/>
        <v>0</v>
      </c>
      <c r="AB33">
        <f t="shared" si="34"/>
        <v>3.1336040161327361E-3</v>
      </c>
      <c r="AC33">
        <f t="shared" si="35"/>
        <v>0</v>
      </c>
      <c r="AD33">
        <f t="shared" si="36"/>
        <v>0</v>
      </c>
      <c r="AE33">
        <f t="shared" si="37"/>
        <v>0</v>
      </c>
      <c r="AF33">
        <f t="shared" si="38"/>
        <v>0</v>
      </c>
      <c r="AG33">
        <f t="shared" si="39"/>
        <v>0</v>
      </c>
      <c r="AH33">
        <f t="shared" si="40"/>
        <v>3.1336040161327361E-3</v>
      </c>
      <c r="AI33">
        <f t="shared" si="41"/>
        <v>2.1935228112929153E-2</v>
      </c>
      <c r="AJ33">
        <f t="shared" si="42"/>
        <v>0</v>
      </c>
      <c r="AK33">
        <f t="shared" si="43"/>
        <v>0</v>
      </c>
      <c r="AL33">
        <f t="shared" si="44"/>
        <v>3.1336040161327361E-3</v>
      </c>
      <c r="AM33">
        <f t="shared" si="45"/>
        <v>6.2672080322654722E-3</v>
      </c>
      <c r="AN33">
        <f t="shared" si="46"/>
        <v>0</v>
      </c>
      <c r="AO33">
        <f t="shared" si="47"/>
        <v>0</v>
      </c>
      <c r="AP33">
        <f t="shared" si="48"/>
        <v>0</v>
      </c>
    </row>
    <row r="34" spans="1:42" x14ac:dyDescent="0.25">
      <c r="A34" t="s">
        <v>55</v>
      </c>
      <c r="B34">
        <v>480.11</v>
      </c>
      <c r="D34">
        <f t="shared" si="32"/>
        <v>1.8760392465005194E-3</v>
      </c>
      <c r="E34">
        <f t="shared" si="31"/>
        <v>6.529496</v>
      </c>
      <c r="F34">
        <v>136</v>
      </c>
      <c r="G34">
        <f>273/1410</f>
        <v>0.19361702127659575</v>
      </c>
      <c r="J34">
        <v>1</v>
      </c>
      <c r="P34">
        <v>1</v>
      </c>
      <c r="Q34">
        <v>6</v>
      </c>
      <c r="S34">
        <v>0</v>
      </c>
      <c r="T34">
        <v>1</v>
      </c>
      <c r="V34">
        <v>1</v>
      </c>
      <c r="AA34">
        <f t="shared" si="33"/>
        <v>0</v>
      </c>
      <c r="AB34">
        <f t="shared" si="34"/>
        <v>1.8760392465005194E-3</v>
      </c>
      <c r="AC34">
        <f t="shared" si="35"/>
        <v>0</v>
      </c>
      <c r="AD34">
        <f t="shared" si="36"/>
        <v>0</v>
      </c>
      <c r="AE34">
        <f t="shared" si="37"/>
        <v>0</v>
      </c>
      <c r="AF34">
        <f t="shared" si="38"/>
        <v>0</v>
      </c>
      <c r="AG34">
        <f t="shared" si="39"/>
        <v>0</v>
      </c>
      <c r="AH34">
        <f t="shared" si="40"/>
        <v>1.8760392465005194E-3</v>
      </c>
      <c r="AI34">
        <f t="shared" si="41"/>
        <v>1.1256235479003117E-2</v>
      </c>
      <c r="AJ34">
        <f t="shared" si="42"/>
        <v>0</v>
      </c>
      <c r="AK34">
        <f t="shared" si="43"/>
        <v>0</v>
      </c>
      <c r="AL34">
        <f t="shared" si="44"/>
        <v>1.8760392465005194E-3</v>
      </c>
      <c r="AM34">
        <f t="shared" si="45"/>
        <v>1.8760392465005194E-3</v>
      </c>
      <c r="AN34">
        <f t="shared" si="46"/>
        <v>0</v>
      </c>
      <c r="AO34">
        <f t="shared" si="47"/>
        <v>0</v>
      </c>
      <c r="AP34">
        <f t="shared" si="48"/>
        <v>0</v>
      </c>
    </row>
    <row r="35" spans="1:42" x14ac:dyDescent="0.25">
      <c r="A35" t="s">
        <v>92</v>
      </c>
      <c r="B35">
        <f>SUM(B31:B34)/4</f>
        <v>495.38499999999999</v>
      </c>
      <c r="C35">
        <v>20</v>
      </c>
      <c r="D35" t="s">
        <v>51</v>
      </c>
      <c r="F35">
        <f>F31+F32+F33+F34</f>
        <v>630</v>
      </c>
      <c r="G35">
        <f>SUM(G31:G34)</f>
        <v>1</v>
      </c>
    </row>
    <row r="36" spans="1:42" x14ac:dyDescent="0.25">
      <c r="A36" s="1" t="s">
        <v>0</v>
      </c>
      <c r="Z36" s="1" t="s">
        <v>26</v>
      </c>
      <c r="AA36" s="3">
        <f>AA31+AA32+AA33+AA34</f>
        <v>0</v>
      </c>
      <c r="AB36" s="3">
        <f t="shared" ref="AB36:AN36" si="49">AB31+AB32+AB33+AB34</f>
        <v>9.6894334709367487E-3</v>
      </c>
      <c r="AC36" s="3">
        <f t="shared" si="49"/>
        <v>0</v>
      </c>
      <c r="AD36" s="3">
        <f t="shared" si="49"/>
        <v>4.6797902083034939E-3</v>
      </c>
      <c r="AE36" s="3">
        <f t="shared" si="49"/>
        <v>0</v>
      </c>
      <c r="AF36" s="3">
        <f t="shared" si="49"/>
        <v>0</v>
      </c>
      <c r="AG36" s="3">
        <f t="shared" si="49"/>
        <v>0</v>
      </c>
      <c r="AH36" s="3">
        <f t="shared" si="49"/>
        <v>5.0096432626332557E-3</v>
      </c>
      <c r="AI36" s="3">
        <f t="shared" si="49"/>
        <v>6.8300198062156273E-2</v>
      </c>
      <c r="AJ36" s="3">
        <f t="shared" si="49"/>
        <v>-1.403937062491048E-2</v>
      </c>
      <c r="AK36" s="3">
        <f t="shared" si="49"/>
        <v>0</v>
      </c>
      <c r="AL36" s="3">
        <f t="shared" si="49"/>
        <v>7.3392304588371969E-3</v>
      </c>
      <c r="AM36" s="3">
        <f t="shared" si="49"/>
        <v>2.921261112407952E-2</v>
      </c>
      <c r="AN36" s="3">
        <f t="shared" si="49"/>
        <v>4.6797902083034939E-3</v>
      </c>
      <c r="AO36" s="3">
        <f>SUM(AO31:AO34)</f>
        <v>0</v>
      </c>
      <c r="AP36" s="3">
        <f>SUM(AP31:AP34)</f>
        <v>0</v>
      </c>
    </row>
    <row r="38" spans="1:42" x14ac:dyDescent="0.25">
      <c r="A38" t="s">
        <v>56</v>
      </c>
      <c r="B38">
        <v>487.15</v>
      </c>
      <c r="D38">
        <f>($C$42/100)*24*(1/$B$42)*G38</f>
        <v>2.552617818665645E-4</v>
      </c>
      <c r="E38">
        <f>((G38*B38*(10^(-6)))/1)*100</f>
        <v>8.3400079999999977E-3</v>
      </c>
      <c r="F38">
        <v>24.7</v>
      </c>
      <c r="G38">
        <f>0.5*(100-65.76)/100</f>
        <v>0.17119999999999996</v>
      </c>
      <c r="J38">
        <v>1</v>
      </c>
      <c r="L38">
        <v>1</v>
      </c>
      <c r="Q38">
        <v>7</v>
      </c>
      <c r="R38">
        <v>-3</v>
      </c>
      <c r="S38">
        <v>1</v>
      </c>
      <c r="T38">
        <v>1</v>
      </c>
      <c r="V38">
        <v>4</v>
      </c>
      <c r="W38">
        <v>1</v>
      </c>
      <c r="AA38">
        <f>$D38*I38</f>
        <v>0</v>
      </c>
      <c r="AB38">
        <f>$D38*J38</f>
        <v>2.552617818665645E-4</v>
      </c>
      <c r="AC38">
        <f t="shared" ref="AC38:AL38" si="50">$D38*K38</f>
        <v>0</v>
      </c>
      <c r="AD38">
        <f t="shared" si="50"/>
        <v>2.552617818665645E-4</v>
      </c>
      <c r="AE38">
        <f t="shared" si="50"/>
        <v>0</v>
      </c>
      <c r="AF38">
        <f t="shared" si="50"/>
        <v>0</v>
      </c>
      <c r="AG38">
        <f t="shared" si="50"/>
        <v>0</v>
      </c>
      <c r="AH38">
        <f t="shared" si="50"/>
        <v>0</v>
      </c>
      <c r="AI38">
        <f t="shared" si="50"/>
        <v>1.7868324730659516E-3</v>
      </c>
      <c r="AJ38">
        <f t="shared" si="50"/>
        <v>-7.6578534559969356E-4</v>
      </c>
      <c r="AK38">
        <f t="shared" si="50"/>
        <v>2.552617818665645E-4</v>
      </c>
      <c r="AL38">
        <f t="shared" si="50"/>
        <v>2.552617818665645E-4</v>
      </c>
      <c r="AM38">
        <f>$D38*V38</f>
        <v>1.021047127466258E-3</v>
      </c>
      <c r="AN38">
        <f>$D38*W38</f>
        <v>2.552617818665645E-4</v>
      </c>
      <c r="AO38">
        <f t="shared" ref="AO38:AP38" si="51">$D38*X38</f>
        <v>0</v>
      </c>
      <c r="AP38">
        <f t="shared" si="51"/>
        <v>0</v>
      </c>
    </row>
    <row r="39" spans="1:42" x14ac:dyDescent="0.25">
      <c r="A39" t="s">
        <v>57</v>
      </c>
      <c r="B39" s="5">
        <v>503.15</v>
      </c>
      <c r="D39">
        <f t="shared" ref="D39:D41" si="52">($C$42/100)*24*(1/$B$42)*G39</f>
        <v>4.902457586315797E-4</v>
      </c>
      <c r="E39">
        <f>((G39*B39*(10^(-6)))/1)*100</f>
        <v>1.6543571999999999E-2</v>
      </c>
      <c r="F39">
        <v>25.4</v>
      </c>
      <c r="G39">
        <f>65.76/2/100</f>
        <v>0.32880000000000004</v>
      </c>
      <c r="J39">
        <v>1</v>
      </c>
      <c r="L39">
        <v>1</v>
      </c>
      <c r="Q39">
        <v>7</v>
      </c>
      <c r="R39">
        <v>-3</v>
      </c>
      <c r="S39">
        <v>1</v>
      </c>
      <c r="V39">
        <v>5</v>
      </c>
      <c r="W39">
        <v>1</v>
      </c>
      <c r="AA39">
        <f t="shared" ref="AA39:AA41" si="53">D39*I39</f>
        <v>0</v>
      </c>
      <c r="AB39">
        <f t="shared" ref="AB39:AB41" si="54">$D39*J39</f>
        <v>4.902457586315797E-4</v>
      </c>
      <c r="AC39">
        <f t="shared" ref="AC39:AC41" si="55">$D39*K39</f>
        <v>0</v>
      </c>
      <c r="AD39">
        <f t="shared" ref="AD39:AD41" si="56">$D39*L39</f>
        <v>4.902457586315797E-4</v>
      </c>
      <c r="AE39">
        <f t="shared" ref="AE39:AE41" si="57">$D39*M39</f>
        <v>0</v>
      </c>
      <c r="AF39">
        <f t="shared" ref="AF39:AF41" si="58">$D39*N39</f>
        <v>0</v>
      </c>
      <c r="AG39">
        <f t="shared" ref="AG39:AG41" si="59">$D39*O39</f>
        <v>0</v>
      </c>
      <c r="AH39">
        <f t="shared" ref="AH39:AH41" si="60">$D39*P39</f>
        <v>0</v>
      </c>
      <c r="AI39">
        <f t="shared" ref="AI39:AI41" si="61">$D39*Q39</f>
        <v>3.4317203104210579E-3</v>
      </c>
      <c r="AJ39">
        <f t="shared" ref="AJ39:AJ41" si="62">$D39*R39</f>
        <v>-1.4707372758947391E-3</v>
      </c>
      <c r="AK39">
        <f t="shared" ref="AK39:AK41" si="63">$D39*S39</f>
        <v>4.902457586315797E-4</v>
      </c>
      <c r="AL39">
        <f t="shared" ref="AL39:AL41" si="64">$D39*T39</f>
        <v>0</v>
      </c>
      <c r="AM39">
        <f t="shared" ref="AM39:AM41" si="65">$D39*V39</f>
        <v>2.4512287931578985E-3</v>
      </c>
      <c r="AN39">
        <f t="shared" ref="AN39:AN41" si="66">$D39*W39</f>
        <v>4.902457586315797E-4</v>
      </c>
      <c r="AO39">
        <f t="shared" ref="AO39:AO41" si="67">$D39*X39</f>
        <v>0</v>
      </c>
      <c r="AP39">
        <f t="shared" ref="AP39:AP41" si="68">$D39*Y39</f>
        <v>0</v>
      </c>
    </row>
    <row r="40" spans="1:42" x14ac:dyDescent="0.25">
      <c r="A40" t="s">
        <v>58</v>
      </c>
      <c r="B40">
        <v>463.13</v>
      </c>
      <c r="D40">
        <f t="shared" si="52"/>
        <v>4.902457586315797E-4</v>
      </c>
      <c r="E40">
        <f>((G40*B40*(10^(-6)))/1)*100</f>
        <v>1.5227714400000003E-2</v>
      </c>
      <c r="F40">
        <v>25.4</v>
      </c>
      <c r="G40">
        <f>65.76/2/100</f>
        <v>0.32880000000000004</v>
      </c>
      <c r="J40">
        <v>1</v>
      </c>
      <c r="P40">
        <v>1</v>
      </c>
      <c r="Q40">
        <v>7</v>
      </c>
      <c r="R40">
        <v>0</v>
      </c>
      <c r="S40">
        <v>1</v>
      </c>
      <c r="T40">
        <v>1</v>
      </c>
      <c r="V40">
        <v>2</v>
      </c>
      <c r="AA40">
        <f t="shared" si="53"/>
        <v>0</v>
      </c>
      <c r="AB40">
        <f t="shared" si="54"/>
        <v>4.902457586315797E-4</v>
      </c>
      <c r="AC40">
        <f t="shared" si="55"/>
        <v>0</v>
      </c>
      <c r="AD40">
        <f t="shared" si="56"/>
        <v>0</v>
      </c>
      <c r="AE40">
        <f t="shared" si="57"/>
        <v>0</v>
      </c>
      <c r="AF40">
        <f t="shared" si="58"/>
        <v>0</v>
      </c>
      <c r="AG40">
        <f t="shared" si="59"/>
        <v>0</v>
      </c>
      <c r="AH40">
        <f t="shared" si="60"/>
        <v>4.902457586315797E-4</v>
      </c>
      <c r="AI40">
        <f t="shared" si="61"/>
        <v>3.4317203104210579E-3</v>
      </c>
      <c r="AJ40">
        <f t="shared" si="62"/>
        <v>0</v>
      </c>
      <c r="AK40">
        <f t="shared" si="63"/>
        <v>4.902457586315797E-4</v>
      </c>
      <c r="AL40">
        <f t="shared" si="64"/>
        <v>4.902457586315797E-4</v>
      </c>
      <c r="AM40">
        <f t="shared" si="65"/>
        <v>9.8049151726315939E-4</v>
      </c>
      <c r="AN40">
        <f t="shared" si="66"/>
        <v>0</v>
      </c>
      <c r="AO40">
        <f t="shared" si="67"/>
        <v>0</v>
      </c>
      <c r="AP40">
        <f t="shared" si="68"/>
        <v>0</v>
      </c>
    </row>
    <row r="41" spans="1:42" x14ac:dyDescent="0.25">
      <c r="A41" t="s">
        <v>59</v>
      </c>
      <c r="B41">
        <v>478.14</v>
      </c>
      <c r="D41">
        <f t="shared" si="52"/>
        <v>2.552617818665645E-4</v>
      </c>
      <c r="E41">
        <f>((G41*B41*(10^(-6)))/1)*100</f>
        <v>8.1857567999999974E-3</v>
      </c>
      <c r="F41">
        <v>24.7</v>
      </c>
      <c r="G41">
        <f>0.5*(100-65.76)/100</f>
        <v>0.17119999999999996</v>
      </c>
      <c r="J41">
        <v>1</v>
      </c>
      <c r="P41">
        <v>1</v>
      </c>
      <c r="Q41">
        <v>9.5</v>
      </c>
      <c r="S41">
        <v>2</v>
      </c>
      <c r="T41">
        <v>1</v>
      </c>
      <c r="V41">
        <v>1</v>
      </c>
      <c r="AA41">
        <f t="shared" si="53"/>
        <v>0</v>
      </c>
      <c r="AB41">
        <f t="shared" si="54"/>
        <v>2.552617818665645E-4</v>
      </c>
      <c r="AC41">
        <f t="shared" si="55"/>
        <v>0</v>
      </c>
      <c r="AD41">
        <f t="shared" si="56"/>
        <v>0</v>
      </c>
      <c r="AE41">
        <f t="shared" si="57"/>
        <v>0</v>
      </c>
      <c r="AF41">
        <f t="shared" si="58"/>
        <v>0</v>
      </c>
      <c r="AG41">
        <f t="shared" si="59"/>
        <v>0</v>
      </c>
      <c r="AH41">
        <f t="shared" si="60"/>
        <v>2.552617818665645E-4</v>
      </c>
      <c r="AI41">
        <f t="shared" si="61"/>
        <v>2.4249869277323628E-3</v>
      </c>
      <c r="AJ41">
        <f t="shared" si="62"/>
        <v>0</v>
      </c>
      <c r="AK41">
        <f t="shared" si="63"/>
        <v>5.10523563733129E-4</v>
      </c>
      <c r="AL41">
        <f t="shared" si="64"/>
        <v>2.552617818665645E-4</v>
      </c>
      <c r="AM41">
        <f t="shared" si="65"/>
        <v>2.552617818665645E-4</v>
      </c>
      <c r="AN41">
        <f t="shared" si="66"/>
        <v>0</v>
      </c>
      <c r="AO41">
        <f t="shared" si="67"/>
        <v>0</v>
      </c>
      <c r="AP41">
        <f t="shared" si="68"/>
        <v>0</v>
      </c>
    </row>
    <row r="42" spans="1:42" x14ac:dyDescent="0.25">
      <c r="A42" t="s">
        <v>92</v>
      </c>
      <c r="B42">
        <f>SUM(B38:B41)/4</f>
        <v>482.89249999999993</v>
      </c>
      <c r="C42">
        <v>3</v>
      </c>
      <c r="D42" t="s">
        <v>51</v>
      </c>
      <c r="F42">
        <f>F38+F39+F40+F41</f>
        <v>100.2</v>
      </c>
      <c r="G42">
        <f>G38+G39+G40+G41</f>
        <v>1</v>
      </c>
    </row>
    <row r="43" spans="1:42" x14ac:dyDescent="0.25">
      <c r="A43" s="1" t="s">
        <v>60</v>
      </c>
      <c r="Z43" s="1" t="s">
        <v>28</v>
      </c>
      <c r="AA43" s="3">
        <f>AA38+AA39+AA40+AA41</f>
        <v>0</v>
      </c>
      <c r="AB43" s="3">
        <f t="shared" ref="AB43:AN43" si="69">AB38+AB39+AB40+AB41</f>
        <v>1.4910150809962883E-3</v>
      </c>
      <c r="AC43" s="3">
        <f t="shared" si="69"/>
        <v>0</v>
      </c>
      <c r="AD43" s="3">
        <f t="shared" si="69"/>
        <v>7.4550754049814414E-4</v>
      </c>
      <c r="AE43" s="3">
        <f t="shared" si="69"/>
        <v>0</v>
      </c>
      <c r="AF43" s="3">
        <f t="shared" si="69"/>
        <v>0</v>
      </c>
      <c r="AG43" s="3">
        <f t="shared" si="69"/>
        <v>0</v>
      </c>
      <c r="AH43" s="3">
        <f t="shared" si="69"/>
        <v>7.4550754049814414E-4</v>
      </c>
      <c r="AI43" s="3">
        <f t="shared" si="69"/>
        <v>1.1075260021640429E-2</v>
      </c>
      <c r="AJ43" s="3">
        <f t="shared" si="69"/>
        <v>-2.2365226214944326E-3</v>
      </c>
      <c r="AK43" s="3">
        <f t="shared" si="69"/>
        <v>1.7462768628628529E-3</v>
      </c>
      <c r="AL43" s="3">
        <f t="shared" si="69"/>
        <v>1.0007693223647086E-3</v>
      </c>
      <c r="AM43" s="3">
        <f t="shared" si="69"/>
        <v>4.7080292197538799E-3</v>
      </c>
      <c r="AN43" s="3">
        <f t="shared" si="69"/>
        <v>7.4550754049814414E-4</v>
      </c>
      <c r="AO43" s="3">
        <f>SUM(AO38:AO41)</f>
        <v>0</v>
      </c>
      <c r="AP43" s="3">
        <f>SUM(AP38:AP41)</f>
        <v>0</v>
      </c>
    </row>
    <row r="45" spans="1:42" x14ac:dyDescent="0.25">
      <c r="A45" t="s">
        <v>61</v>
      </c>
      <c r="B45">
        <v>170.06</v>
      </c>
      <c r="D45">
        <f>(E45/$E$48)*($C$48/100)*24*(1/B45)</f>
        <v>2.7698468053931726E-3</v>
      </c>
      <c r="E45">
        <f t="shared" ref="E45:E47" si="70">((F45*B45*(10^(-6)))/1)*100</f>
        <v>2.1937739999999999</v>
      </c>
      <c r="F45">
        <v>129</v>
      </c>
      <c r="L45">
        <v>1</v>
      </c>
      <c r="Q45">
        <v>0</v>
      </c>
      <c r="R45">
        <v>0</v>
      </c>
      <c r="S45">
        <v>1</v>
      </c>
      <c r="AA45">
        <f>$D45*I45</f>
        <v>0</v>
      </c>
      <c r="AB45">
        <f t="shared" ref="AB45:AL45" si="71">$D45*J45</f>
        <v>0</v>
      </c>
      <c r="AC45">
        <f t="shared" si="71"/>
        <v>0</v>
      </c>
      <c r="AD45">
        <f t="shared" si="71"/>
        <v>2.7698468053931726E-3</v>
      </c>
      <c r="AE45">
        <f t="shared" si="71"/>
        <v>0</v>
      </c>
      <c r="AF45">
        <f t="shared" si="71"/>
        <v>0</v>
      </c>
      <c r="AG45">
        <f t="shared" si="71"/>
        <v>0</v>
      </c>
      <c r="AH45">
        <f t="shared" si="71"/>
        <v>0</v>
      </c>
      <c r="AI45">
        <f t="shared" si="71"/>
        <v>0</v>
      </c>
      <c r="AJ45">
        <f t="shared" si="71"/>
        <v>0</v>
      </c>
      <c r="AK45">
        <f t="shared" si="71"/>
        <v>2.7698468053931726E-3</v>
      </c>
      <c r="AL45">
        <f t="shared" si="71"/>
        <v>0</v>
      </c>
      <c r="AM45">
        <f>$D45*V45</f>
        <v>0</v>
      </c>
      <c r="AN45">
        <f>$D45*W45</f>
        <v>0</v>
      </c>
      <c r="AO45">
        <f t="shared" ref="AO45:AP45" si="72">$D45*X45</f>
        <v>0</v>
      </c>
      <c r="AP45">
        <f t="shared" si="72"/>
        <v>0</v>
      </c>
    </row>
    <row r="46" spans="1:42" x14ac:dyDescent="0.25">
      <c r="A46" t="s">
        <v>62</v>
      </c>
      <c r="B46">
        <v>105.09</v>
      </c>
      <c r="D46">
        <f t="shared" ref="D46:D47" si="73">(E46/$E$48)*($C$48/100)*24*(1/B46)</f>
        <v>2.7698468053931734E-3</v>
      </c>
      <c r="E46">
        <f t="shared" si="70"/>
        <v>1.355661</v>
      </c>
      <c r="F46">
        <v>129</v>
      </c>
      <c r="L46">
        <v>1</v>
      </c>
      <c r="R46">
        <v>-1</v>
      </c>
      <c r="S46">
        <v>0</v>
      </c>
      <c r="T46">
        <v>1</v>
      </c>
      <c r="AA46">
        <f t="shared" ref="AA46:AA47" si="74">$D46*I46</f>
        <v>0</v>
      </c>
      <c r="AB46">
        <f t="shared" ref="AB46:AB47" si="75">$D46*J46</f>
        <v>0</v>
      </c>
      <c r="AC46">
        <f t="shared" ref="AC46:AC47" si="76">$D46*K46</f>
        <v>0</v>
      </c>
      <c r="AD46">
        <f t="shared" ref="AD46:AD47" si="77">$D46*L46</f>
        <v>2.7698468053931734E-3</v>
      </c>
      <c r="AE46">
        <f t="shared" ref="AE46:AE47" si="78">$D46*M46</f>
        <v>0</v>
      </c>
      <c r="AF46">
        <f t="shared" ref="AF46:AF47" si="79">$D46*N46</f>
        <v>0</v>
      </c>
      <c r="AG46">
        <f t="shared" ref="AG46:AG47" si="80">$D46*O46</f>
        <v>0</v>
      </c>
      <c r="AH46">
        <f t="shared" ref="AH46:AH47" si="81">$D46*P46</f>
        <v>0</v>
      </c>
      <c r="AI46">
        <f t="shared" ref="AI46:AI47" si="82">$D46*Q46</f>
        <v>0</v>
      </c>
      <c r="AJ46">
        <f t="shared" ref="AJ46:AJ47" si="83">$D46*R46</f>
        <v>-2.7698468053931734E-3</v>
      </c>
      <c r="AK46">
        <f t="shared" ref="AK46:AK47" si="84">$D46*S46</f>
        <v>0</v>
      </c>
      <c r="AL46">
        <f t="shared" ref="AL46:AL47" si="85">$D46*T46</f>
        <v>2.7698468053931734E-3</v>
      </c>
      <c r="AM46">
        <f t="shared" ref="AM46:AM47" si="86">$D46*V46</f>
        <v>0</v>
      </c>
      <c r="AN46">
        <f t="shared" ref="AN46:AN47" si="87">$D46*W46</f>
        <v>0</v>
      </c>
      <c r="AO46">
        <f t="shared" ref="AO46:AO47" si="88">$D46*X46</f>
        <v>0</v>
      </c>
      <c r="AP46">
        <f t="shared" ref="AP46:AP47" si="89">$D46*Y46</f>
        <v>0</v>
      </c>
    </row>
    <row r="47" spans="1:42" x14ac:dyDescent="0.25">
      <c r="A47" t="s">
        <v>63</v>
      </c>
      <c r="B47">
        <f>0.43*255.42+0.33*253.4+0.24*281.46</f>
        <v>261.00299999999999</v>
      </c>
      <c r="D47">
        <f t="shared" si="73"/>
        <v>5.5396936107863452E-3</v>
      </c>
      <c r="E47">
        <f t="shared" si="70"/>
        <v>6.733877399999999</v>
      </c>
      <c r="F47">
        <v>258</v>
      </c>
      <c r="N47">
        <v>8</v>
      </c>
      <c r="Q47">
        <v>7</v>
      </c>
      <c r="S47">
        <v>14</v>
      </c>
      <c r="AA47">
        <f t="shared" si="74"/>
        <v>0</v>
      </c>
      <c r="AB47">
        <f t="shared" si="75"/>
        <v>0</v>
      </c>
      <c r="AC47">
        <f t="shared" si="76"/>
        <v>0</v>
      </c>
      <c r="AD47">
        <f t="shared" si="77"/>
        <v>0</v>
      </c>
      <c r="AE47">
        <f t="shared" si="78"/>
        <v>0</v>
      </c>
      <c r="AF47">
        <f t="shared" si="79"/>
        <v>4.4317548886290761E-2</v>
      </c>
      <c r="AG47">
        <f t="shared" si="80"/>
        <v>0</v>
      </c>
      <c r="AH47">
        <f t="shared" si="81"/>
        <v>0</v>
      </c>
      <c r="AI47">
        <f t="shared" si="82"/>
        <v>3.8777855275504418E-2</v>
      </c>
      <c r="AJ47">
        <f t="shared" si="83"/>
        <v>0</v>
      </c>
      <c r="AK47">
        <f t="shared" si="84"/>
        <v>7.7555710551008836E-2</v>
      </c>
      <c r="AL47">
        <f t="shared" si="85"/>
        <v>0</v>
      </c>
      <c r="AM47">
        <f t="shared" si="86"/>
        <v>0</v>
      </c>
      <c r="AN47">
        <f t="shared" si="87"/>
        <v>0</v>
      </c>
      <c r="AO47">
        <f t="shared" si="88"/>
        <v>0</v>
      </c>
      <c r="AP47">
        <f t="shared" si="89"/>
        <v>0</v>
      </c>
    </row>
    <row r="48" spans="1:42" x14ac:dyDescent="0.25">
      <c r="A48" t="s">
        <v>74</v>
      </c>
      <c r="C48">
        <v>9.1999999999999993</v>
      </c>
      <c r="D48" t="s">
        <v>51</v>
      </c>
      <c r="E48">
        <f>SUM(E45:E47)</f>
        <v>10.2833124</v>
      </c>
      <c r="F48">
        <f>F45+F46+F47</f>
        <v>516</v>
      </c>
    </row>
    <row r="49" spans="1:42" x14ac:dyDescent="0.25">
      <c r="A49" s="1" t="s">
        <v>64</v>
      </c>
      <c r="Z49" s="1" t="s">
        <v>30</v>
      </c>
      <c r="AA49" s="3">
        <f>AA45+AA46+AA47</f>
        <v>0</v>
      </c>
      <c r="AB49" s="3">
        <f t="shared" ref="AB49:AN49" si="90">AB45+AB46+AB47</f>
        <v>0</v>
      </c>
      <c r="AC49" s="3">
        <f t="shared" si="90"/>
        <v>0</v>
      </c>
      <c r="AD49" s="3">
        <f t="shared" si="90"/>
        <v>5.539693610786346E-3</v>
      </c>
      <c r="AE49" s="3">
        <f t="shared" si="90"/>
        <v>0</v>
      </c>
      <c r="AF49" s="3">
        <f t="shared" si="90"/>
        <v>4.4317548886290761E-2</v>
      </c>
      <c r="AG49" s="3">
        <f t="shared" si="90"/>
        <v>0</v>
      </c>
      <c r="AH49" s="3">
        <f t="shared" si="90"/>
        <v>0</v>
      </c>
      <c r="AI49" s="3">
        <f t="shared" si="90"/>
        <v>3.8777855275504418E-2</v>
      </c>
      <c r="AJ49" s="3">
        <f t="shared" si="90"/>
        <v>-2.7698468053931734E-3</v>
      </c>
      <c r="AK49" s="3">
        <f t="shared" si="90"/>
        <v>8.0325557356402011E-2</v>
      </c>
      <c r="AL49" s="3">
        <f t="shared" si="90"/>
        <v>2.7698468053931734E-3</v>
      </c>
      <c r="AM49" s="3">
        <f t="shared" si="90"/>
        <v>0</v>
      </c>
      <c r="AN49" s="3">
        <f t="shared" si="90"/>
        <v>0</v>
      </c>
      <c r="AO49" s="3">
        <f>SUM(AO45:AO47)</f>
        <v>0</v>
      </c>
      <c r="AP49" s="3">
        <f>SUM(AP45:AP47)</f>
        <v>0</v>
      </c>
    </row>
    <row r="50" spans="1:42" x14ac:dyDescent="0.25"/>
    <row r="51" spans="1:42" x14ac:dyDescent="0.25">
      <c r="A51" t="s">
        <v>75</v>
      </c>
      <c r="B51" s="4">
        <v>564.29</v>
      </c>
      <c r="C51">
        <f>((F51/$F$58)*100)*0.04</f>
        <v>0.42175957018132987</v>
      </c>
      <c r="D51">
        <f>(E51/$E$58)*($C$58/100)*24*(1/B51)</f>
        <v>2.4343740201511317E-4</v>
      </c>
      <c r="E51">
        <f>((F51*B51*(10^(-6)))/1)*100</f>
        <v>0.88593529999999987</v>
      </c>
      <c r="F51">
        <v>15.7</v>
      </c>
      <c r="I51">
        <v>1</v>
      </c>
      <c r="Q51">
        <v>1</v>
      </c>
      <c r="AA51">
        <f>$D51*I51</f>
        <v>2.4343740201511317E-4</v>
      </c>
      <c r="AB51">
        <f t="shared" ref="AB51:AL51" si="91">$D51*J51</f>
        <v>0</v>
      </c>
      <c r="AC51">
        <f t="shared" si="91"/>
        <v>0</v>
      </c>
      <c r="AD51">
        <f t="shared" si="91"/>
        <v>0</v>
      </c>
      <c r="AE51">
        <f t="shared" si="91"/>
        <v>0</v>
      </c>
      <c r="AF51">
        <f t="shared" si="91"/>
        <v>0</v>
      </c>
      <c r="AG51">
        <f t="shared" si="91"/>
        <v>0</v>
      </c>
      <c r="AH51">
        <f t="shared" si="91"/>
        <v>0</v>
      </c>
      <c r="AI51">
        <f t="shared" si="91"/>
        <v>2.4343740201511317E-4</v>
      </c>
      <c r="AJ51">
        <f t="shared" si="91"/>
        <v>0</v>
      </c>
      <c r="AK51">
        <f t="shared" si="91"/>
        <v>0</v>
      </c>
      <c r="AL51">
        <f t="shared" si="91"/>
        <v>0</v>
      </c>
      <c r="AM51">
        <f>$D51*V51</f>
        <v>0</v>
      </c>
      <c r="AN51">
        <f>$D51*W51</f>
        <v>0</v>
      </c>
      <c r="AO51">
        <f t="shared" ref="AO51:AP51" si="92">$D51*X51</f>
        <v>0</v>
      </c>
      <c r="AP51">
        <f t="shared" si="92"/>
        <v>0</v>
      </c>
    </row>
    <row r="52" spans="1:42" x14ac:dyDescent="0.25">
      <c r="A52" t="s">
        <v>76</v>
      </c>
      <c r="B52" s="4">
        <v>445.24</v>
      </c>
      <c r="C52">
        <f t="shared" ref="C52:C57" si="93">((F52/$F$58)*100)*0.04</f>
        <v>0.63129617192746823</v>
      </c>
      <c r="D52">
        <f t="shared" ref="D52:D57" si="94">(E52/$E$58)*($C$58/100)*24*(1/B52)</f>
        <v>3.6438082467230308E-4</v>
      </c>
      <c r="E52">
        <f t="shared" ref="E52:E56" si="95">((F52*B52*(10^(-6)))/1)*100</f>
        <v>1.046314</v>
      </c>
      <c r="F52">
        <v>23.5</v>
      </c>
      <c r="L52">
        <v>1</v>
      </c>
      <c r="Q52">
        <v>3</v>
      </c>
      <c r="R52">
        <v>-1</v>
      </c>
      <c r="S52">
        <v>0</v>
      </c>
      <c r="T52">
        <v>1</v>
      </c>
      <c r="AA52">
        <f t="shared" ref="AA52:AA57" si="96">$D52*I52</f>
        <v>0</v>
      </c>
      <c r="AB52">
        <f t="shared" ref="AB52:AB57" si="97">$D52*J52</f>
        <v>0</v>
      </c>
      <c r="AC52">
        <f t="shared" ref="AC52:AC57" si="98">$D52*K52</f>
        <v>0</v>
      </c>
      <c r="AD52">
        <f t="shared" ref="AD52:AD57" si="99">$D52*L52</f>
        <v>3.6438082467230308E-4</v>
      </c>
      <c r="AE52">
        <f t="shared" ref="AE52:AE57" si="100">$D52*M52</f>
        <v>0</v>
      </c>
      <c r="AF52">
        <f t="shared" ref="AF52:AF57" si="101">$D52*N52</f>
        <v>0</v>
      </c>
      <c r="AG52">
        <f t="shared" ref="AG52:AG57" si="102">$D52*O52</f>
        <v>0</v>
      </c>
      <c r="AH52">
        <f t="shared" ref="AH52:AH57" si="103">$D52*P52</f>
        <v>0</v>
      </c>
      <c r="AI52">
        <f t="shared" ref="AI52:AI57" si="104">$D52*Q52</f>
        <v>1.0931424740169091E-3</v>
      </c>
      <c r="AJ52">
        <f t="shared" ref="AJ52:AJ57" si="105">$D52*R52</f>
        <v>-3.6438082467230308E-4</v>
      </c>
      <c r="AK52">
        <f t="shared" ref="AK52:AK57" si="106">$D52*S52</f>
        <v>0</v>
      </c>
      <c r="AL52">
        <f t="shared" ref="AL52:AL57" si="107">$D52*T52</f>
        <v>3.6438082467230308E-4</v>
      </c>
      <c r="AM52">
        <f t="shared" ref="AM52:AM57" si="108">$D52*V52</f>
        <v>0</v>
      </c>
      <c r="AN52">
        <f t="shared" ref="AN52:AN57" si="109">$D52*W52</f>
        <v>0</v>
      </c>
      <c r="AO52">
        <f t="shared" ref="AO52:AO57" si="110">$D52*X52</f>
        <v>0</v>
      </c>
      <c r="AP52">
        <f t="shared" ref="AP52:AP57" si="111">$D52*Y52</f>
        <v>0</v>
      </c>
    </row>
    <row r="53" spans="1:42" x14ac:dyDescent="0.25">
      <c r="A53" t="s">
        <v>77</v>
      </c>
      <c r="B53" s="4">
        <v>243.36</v>
      </c>
      <c r="C53">
        <f t="shared" si="93"/>
        <v>0.63129617192746823</v>
      </c>
      <c r="D53">
        <f t="shared" si="94"/>
        <v>3.6438082467230313E-4</v>
      </c>
      <c r="E53">
        <f t="shared" si="95"/>
        <v>0.57189599999999996</v>
      </c>
      <c r="F53">
        <v>23.5</v>
      </c>
      <c r="N53">
        <v>7</v>
      </c>
      <c r="Q53">
        <v>6</v>
      </c>
      <c r="S53">
        <v>11</v>
      </c>
      <c r="AA53">
        <f t="shared" si="96"/>
        <v>0</v>
      </c>
      <c r="AB53">
        <f t="shared" si="97"/>
        <v>0</v>
      </c>
      <c r="AC53">
        <f t="shared" si="98"/>
        <v>0</v>
      </c>
      <c r="AD53">
        <f t="shared" si="99"/>
        <v>0</v>
      </c>
      <c r="AE53">
        <f t="shared" si="100"/>
        <v>0</v>
      </c>
      <c r="AF53">
        <f t="shared" si="101"/>
        <v>2.5506657727061219E-3</v>
      </c>
      <c r="AG53">
        <f t="shared" si="102"/>
        <v>0</v>
      </c>
      <c r="AH53">
        <f t="shared" si="103"/>
        <v>0</v>
      </c>
      <c r="AI53">
        <f t="shared" si="104"/>
        <v>2.1862849480338187E-3</v>
      </c>
      <c r="AJ53">
        <f t="shared" si="105"/>
        <v>0</v>
      </c>
      <c r="AK53">
        <f t="shared" si="106"/>
        <v>4.0081890713953346E-3</v>
      </c>
      <c r="AL53">
        <f t="shared" si="107"/>
        <v>0</v>
      </c>
      <c r="AM53">
        <f t="shared" si="108"/>
        <v>0</v>
      </c>
      <c r="AN53">
        <f t="shared" si="109"/>
        <v>0</v>
      </c>
      <c r="AO53">
        <f t="shared" si="110"/>
        <v>0</v>
      </c>
      <c r="AP53">
        <f t="shared" si="111"/>
        <v>0</v>
      </c>
    </row>
    <row r="54" spans="1:42" x14ac:dyDescent="0.25">
      <c r="A54" t="s">
        <v>78</v>
      </c>
      <c r="B54" s="4">
        <v>227.37</v>
      </c>
      <c r="C54">
        <f t="shared" si="93"/>
        <v>0.63129617192746823</v>
      </c>
      <c r="D54">
        <f t="shared" si="94"/>
        <v>3.6438082467230308E-4</v>
      </c>
      <c r="E54">
        <f t="shared" si="95"/>
        <v>0.53431949999999995</v>
      </c>
      <c r="F54">
        <v>23.5</v>
      </c>
      <c r="N54">
        <v>7</v>
      </c>
      <c r="Q54">
        <v>6</v>
      </c>
      <c r="S54">
        <v>12</v>
      </c>
      <c r="AA54">
        <f t="shared" si="96"/>
        <v>0</v>
      </c>
      <c r="AB54">
        <f t="shared" si="97"/>
        <v>0</v>
      </c>
      <c r="AC54">
        <f t="shared" si="98"/>
        <v>0</v>
      </c>
      <c r="AD54">
        <f t="shared" si="99"/>
        <v>0</v>
      </c>
      <c r="AE54">
        <f t="shared" si="100"/>
        <v>0</v>
      </c>
      <c r="AF54">
        <f t="shared" si="101"/>
        <v>2.5506657727061214E-3</v>
      </c>
      <c r="AG54">
        <f t="shared" si="102"/>
        <v>0</v>
      </c>
      <c r="AH54">
        <f t="shared" si="103"/>
        <v>0</v>
      </c>
      <c r="AI54">
        <f t="shared" si="104"/>
        <v>2.1862849480338183E-3</v>
      </c>
      <c r="AJ54">
        <f t="shared" si="105"/>
        <v>0</v>
      </c>
      <c r="AK54">
        <f t="shared" si="106"/>
        <v>4.3725698960676365E-3</v>
      </c>
      <c r="AL54">
        <f t="shared" si="107"/>
        <v>0</v>
      </c>
      <c r="AM54">
        <f t="shared" si="108"/>
        <v>0</v>
      </c>
      <c r="AN54">
        <f t="shared" si="109"/>
        <v>0</v>
      </c>
      <c r="AO54">
        <f t="shared" si="110"/>
        <v>0</v>
      </c>
      <c r="AP54">
        <f t="shared" si="111"/>
        <v>0</v>
      </c>
    </row>
    <row r="55" spans="1:42" x14ac:dyDescent="0.25">
      <c r="A55" t="s">
        <v>65</v>
      </c>
      <c r="B55" s="4">
        <v>321.18</v>
      </c>
      <c r="C55">
        <f t="shared" si="93"/>
        <v>0.63129617192746823</v>
      </c>
      <c r="D55">
        <f t="shared" si="94"/>
        <v>3.6438082467230319E-4</v>
      </c>
      <c r="E55">
        <f t="shared" si="95"/>
        <v>0.75477300000000003</v>
      </c>
      <c r="F55">
        <v>23.5</v>
      </c>
      <c r="J55">
        <v>1</v>
      </c>
      <c r="L55">
        <v>1</v>
      </c>
      <c r="Q55">
        <v>2</v>
      </c>
      <c r="AA55">
        <f t="shared" si="96"/>
        <v>0</v>
      </c>
      <c r="AB55">
        <f t="shared" si="97"/>
        <v>3.6438082467230319E-4</v>
      </c>
      <c r="AC55">
        <f t="shared" si="98"/>
        <v>0</v>
      </c>
      <c r="AD55">
        <f t="shared" si="99"/>
        <v>3.6438082467230319E-4</v>
      </c>
      <c r="AE55">
        <f t="shared" si="100"/>
        <v>0</v>
      </c>
      <c r="AF55">
        <f t="shared" si="101"/>
        <v>0</v>
      </c>
      <c r="AG55">
        <f t="shared" si="102"/>
        <v>0</v>
      </c>
      <c r="AH55">
        <f t="shared" si="103"/>
        <v>0</v>
      </c>
      <c r="AI55">
        <f t="shared" si="104"/>
        <v>7.2876164934460638E-4</v>
      </c>
      <c r="AJ55">
        <f t="shared" si="105"/>
        <v>0</v>
      </c>
      <c r="AK55">
        <f t="shared" si="106"/>
        <v>0</v>
      </c>
      <c r="AL55">
        <f t="shared" si="107"/>
        <v>0</v>
      </c>
      <c r="AM55">
        <f t="shared" si="108"/>
        <v>0</v>
      </c>
      <c r="AN55">
        <f t="shared" si="109"/>
        <v>0</v>
      </c>
      <c r="AO55">
        <f t="shared" si="110"/>
        <v>0</v>
      </c>
      <c r="AP55">
        <f t="shared" si="111"/>
        <v>0</v>
      </c>
    </row>
    <row r="56" spans="1:42" x14ac:dyDescent="0.25">
      <c r="A56" t="s">
        <v>79</v>
      </c>
      <c r="B56" s="4">
        <v>617.36</v>
      </c>
      <c r="C56">
        <f t="shared" si="93"/>
        <v>0.63129617192746823</v>
      </c>
      <c r="D56">
        <f t="shared" si="94"/>
        <v>3.6438082467230308E-4</v>
      </c>
      <c r="E56">
        <f t="shared" si="95"/>
        <v>1.450796</v>
      </c>
      <c r="F56">
        <v>23.5</v>
      </c>
      <c r="I56">
        <v>1.5</v>
      </c>
      <c r="Q56">
        <v>1</v>
      </c>
      <c r="S56">
        <v>-4</v>
      </c>
      <c r="AA56">
        <f t="shared" si="96"/>
        <v>5.4657123700845456E-4</v>
      </c>
      <c r="AB56">
        <f t="shared" si="97"/>
        <v>0</v>
      </c>
      <c r="AC56">
        <f t="shared" si="98"/>
        <v>0</v>
      </c>
      <c r="AD56">
        <f t="shared" si="99"/>
        <v>0</v>
      </c>
      <c r="AE56">
        <f t="shared" si="100"/>
        <v>0</v>
      </c>
      <c r="AF56">
        <f t="shared" si="101"/>
        <v>0</v>
      </c>
      <c r="AG56">
        <f t="shared" si="102"/>
        <v>0</v>
      </c>
      <c r="AH56">
        <f t="shared" si="103"/>
        <v>0</v>
      </c>
      <c r="AI56">
        <f t="shared" si="104"/>
        <v>3.6438082467230308E-4</v>
      </c>
      <c r="AJ56">
        <f t="shared" si="105"/>
        <v>0</v>
      </c>
      <c r="AK56">
        <f t="shared" si="106"/>
        <v>-1.4575232986892123E-3</v>
      </c>
      <c r="AL56">
        <f t="shared" si="107"/>
        <v>0</v>
      </c>
      <c r="AM56">
        <f t="shared" si="108"/>
        <v>0</v>
      </c>
      <c r="AN56">
        <f t="shared" si="109"/>
        <v>0</v>
      </c>
      <c r="AO56">
        <f t="shared" si="110"/>
        <v>0</v>
      </c>
      <c r="AP56">
        <f t="shared" si="111"/>
        <v>0</v>
      </c>
    </row>
    <row r="57" spans="1:42" x14ac:dyDescent="0.25">
      <c r="A57" t="s">
        <v>80</v>
      </c>
      <c r="B57" s="4">
        <v>603.37</v>
      </c>
      <c r="C57">
        <f t="shared" si="93"/>
        <v>0.42175957018132987</v>
      </c>
      <c r="D57">
        <f t="shared" si="94"/>
        <v>2.4343740201511314E-4</v>
      </c>
      <c r="E57">
        <f>((F57*B57*(10^(-6)))/1)*100</f>
        <v>0.94729089999999994</v>
      </c>
      <c r="F57">
        <v>15.7</v>
      </c>
      <c r="I57">
        <v>1</v>
      </c>
      <c r="Q57">
        <v>1</v>
      </c>
      <c r="V57">
        <v>1</v>
      </c>
      <c r="AA57">
        <f t="shared" si="96"/>
        <v>2.4343740201511314E-4</v>
      </c>
      <c r="AB57">
        <f t="shared" si="97"/>
        <v>0</v>
      </c>
      <c r="AC57">
        <f t="shared" si="98"/>
        <v>0</v>
      </c>
      <c r="AD57">
        <f t="shared" si="99"/>
        <v>0</v>
      </c>
      <c r="AE57">
        <f t="shared" si="100"/>
        <v>0</v>
      </c>
      <c r="AF57">
        <f t="shared" si="101"/>
        <v>0</v>
      </c>
      <c r="AG57">
        <f t="shared" si="102"/>
        <v>0</v>
      </c>
      <c r="AH57">
        <f t="shared" si="103"/>
        <v>0</v>
      </c>
      <c r="AI57">
        <f t="shared" si="104"/>
        <v>2.4343740201511314E-4</v>
      </c>
      <c r="AJ57">
        <f t="shared" si="105"/>
        <v>0</v>
      </c>
      <c r="AK57">
        <f t="shared" si="106"/>
        <v>0</v>
      </c>
      <c r="AL57">
        <f t="shared" si="107"/>
        <v>0</v>
      </c>
      <c r="AM57">
        <f t="shared" si="108"/>
        <v>2.4343740201511314E-4</v>
      </c>
      <c r="AN57">
        <f t="shared" si="109"/>
        <v>0</v>
      </c>
      <c r="AO57">
        <f t="shared" si="110"/>
        <v>0</v>
      </c>
      <c r="AP57">
        <f t="shared" si="111"/>
        <v>0</v>
      </c>
    </row>
    <row r="58" spans="1:42" x14ac:dyDescent="0.25">
      <c r="A58" t="s">
        <v>74</v>
      </c>
      <c r="C58">
        <v>4</v>
      </c>
      <c r="E58">
        <f>SUM(E51:E57)</f>
        <v>6.1913247</v>
      </c>
      <c r="F58">
        <f>F51+F52+F53+F54+F55+F56+F57</f>
        <v>148.89999999999998</v>
      </c>
    </row>
    <row r="59" spans="1:42" x14ac:dyDescent="0.25">
      <c r="A59" s="1" t="s">
        <v>66</v>
      </c>
      <c r="Z59" s="1" t="s">
        <v>32</v>
      </c>
      <c r="AA59" s="3">
        <f>AA51+AA52+AA53+AA54+AA55+AA56+AA57</f>
        <v>1.0334460410386808E-3</v>
      </c>
      <c r="AB59" s="3">
        <f t="shared" ref="AB59:AN59" si="112">AB51+AB52+AB53+AB54+AB55+AB56+AB57</f>
        <v>3.6438082467230319E-4</v>
      </c>
      <c r="AC59" s="3">
        <f t="shared" si="112"/>
        <v>0</v>
      </c>
      <c r="AD59" s="3">
        <f t="shared" si="112"/>
        <v>7.2876164934460627E-4</v>
      </c>
      <c r="AE59" s="3">
        <f t="shared" si="112"/>
        <v>0</v>
      </c>
      <c r="AF59" s="3">
        <f t="shared" si="112"/>
        <v>5.1013315454122438E-3</v>
      </c>
      <c r="AG59" s="3">
        <f t="shared" si="112"/>
        <v>0</v>
      </c>
      <c r="AH59" s="3">
        <f t="shared" si="112"/>
        <v>0</v>
      </c>
      <c r="AI59" s="3">
        <f t="shared" si="112"/>
        <v>7.0457296481316817E-3</v>
      </c>
      <c r="AJ59" s="3">
        <f t="shared" si="112"/>
        <v>-3.6438082467230308E-4</v>
      </c>
      <c r="AK59" s="3">
        <f t="shared" si="112"/>
        <v>6.9232356687737584E-3</v>
      </c>
      <c r="AL59" s="3">
        <f t="shared" si="112"/>
        <v>3.6438082467230308E-4</v>
      </c>
      <c r="AM59" s="3">
        <f t="shared" si="112"/>
        <v>2.4343740201511314E-4</v>
      </c>
      <c r="AN59" s="3">
        <f t="shared" si="112"/>
        <v>0</v>
      </c>
      <c r="AO59" s="3">
        <f>SUM(AO51:AO57)</f>
        <v>0</v>
      </c>
      <c r="AP59" s="3">
        <f>SUM(AP51:AP57)</f>
        <v>0</v>
      </c>
    </row>
    <row r="61" spans="1:42" x14ac:dyDescent="0.25">
      <c r="A61" s="32" t="s">
        <v>81</v>
      </c>
      <c r="B61" s="33">
        <v>605.34</v>
      </c>
      <c r="D61">
        <f>(E61/$E$66)*($C$66/100)*24*(1/B61)</f>
        <v>4.0061204618166641E-4</v>
      </c>
      <c r="E61">
        <f t="shared" ref="E61:E65" si="113">((F61*B61*(10^(-6)))/1)*100</f>
        <v>1.6707384000000003</v>
      </c>
      <c r="F61">
        <v>27.6</v>
      </c>
      <c r="I61">
        <v>1</v>
      </c>
      <c r="N61">
        <v>1</v>
      </c>
      <c r="Q61">
        <v>2</v>
      </c>
      <c r="V61">
        <v>1</v>
      </c>
      <c r="AA61">
        <f>$D61*I61</f>
        <v>4.0061204618166641E-4</v>
      </c>
      <c r="AB61">
        <f t="shared" ref="AB61:AL61" si="114">$D61*J61</f>
        <v>0</v>
      </c>
      <c r="AC61">
        <f t="shared" si="114"/>
        <v>0</v>
      </c>
      <c r="AD61">
        <f t="shared" si="114"/>
        <v>0</v>
      </c>
      <c r="AE61">
        <f t="shared" si="114"/>
        <v>0</v>
      </c>
      <c r="AF61">
        <f t="shared" si="114"/>
        <v>4.0061204618166641E-4</v>
      </c>
      <c r="AG61">
        <f t="shared" si="114"/>
        <v>0</v>
      </c>
      <c r="AH61">
        <f t="shared" si="114"/>
        <v>0</v>
      </c>
      <c r="AI61">
        <f t="shared" si="114"/>
        <v>8.0122409236333281E-4</v>
      </c>
      <c r="AJ61">
        <f t="shared" si="114"/>
        <v>0</v>
      </c>
      <c r="AK61">
        <f t="shared" si="114"/>
        <v>0</v>
      </c>
      <c r="AL61">
        <f t="shared" si="114"/>
        <v>0</v>
      </c>
      <c r="AM61">
        <f>$D61*V61</f>
        <v>4.0061204618166641E-4</v>
      </c>
      <c r="AN61">
        <f>$D61*W61</f>
        <v>0</v>
      </c>
      <c r="AO61">
        <f t="shared" ref="AO61:AP61" si="115">$D61*X61</f>
        <v>0</v>
      </c>
      <c r="AP61">
        <f t="shared" si="115"/>
        <v>0</v>
      </c>
    </row>
    <row r="62" spans="1:42" x14ac:dyDescent="0.25">
      <c r="A62" s="32" t="s">
        <v>82</v>
      </c>
      <c r="B62" s="4">
        <v>676.4</v>
      </c>
      <c r="D62">
        <f t="shared" ref="D62:D65" si="116">(E62/$E$66)*($C$66/100)*24*(1/B62)</f>
        <v>4.0061204618166646E-4</v>
      </c>
      <c r="E62">
        <f t="shared" si="113"/>
        <v>1.8668640000000001</v>
      </c>
      <c r="F62">
        <v>27.6</v>
      </c>
      <c r="I62">
        <v>1</v>
      </c>
      <c r="L62">
        <v>1</v>
      </c>
      <c r="N62">
        <v>1</v>
      </c>
      <c r="Q62">
        <v>3</v>
      </c>
      <c r="S62">
        <v>1</v>
      </c>
      <c r="V62">
        <v>1</v>
      </c>
      <c r="AA62">
        <f t="shared" ref="AA62:AA65" si="117">$D62*I62</f>
        <v>4.0061204618166646E-4</v>
      </c>
      <c r="AB62">
        <f t="shared" ref="AB62:AB65" si="118">$D62*J62</f>
        <v>0</v>
      </c>
      <c r="AC62">
        <f t="shared" ref="AC62:AC65" si="119">$D62*K62</f>
        <v>0</v>
      </c>
      <c r="AD62">
        <f t="shared" ref="AD62:AD65" si="120">$D62*L62</f>
        <v>4.0061204618166646E-4</v>
      </c>
      <c r="AE62">
        <f t="shared" ref="AE62:AE65" si="121">$D62*M62</f>
        <v>0</v>
      </c>
      <c r="AF62">
        <f t="shared" ref="AF62:AF65" si="122">$D62*N62</f>
        <v>4.0061204618166646E-4</v>
      </c>
      <c r="AG62">
        <f t="shared" ref="AG62:AG65" si="123">$D62*O62</f>
        <v>0</v>
      </c>
      <c r="AH62">
        <f t="shared" ref="AH62:AH65" si="124">$D62*P62</f>
        <v>0</v>
      </c>
      <c r="AI62">
        <f t="shared" ref="AI62:AI65" si="125">$D62*Q62</f>
        <v>1.2018361385449994E-3</v>
      </c>
      <c r="AJ62">
        <f t="shared" ref="AJ62:AJ65" si="126">$D62*R62</f>
        <v>0</v>
      </c>
      <c r="AK62">
        <f t="shared" ref="AK62:AK65" si="127">$D62*S62</f>
        <v>4.0061204618166646E-4</v>
      </c>
      <c r="AL62">
        <f t="shared" ref="AL62:AL65" si="128">$D62*T62</f>
        <v>0</v>
      </c>
      <c r="AM62">
        <f t="shared" ref="AM62:AM65" si="129">$D62*V62</f>
        <v>4.0061204618166646E-4</v>
      </c>
      <c r="AN62">
        <f t="shared" ref="AN62:AN65" si="130">$D62*W62</f>
        <v>0</v>
      </c>
      <c r="AO62">
        <f t="shared" ref="AO62:AO65" si="131">$D62*X62</f>
        <v>0</v>
      </c>
      <c r="AP62">
        <f t="shared" ref="AP62:AP65" si="132">$D62*Y62</f>
        <v>0</v>
      </c>
    </row>
    <row r="63" spans="1:42" x14ac:dyDescent="0.25">
      <c r="A63" t="s">
        <v>21</v>
      </c>
      <c r="B63">
        <v>89.09</v>
      </c>
      <c r="D63">
        <f t="shared" si="116"/>
        <v>8.012240923633326E-4</v>
      </c>
      <c r="E63">
        <f t="shared" si="113"/>
        <v>0.49177679999999996</v>
      </c>
      <c r="F63">
        <v>55.2</v>
      </c>
      <c r="M63">
        <v>1</v>
      </c>
      <c r="S63">
        <v>0</v>
      </c>
      <c r="T63">
        <v>1</v>
      </c>
      <c r="AA63">
        <f t="shared" si="117"/>
        <v>0</v>
      </c>
      <c r="AB63">
        <f t="shared" si="118"/>
        <v>0</v>
      </c>
      <c r="AC63">
        <f t="shared" si="119"/>
        <v>0</v>
      </c>
      <c r="AD63">
        <f t="shared" si="120"/>
        <v>0</v>
      </c>
      <c r="AE63">
        <f t="shared" si="121"/>
        <v>8.012240923633326E-4</v>
      </c>
      <c r="AF63">
        <f t="shared" si="122"/>
        <v>0</v>
      </c>
      <c r="AG63">
        <f t="shared" si="123"/>
        <v>0</v>
      </c>
      <c r="AH63">
        <f t="shared" si="124"/>
        <v>0</v>
      </c>
      <c r="AI63">
        <f t="shared" si="125"/>
        <v>0</v>
      </c>
      <c r="AJ63">
        <f t="shared" si="126"/>
        <v>0</v>
      </c>
      <c r="AK63">
        <f t="shared" si="127"/>
        <v>0</v>
      </c>
      <c r="AL63">
        <f t="shared" si="128"/>
        <v>8.012240923633326E-4</v>
      </c>
      <c r="AM63">
        <f t="shared" si="129"/>
        <v>0</v>
      </c>
      <c r="AN63">
        <f t="shared" si="130"/>
        <v>0</v>
      </c>
      <c r="AO63">
        <f t="shared" si="131"/>
        <v>0</v>
      </c>
      <c r="AP63">
        <f t="shared" si="132"/>
        <v>0</v>
      </c>
    </row>
    <row r="64" spans="1:42" x14ac:dyDescent="0.25">
      <c r="A64" t="s">
        <v>67</v>
      </c>
      <c r="B64" s="33">
        <v>190.2</v>
      </c>
      <c r="D64">
        <f t="shared" si="116"/>
        <v>4.0061204618166641E-4</v>
      </c>
      <c r="E64">
        <f t="shared" si="113"/>
        <v>0.52495199999999997</v>
      </c>
      <c r="F64">
        <v>27.6</v>
      </c>
      <c r="M64">
        <v>1</v>
      </c>
      <c r="P64">
        <v>1</v>
      </c>
      <c r="Q64">
        <v>2</v>
      </c>
      <c r="S64">
        <v>1</v>
      </c>
      <c r="T64">
        <v>2</v>
      </c>
      <c r="AA64">
        <f t="shared" si="117"/>
        <v>0</v>
      </c>
      <c r="AB64">
        <f t="shared" si="118"/>
        <v>0</v>
      </c>
      <c r="AC64">
        <f t="shared" si="119"/>
        <v>0</v>
      </c>
      <c r="AD64">
        <f t="shared" si="120"/>
        <v>0</v>
      </c>
      <c r="AE64">
        <f t="shared" si="121"/>
        <v>4.0061204618166641E-4</v>
      </c>
      <c r="AF64">
        <f t="shared" si="122"/>
        <v>0</v>
      </c>
      <c r="AG64">
        <f t="shared" si="123"/>
        <v>0</v>
      </c>
      <c r="AH64">
        <f t="shared" si="124"/>
        <v>4.0061204618166641E-4</v>
      </c>
      <c r="AI64">
        <f t="shared" si="125"/>
        <v>8.0122409236333281E-4</v>
      </c>
      <c r="AJ64">
        <f t="shared" si="126"/>
        <v>0</v>
      </c>
      <c r="AK64">
        <f t="shared" si="127"/>
        <v>4.0061204618166641E-4</v>
      </c>
      <c r="AL64">
        <f t="shared" si="128"/>
        <v>8.0122409236333281E-4</v>
      </c>
      <c r="AM64">
        <f t="shared" si="129"/>
        <v>0</v>
      </c>
      <c r="AN64">
        <f t="shared" si="130"/>
        <v>0</v>
      </c>
      <c r="AO64">
        <f t="shared" si="131"/>
        <v>0</v>
      </c>
      <c r="AP64">
        <f t="shared" si="132"/>
        <v>0</v>
      </c>
    </row>
    <row r="65" spans="1:42" x14ac:dyDescent="0.25">
      <c r="A65" t="s">
        <v>29</v>
      </c>
      <c r="B65">
        <v>147.13</v>
      </c>
      <c r="D65">
        <f t="shared" si="116"/>
        <v>4.0061204618166641E-4</v>
      </c>
      <c r="E65">
        <f t="shared" si="113"/>
        <v>0.40607880000000002</v>
      </c>
      <c r="F65">
        <v>27.6</v>
      </c>
      <c r="O65">
        <v>1</v>
      </c>
      <c r="S65">
        <v>0</v>
      </c>
      <c r="T65">
        <v>1</v>
      </c>
      <c r="AA65">
        <f t="shared" si="117"/>
        <v>0</v>
      </c>
      <c r="AB65">
        <f t="shared" si="118"/>
        <v>0</v>
      </c>
      <c r="AC65">
        <f t="shared" si="119"/>
        <v>0</v>
      </c>
      <c r="AD65">
        <f t="shared" si="120"/>
        <v>0</v>
      </c>
      <c r="AE65">
        <f t="shared" si="121"/>
        <v>0</v>
      </c>
      <c r="AF65">
        <f t="shared" si="122"/>
        <v>0</v>
      </c>
      <c r="AG65">
        <f t="shared" si="123"/>
        <v>4.0061204618166641E-4</v>
      </c>
      <c r="AH65">
        <f t="shared" si="124"/>
        <v>0</v>
      </c>
      <c r="AI65">
        <f t="shared" si="125"/>
        <v>0</v>
      </c>
      <c r="AJ65">
        <f t="shared" si="126"/>
        <v>0</v>
      </c>
      <c r="AK65">
        <f t="shared" si="127"/>
        <v>0</v>
      </c>
      <c r="AL65">
        <f t="shared" si="128"/>
        <v>4.0061204618166641E-4</v>
      </c>
      <c r="AM65">
        <f t="shared" si="129"/>
        <v>0</v>
      </c>
      <c r="AN65">
        <f t="shared" si="130"/>
        <v>0</v>
      </c>
      <c r="AO65">
        <f t="shared" si="131"/>
        <v>0</v>
      </c>
      <c r="AP65">
        <f t="shared" si="132"/>
        <v>0</v>
      </c>
    </row>
    <row r="66" spans="1:42" x14ac:dyDescent="0.25">
      <c r="A66" t="s">
        <v>74</v>
      </c>
      <c r="C66">
        <v>3</v>
      </c>
      <c r="D66" t="s">
        <v>51</v>
      </c>
      <c r="E66">
        <f>SUM(E61:E65)</f>
        <v>4.9604100000000004</v>
      </c>
      <c r="F66">
        <f>F61+F62+F63+F64+F65</f>
        <v>165.6</v>
      </c>
    </row>
    <row r="67" spans="1:42" x14ac:dyDescent="0.25">
      <c r="A67" s="1" t="s">
        <v>83</v>
      </c>
      <c r="Z67" s="1" t="s">
        <v>34</v>
      </c>
      <c r="AA67" s="3">
        <f>AA61+AA62+AA63+AA64+AA65</f>
        <v>8.0122409236333281E-4</v>
      </c>
      <c r="AB67" s="3">
        <f t="shared" ref="AB67:AN67" si="133">AB61+AB62+AB63+AB64+AB65</f>
        <v>0</v>
      </c>
      <c r="AC67" s="3">
        <f t="shared" si="133"/>
        <v>0</v>
      </c>
      <c r="AD67" s="3">
        <f t="shared" si="133"/>
        <v>4.0061204618166646E-4</v>
      </c>
      <c r="AE67" s="3">
        <f t="shared" si="133"/>
        <v>1.201836138544999E-3</v>
      </c>
      <c r="AF67" s="3">
        <f t="shared" si="133"/>
        <v>8.0122409236333281E-4</v>
      </c>
      <c r="AG67" s="3">
        <f t="shared" si="133"/>
        <v>4.0061204618166641E-4</v>
      </c>
      <c r="AH67" s="3">
        <f t="shared" si="133"/>
        <v>4.0061204618166641E-4</v>
      </c>
      <c r="AI67" s="3">
        <f t="shared" si="133"/>
        <v>2.8042843232716653E-3</v>
      </c>
      <c r="AJ67" s="3">
        <f t="shared" si="133"/>
        <v>0</v>
      </c>
      <c r="AK67" s="3">
        <f t="shared" si="133"/>
        <v>8.0122409236333281E-4</v>
      </c>
      <c r="AL67" s="3">
        <f t="shared" si="133"/>
        <v>2.0030602309083316E-3</v>
      </c>
      <c r="AM67" s="3">
        <f t="shared" si="133"/>
        <v>8.0122409236333281E-4</v>
      </c>
      <c r="AN67" s="3">
        <f t="shared" si="133"/>
        <v>0</v>
      </c>
      <c r="AO67" s="3">
        <f>SUM(AO61:AO65)</f>
        <v>0</v>
      </c>
      <c r="AP67" s="3">
        <f>SUM(AP61:AP65)</f>
        <v>0</v>
      </c>
    </row>
    <row r="69" spans="1:42" x14ac:dyDescent="0.25">
      <c r="A69" t="s">
        <v>84</v>
      </c>
      <c r="B69">
        <v>188</v>
      </c>
      <c r="C69">
        <v>2.5000000000000001E-2</v>
      </c>
      <c r="D69">
        <f t="shared" ref="D69" si="134">C69*24*(1/B69)</f>
        <v>3.1914893617021279E-3</v>
      </c>
      <c r="E69">
        <f t="shared" ref="E69" si="135">((F69*B69*(10^(-6)))/1)*100</f>
        <v>2.8952</v>
      </c>
      <c r="F69">
        <v>154</v>
      </c>
      <c r="X69">
        <v>1</v>
      </c>
      <c r="AA69">
        <f>$D69*I69</f>
        <v>0</v>
      </c>
      <c r="AB69">
        <f t="shared" ref="AB69:AL69" si="136">$D69*J69</f>
        <v>0</v>
      </c>
      <c r="AC69">
        <f t="shared" si="136"/>
        <v>0</v>
      </c>
      <c r="AD69">
        <f t="shared" si="136"/>
        <v>0</v>
      </c>
      <c r="AE69">
        <f t="shared" si="136"/>
        <v>0</v>
      </c>
      <c r="AF69">
        <f t="shared" si="136"/>
        <v>0</v>
      </c>
      <c r="AG69">
        <f t="shared" si="136"/>
        <v>0</v>
      </c>
      <c r="AH69">
        <f t="shared" si="136"/>
        <v>0</v>
      </c>
      <c r="AI69">
        <f t="shared" si="136"/>
        <v>0</v>
      </c>
      <c r="AJ69">
        <f t="shared" si="136"/>
        <v>0</v>
      </c>
      <c r="AK69">
        <f t="shared" si="136"/>
        <v>0</v>
      </c>
      <c r="AL69">
        <f t="shared" si="136"/>
        <v>0</v>
      </c>
      <c r="AM69">
        <f>$D69*V69</f>
        <v>0</v>
      </c>
      <c r="AN69">
        <f>$D69*W69</f>
        <v>0</v>
      </c>
      <c r="AO69">
        <f t="shared" ref="AO69:AP69" si="137">$D69*X69</f>
        <v>3.1914893617021279E-3</v>
      </c>
      <c r="AP69">
        <f t="shared" si="137"/>
        <v>0</v>
      </c>
    </row>
    <row r="70" spans="1:42" x14ac:dyDescent="0.25">
      <c r="C70">
        <v>2.5</v>
      </c>
    </row>
    <row r="71" spans="1:42" x14ac:dyDescent="0.25">
      <c r="A71" s="1" t="s">
        <v>68</v>
      </c>
      <c r="Z71" s="1" t="s">
        <v>36</v>
      </c>
      <c r="AA71" s="3">
        <f>AA69</f>
        <v>0</v>
      </c>
      <c r="AB71" s="3">
        <f t="shared" ref="AB71:AN71" si="138">AB69</f>
        <v>0</v>
      </c>
      <c r="AC71" s="3">
        <f t="shared" si="138"/>
        <v>0</v>
      </c>
      <c r="AD71" s="3">
        <f t="shared" si="138"/>
        <v>0</v>
      </c>
      <c r="AE71" s="3">
        <f t="shared" si="138"/>
        <v>0</v>
      </c>
      <c r="AF71" s="3">
        <f t="shared" si="138"/>
        <v>0</v>
      </c>
      <c r="AG71" s="3">
        <f t="shared" si="138"/>
        <v>0</v>
      </c>
      <c r="AH71" s="3">
        <f t="shared" si="138"/>
        <v>0</v>
      </c>
      <c r="AI71" s="3">
        <f t="shared" si="138"/>
        <v>0</v>
      </c>
      <c r="AJ71" s="3">
        <f t="shared" si="138"/>
        <v>0</v>
      </c>
      <c r="AK71" s="3">
        <f t="shared" si="138"/>
        <v>0</v>
      </c>
      <c r="AL71" s="3">
        <f t="shared" si="138"/>
        <v>0</v>
      </c>
      <c r="AM71" s="3">
        <f t="shared" si="138"/>
        <v>0</v>
      </c>
      <c r="AN71" s="3">
        <f t="shared" si="138"/>
        <v>0</v>
      </c>
      <c r="AO71" s="3">
        <f>AO69</f>
        <v>3.1914893617021279E-3</v>
      </c>
      <c r="AP71" s="3">
        <f>AP69</f>
        <v>0</v>
      </c>
    </row>
    <row r="73" spans="1:42" x14ac:dyDescent="0.25">
      <c r="A73" t="s">
        <v>46</v>
      </c>
      <c r="B73">
        <v>105.09</v>
      </c>
      <c r="D73">
        <f>(C74/100)*24*(1/B73)</f>
        <v>1.5986297459320579E-3</v>
      </c>
      <c r="F73">
        <v>48.5</v>
      </c>
      <c r="L73">
        <v>1</v>
      </c>
      <c r="R73">
        <v>-1</v>
      </c>
      <c r="S73">
        <v>1</v>
      </c>
      <c r="AA73">
        <f>$D73*I73</f>
        <v>0</v>
      </c>
      <c r="AB73">
        <f t="shared" ref="AB73:AL73" si="139">$D73*J73</f>
        <v>0</v>
      </c>
      <c r="AC73">
        <f t="shared" si="139"/>
        <v>0</v>
      </c>
      <c r="AD73">
        <f t="shared" si="139"/>
        <v>1.5986297459320579E-3</v>
      </c>
      <c r="AE73">
        <f t="shared" si="139"/>
        <v>0</v>
      </c>
      <c r="AF73">
        <f t="shared" si="139"/>
        <v>0</v>
      </c>
      <c r="AG73">
        <f t="shared" si="139"/>
        <v>0</v>
      </c>
      <c r="AH73">
        <f t="shared" si="139"/>
        <v>0</v>
      </c>
      <c r="AI73">
        <f t="shared" si="139"/>
        <v>0</v>
      </c>
      <c r="AJ73">
        <f t="shared" si="139"/>
        <v>-1.5986297459320579E-3</v>
      </c>
      <c r="AK73">
        <f t="shared" si="139"/>
        <v>1.5986297459320579E-3</v>
      </c>
      <c r="AL73">
        <f t="shared" si="139"/>
        <v>0</v>
      </c>
      <c r="AM73">
        <f>$D73*V73</f>
        <v>0</v>
      </c>
      <c r="AN73">
        <f>$D73*W73</f>
        <v>0</v>
      </c>
      <c r="AO73">
        <f t="shared" ref="AO73:AP73" si="140">$D73*X73</f>
        <v>0</v>
      </c>
      <c r="AP73">
        <f t="shared" si="140"/>
        <v>0</v>
      </c>
    </row>
    <row r="74" spans="1:42" x14ac:dyDescent="0.25">
      <c r="C74">
        <v>0.7</v>
      </c>
    </row>
    <row r="75" spans="1:42" x14ac:dyDescent="0.25">
      <c r="A75" s="1" t="s">
        <v>69</v>
      </c>
      <c r="Z75" s="1" t="s">
        <v>38</v>
      </c>
      <c r="AA75" s="3">
        <f>AA73</f>
        <v>0</v>
      </c>
      <c r="AB75" s="3">
        <f t="shared" ref="AB75:AN75" si="141">AB73</f>
        <v>0</v>
      </c>
      <c r="AC75" s="3">
        <f t="shared" si="141"/>
        <v>0</v>
      </c>
      <c r="AD75" s="3">
        <f t="shared" si="141"/>
        <v>1.5986297459320579E-3</v>
      </c>
      <c r="AE75" s="3">
        <f t="shared" si="141"/>
        <v>0</v>
      </c>
      <c r="AF75" s="3">
        <f t="shared" si="141"/>
        <v>0</v>
      </c>
      <c r="AG75" s="3">
        <f t="shared" si="141"/>
        <v>0</v>
      </c>
      <c r="AH75" s="3">
        <f t="shared" si="141"/>
        <v>0</v>
      </c>
      <c r="AI75" s="3">
        <f t="shared" si="141"/>
        <v>0</v>
      </c>
      <c r="AJ75" s="3">
        <f t="shared" si="141"/>
        <v>-1.5986297459320579E-3</v>
      </c>
      <c r="AK75" s="3">
        <f t="shared" si="141"/>
        <v>1.5986297459320579E-3</v>
      </c>
      <c r="AL75" s="3">
        <f t="shared" si="141"/>
        <v>0</v>
      </c>
      <c r="AM75" s="3">
        <f t="shared" si="141"/>
        <v>0</v>
      </c>
      <c r="AN75" s="3">
        <f t="shared" si="141"/>
        <v>0</v>
      </c>
      <c r="AO75" s="3">
        <f>AO73</f>
        <v>0</v>
      </c>
      <c r="AP75" s="3">
        <f>AP73</f>
        <v>0</v>
      </c>
    </row>
    <row r="77" spans="1:42" x14ac:dyDescent="0.25">
      <c r="A77" t="s">
        <v>85</v>
      </c>
      <c r="B77" s="4">
        <v>133.16999999999999</v>
      </c>
      <c r="D77">
        <f>(C78/100)*24*(1/B77)</f>
        <v>7.2088308177517459E-4</v>
      </c>
      <c r="F77">
        <v>59.3</v>
      </c>
      <c r="Y77">
        <v>1</v>
      </c>
      <c r="AA77">
        <f>$D77*I77</f>
        <v>0</v>
      </c>
      <c r="AB77">
        <f t="shared" ref="AB77:AL77" si="142">$D77*J77</f>
        <v>0</v>
      </c>
      <c r="AC77">
        <f t="shared" si="142"/>
        <v>0</v>
      </c>
      <c r="AD77">
        <f t="shared" si="142"/>
        <v>0</v>
      </c>
      <c r="AE77">
        <f t="shared" si="142"/>
        <v>0</v>
      </c>
      <c r="AF77">
        <f t="shared" si="142"/>
        <v>0</v>
      </c>
      <c r="AG77">
        <f t="shared" si="142"/>
        <v>0</v>
      </c>
      <c r="AH77">
        <f t="shared" si="142"/>
        <v>0</v>
      </c>
      <c r="AI77">
        <f t="shared" si="142"/>
        <v>0</v>
      </c>
      <c r="AJ77">
        <f t="shared" si="142"/>
        <v>0</v>
      </c>
      <c r="AK77">
        <f t="shared" si="142"/>
        <v>0</v>
      </c>
      <c r="AL77">
        <f t="shared" si="142"/>
        <v>0</v>
      </c>
      <c r="AM77">
        <f>$D77*V77</f>
        <v>0</v>
      </c>
      <c r="AN77">
        <f t="shared" ref="AN77:AP77" si="143">$D77*W77</f>
        <v>0</v>
      </c>
      <c r="AO77">
        <f t="shared" si="143"/>
        <v>0</v>
      </c>
      <c r="AP77">
        <f t="shared" si="143"/>
        <v>7.2088308177517459E-4</v>
      </c>
    </row>
    <row r="78" spans="1:42" x14ac:dyDescent="0.25">
      <c r="C78">
        <v>0.4</v>
      </c>
    </row>
    <row r="79" spans="1:42" x14ac:dyDescent="0.25">
      <c r="Z79" s="1" t="s">
        <v>40</v>
      </c>
      <c r="AA79" s="3">
        <f>AA77</f>
        <v>0</v>
      </c>
      <c r="AB79" s="3">
        <f t="shared" ref="AB79:AN79" si="144">AB77</f>
        <v>0</v>
      </c>
      <c r="AC79" s="3">
        <f t="shared" si="144"/>
        <v>0</v>
      </c>
      <c r="AD79" s="3">
        <f t="shared" si="144"/>
        <v>0</v>
      </c>
      <c r="AE79" s="3">
        <f t="shared" si="144"/>
        <v>0</v>
      </c>
      <c r="AF79" s="3">
        <f t="shared" si="144"/>
        <v>0</v>
      </c>
      <c r="AG79" s="3">
        <f t="shared" si="144"/>
        <v>0</v>
      </c>
      <c r="AH79" s="3">
        <f t="shared" si="144"/>
        <v>0</v>
      </c>
      <c r="AI79" s="3">
        <f t="shared" si="144"/>
        <v>0</v>
      </c>
      <c r="AJ79" s="3">
        <f t="shared" si="144"/>
        <v>0</v>
      </c>
      <c r="AK79" s="3">
        <f t="shared" si="144"/>
        <v>0</v>
      </c>
      <c r="AL79" s="3">
        <f t="shared" si="144"/>
        <v>0</v>
      </c>
      <c r="AM79" s="3">
        <f t="shared" si="144"/>
        <v>0</v>
      </c>
      <c r="AN79" s="3">
        <f t="shared" si="144"/>
        <v>0</v>
      </c>
      <c r="AO79" s="3">
        <f>AO77</f>
        <v>0</v>
      </c>
      <c r="AP79" s="3">
        <f>AP77</f>
        <v>7.2088308177517459E-4</v>
      </c>
    </row>
    <row r="80" spans="1:42" x14ac:dyDescent="0.25">
      <c r="A80" t="s">
        <v>87</v>
      </c>
      <c r="C80">
        <f>SUM(C27+C35+C42+C48+C58+C66+C70+C74+C78)</f>
        <v>97.9</v>
      </c>
      <c r="E80">
        <f>SUM(SUM(E61:E65)+E69+SUM(E51:E57)+SUM(E45:E47)+SUM(E38:E41)+SUM(E31:E34)+SUM(E7:E26))</f>
        <v>119.9681833512</v>
      </c>
    </row>
    <row r="85" spans="1:22" ht="15.75" x14ac:dyDescent="0.25">
      <c r="A85" s="11"/>
      <c r="B85" s="11"/>
      <c r="C85" s="11" t="s">
        <v>112</v>
      </c>
      <c r="D85" s="11"/>
      <c r="E85" s="11"/>
      <c r="F85" s="11"/>
      <c r="G85" s="11"/>
      <c r="H85" s="11"/>
      <c r="I85" s="11"/>
      <c r="J85" s="11"/>
      <c r="K85" s="11"/>
      <c r="L85" s="11"/>
      <c r="M85" s="11"/>
      <c r="N85" s="11"/>
      <c r="O85" s="11"/>
      <c r="P85" s="11"/>
      <c r="Q85" s="11"/>
      <c r="R85" s="11"/>
      <c r="S85" s="11"/>
      <c r="T85" s="11"/>
      <c r="U85" s="11"/>
      <c r="V85" s="11"/>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A90F8-960D-43CE-BBF1-32C91157D32A}">
  <sheetPr codeName="Sheet7"/>
  <dimension ref="A2:R182"/>
  <sheetViews>
    <sheetView zoomScale="70" zoomScaleNormal="70" workbookViewId="0">
      <selection activeCell="G2" sqref="G2"/>
    </sheetView>
  </sheetViews>
  <sheetFormatPr defaultColWidth="9.140625" defaultRowHeight="15.75" x14ac:dyDescent="0.25"/>
  <cols>
    <col min="1" max="1" width="9.140625" style="11"/>
    <col min="2" max="2" width="22.42578125" style="11" customWidth="1"/>
    <col min="3" max="3" width="41.140625" style="11" customWidth="1"/>
    <col min="4" max="5" width="25.28515625" style="11" customWidth="1"/>
    <col min="6" max="6" width="24.7109375" style="11" customWidth="1"/>
    <col min="7" max="15" width="9.140625" style="11"/>
    <col min="16" max="16" width="30.7109375" style="11" customWidth="1"/>
    <col min="17" max="17" width="28.85546875" style="11" customWidth="1"/>
    <col min="18" max="18" width="24.85546875" style="11" customWidth="1"/>
    <col min="19" max="16384" width="9.140625" style="11"/>
  </cols>
  <sheetData>
    <row r="2" spans="1:18" ht="16.5" thickBot="1" x14ac:dyDescent="0.3"/>
    <row r="3" spans="1:18" ht="16.5" thickBot="1" x14ac:dyDescent="0.3">
      <c r="A3" s="18"/>
      <c r="B3" s="19"/>
      <c r="C3" s="19" t="s">
        <v>196</v>
      </c>
      <c r="D3" s="19"/>
      <c r="E3" s="19"/>
      <c r="F3" s="19"/>
      <c r="G3" s="19"/>
      <c r="H3" s="19"/>
      <c r="I3" s="19"/>
      <c r="J3" s="19"/>
      <c r="K3" s="19"/>
      <c r="L3" s="19"/>
      <c r="M3" s="19"/>
      <c r="N3" s="19"/>
      <c r="O3" s="19"/>
      <c r="P3" s="19"/>
      <c r="Q3" s="19"/>
      <c r="R3" s="20"/>
    </row>
    <row r="4" spans="1:18" x14ac:dyDescent="0.25">
      <c r="C4" s="9" t="s">
        <v>110</v>
      </c>
      <c r="D4" s="9" t="s">
        <v>111</v>
      </c>
      <c r="E4" s="9" t="s">
        <v>109</v>
      </c>
      <c r="F4" s="9" t="s">
        <v>98</v>
      </c>
      <c r="G4" s="9" t="s">
        <v>99</v>
      </c>
      <c r="H4" s="9" t="s">
        <v>100</v>
      </c>
      <c r="I4" s="9" t="s">
        <v>101</v>
      </c>
      <c r="J4" s="9" t="s">
        <v>102</v>
      </c>
      <c r="K4" s="9" t="s">
        <v>103</v>
      </c>
      <c r="L4" s="9" t="s">
        <v>104</v>
      </c>
      <c r="M4" s="9" t="s">
        <v>105</v>
      </c>
      <c r="N4" s="9" t="s">
        <v>106</v>
      </c>
      <c r="P4" s="9" t="s">
        <v>107</v>
      </c>
      <c r="Q4" s="9" t="s">
        <v>139</v>
      </c>
      <c r="R4" s="9" t="s">
        <v>108</v>
      </c>
    </row>
    <row r="5" spans="1:18" ht="18.75" x14ac:dyDescent="0.35">
      <c r="A5" s="11" t="s">
        <v>128</v>
      </c>
      <c r="C5" s="13" t="str">
        <f>'type II biomass composition'!$AA$6</f>
        <v>glc-6-p</v>
      </c>
      <c r="D5" s="11" t="s">
        <v>157</v>
      </c>
      <c r="E5">
        <v>0.33525017878437036</v>
      </c>
      <c r="F5" s="11" t="s">
        <v>115</v>
      </c>
      <c r="G5" s="11">
        <v>-2</v>
      </c>
      <c r="H5" s="11">
        <v>6</v>
      </c>
      <c r="I5" s="11">
        <v>11</v>
      </c>
      <c r="K5" s="11">
        <v>9</v>
      </c>
      <c r="L5" s="11">
        <v>1</v>
      </c>
      <c r="N5" s="10">
        <f>(4*H5)+(I5)+(-3*J5)+(-2*K5)+(5*L5)+(-2*M5)+(-1*G5)</f>
        <v>24</v>
      </c>
      <c r="P5">
        <f>((4*(H5))+(I5)+(5*J5)+(-2*K5)+(5*L5)+(6*M5)+(-G5))/H5</f>
        <v>4</v>
      </c>
      <c r="Q5">
        <f>((4*(H5))+(I5)+(-3*J5)+(-2*K5)+(5*L5)+(6*M5)+(-G5))/H5</f>
        <v>4</v>
      </c>
      <c r="R5">
        <f>((4*(H5))+(I5)+(0*J5)+(-2*K5)+(5*L5)+(6*M5)+(-G5))/H5</f>
        <v>4</v>
      </c>
    </row>
    <row r="6" spans="1:18" ht="18.75" x14ac:dyDescent="0.35">
      <c r="C6" s="13" t="str">
        <f>'type II biomass composition'!$AB$6</f>
        <v>rib-5-p</v>
      </c>
      <c r="D6" s="11" t="s">
        <v>158</v>
      </c>
      <c r="E6">
        <v>2.7630038957118814</v>
      </c>
      <c r="F6" s="11" t="s">
        <v>116</v>
      </c>
      <c r="G6" s="11">
        <v>-2</v>
      </c>
      <c r="H6" s="11">
        <v>5</v>
      </c>
      <c r="I6" s="11">
        <v>9</v>
      </c>
      <c r="K6" s="11">
        <v>8</v>
      </c>
      <c r="L6" s="11">
        <v>1</v>
      </c>
      <c r="N6" s="10">
        <f t="shared" ref="N6:N7" si="0">(4*H6)+(I6)+(-3*J6)+(-2*K6)+(5*L6)+(-2*M6)+(-1*G6)</f>
        <v>20</v>
      </c>
      <c r="P6">
        <f t="shared" ref="P6:P19" si="1">((4*(H6))+(I6)+(5*J6)+(-2*K6)+(5*L6)+(6*M6)+(-G6))/H6</f>
        <v>4</v>
      </c>
      <c r="Q6">
        <f t="shared" ref="Q6:Q29" si="2">((4*(H6))+(I6)+(-3*J6)+(-2*K6)+(5*L6)+(6*M6)+(-G6))/H6</f>
        <v>4</v>
      </c>
      <c r="R6">
        <f t="shared" ref="R6:R19" si="3">((4*(H6))+(I6)+(0*J6)+(-2*K6)+(5*L6)+(6*M6)+(-G6))/H6</f>
        <v>4</v>
      </c>
    </row>
    <row r="7" spans="1:18" x14ac:dyDescent="0.25">
      <c r="C7" s="13" t="str">
        <f>'type II biomass composition'!$AC$6</f>
        <v>ery-4-p</v>
      </c>
      <c r="D7" s="11" t="s">
        <v>159</v>
      </c>
      <c r="E7">
        <v>1.5116668292187683</v>
      </c>
      <c r="F7" s="11" t="s">
        <v>113</v>
      </c>
      <c r="G7" s="11">
        <v>-2</v>
      </c>
      <c r="H7" s="11">
        <v>4</v>
      </c>
      <c r="I7" s="11">
        <v>7</v>
      </c>
      <c r="K7" s="11">
        <v>7</v>
      </c>
      <c r="L7" s="11">
        <v>1</v>
      </c>
      <c r="N7" s="10">
        <f t="shared" si="0"/>
        <v>16</v>
      </c>
      <c r="P7">
        <f t="shared" si="1"/>
        <v>4</v>
      </c>
      <c r="Q7">
        <f t="shared" si="2"/>
        <v>4</v>
      </c>
      <c r="R7">
        <f t="shared" si="3"/>
        <v>4</v>
      </c>
    </row>
    <row r="8" spans="1:18" ht="18.75" x14ac:dyDescent="0.35">
      <c r="C8" s="13" t="str">
        <f>'type II biomass composition'!$AD$6</f>
        <v>pep</v>
      </c>
      <c r="D8" s="11" t="s">
        <v>160</v>
      </c>
      <c r="E8">
        <v>8.1917331996878584</v>
      </c>
      <c r="F8" s="11" t="s">
        <v>117</v>
      </c>
      <c r="G8" s="11">
        <v>-3</v>
      </c>
      <c r="H8" s="11">
        <v>3</v>
      </c>
      <c r="I8" s="11">
        <v>2</v>
      </c>
      <c r="K8" s="11">
        <v>6</v>
      </c>
      <c r="L8" s="11">
        <v>1</v>
      </c>
      <c r="N8" s="10">
        <v>10</v>
      </c>
      <c r="P8">
        <f t="shared" si="1"/>
        <v>3.3333333333333335</v>
      </c>
      <c r="Q8">
        <f t="shared" si="2"/>
        <v>3.3333333333333335</v>
      </c>
      <c r="R8">
        <f t="shared" si="3"/>
        <v>3.3333333333333335</v>
      </c>
    </row>
    <row r="9" spans="1:18" ht="18.75" x14ac:dyDescent="0.35">
      <c r="C9" s="13" t="str">
        <f>'type II biomass composition'!$AE$6</f>
        <v>pyr</v>
      </c>
      <c r="D9" s="11" t="s">
        <v>161</v>
      </c>
      <c r="E9">
        <v>10.783570011780441</v>
      </c>
      <c r="F9" s="11" t="s">
        <v>118</v>
      </c>
      <c r="G9" s="11">
        <v>-1</v>
      </c>
      <c r="H9" s="11">
        <v>3</v>
      </c>
      <c r="I9" s="11">
        <v>3</v>
      </c>
      <c r="K9" s="11">
        <v>3</v>
      </c>
      <c r="N9" s="10">
        <f t="shared" ref="N9" si="4">(4*H9)+(I9)+(-3*J9)+(-2*K9)+(5*L9)+(-2*M9)+(-1*G9)</f>
        <v>10</v>
      </c>
      <c r="P9">
        <f t="shared" si="1"/>
        <v>3.3333333333333335</v>
      </c>
      <c r="Q9">
        <f t="shared" si="2"/>
        <v>3.3333333333333335</v>
      </c>
      <c r="R9">
        <f t="shared" si="3"/>
        <v>3.3333333333333335</v>
      </c>
    </row>
    <row r="10" spans="1:18" ht="18.75" x14ac:dyDescent="0.35">
      <c r="C10" s="13" t="str">
        <f>'type II biomass composition'!$AF$6</f>
        <v>ace-coa</v>
      </c>
      <c r="D10" s="11" t="s">
        <v>162</v>
      </c>
      <c r="E10">
        <v>10.98217803623697</v>
      </c>
      <c r="F10" s="11" t="s">
        <v>119</v>
      </c>
      <c r="G10" s="11">
        <v>-4</v>
      </c>
      <c r="H10" s="11">
        <v>23</v>
      </c>
      <c r="I10" s="11">
        <v>34</v>
      </c>
      <c r="J10" s="11">
        <v>7</v>
      </c>
      <c r="K10" s="11">
        <v>17</v>
      </c>
      <c r="L10" s="11">
        <v>3</v>
      </c>
      <c r="M10" s="11">
        <v>1</v>
      </c>
      <c r="N10" s="10">
        <v>88</v>
      </c>
      <c r="P10">
        <f t="shared" si="1"/>
        <v>6.6086956521739131</v>
      </c>
      <c r="Q10">
        <f t="shared" si="2"/>
        <v>4.1739130434782608</v>
      </c>
      <c r="R10">
        <f t="shared" si="3"/>
        <v>5.0869565217391308</v>
      </c>
    </row>
    <row r="11" spans="1:18" ht="18.75" x14ac:dyDescent="0.25">
      <c r="C11" s="13" t="str">
        <f>'type II biomass composition'!$AG$6</f>
        <v>akg</v>
      </c>
      <c r="D11" s="11" t="s">
        <v>163</v>
      </c>
      <c r="E11">
        <v>4.0076571746961296</v>
      </c>
      <c r="F11" s="12" t="s">
        <v>120</v>
      </c>
      <c r="G11" s="11">
        <v>-2</v>
      </c>
      <c r="H11" s="11">
        <v>5</v>
      </c>
      <c r="I11" s="11">
        <v>4</v>
      </c>
      <c r="K11" s="11">
        <v>5</v>
      </c>
      <c r="N11" s="10">
        <f t="shared" ref="N11" si="5">(4*H11)+(I11)+(-3*J11)+(-2*K11)+(5*L11)+(-2*M11)+(-1*G11)</f>
        <v>16</v>
      </c>
      <c r="P11">
        <f t="shared" si="1"/>
        <v>3.2</v>
      </c>
      <c r="Q11">
        <f t="shared" si="2"/>
        <v>3.2</v>
      </c>
      <c r="R11">
        <f t="shared" si="3"/>
        <v>3.2</v>
      </c>
    </row>
    <row r="12" spans="1:18" ht="18.75" x14ac:dyDescent="0.35">
      <c r="C12" s="13" t="str">
        <f>'type II biomass composition'!$AH$6</f>
        <v>oxalo</v>
      </c>
      <c r="D12" s="11" t="s">
        <v>164</v>
      </c>
      <c r="E12">
        <v>5.8795500917648047</v>
      </c>
      <c r="F12" s="11" t="s">
        <v>121</v>
      </c>
      <c r="G12" s="11">
        <v>-2</v>
      </c>
      <c r="H12" s="11">
        <v>4</v>
      </c>
      <c r="I12" s="11">
        <v>2</v>
      </c>
      <c r="K12" s="11">
        <v>5</v>
      </c>
      <c r="N12" s="10">
        <v>10</v>
      </c>
      <c r="P12">
        <f t="shared" si="1"/>
        <v>2.5</v>
      </c>
      <c r="Q12">
        <f t="shared" si="2"/>
        <v>2.5</v>
      </c>
      <c r="R12">
        <f t="shared" si="3"/>
        <v>2.5</v>
      </c>
    </row>
    <row r="13" spans="1:18" ht="18.75" x14ac:dyDescent="0.35">
      <c r="C13" s="13" t="str">
        <f>'type II biomass composition'!$AI$6</f>
        <v>atp</v>
      </c>
      <c r="D13" s="11" t="s">
        <v>52</v>
      </c>
      <c r="E13">
        <v>45.955146001733027</v>
      </c>
      <c r="F13" s="11" t="s">
        <v>122</v>
      </c>
      <c r="G13" s="11">
        <v>-4</v>
      </c>
      <c r="H13" s="11">
        <v>10</v>
      </c>
      <c r="I13" s="11">
        <v>12</v>
      </c>
      <c r="J13" s="11">
        <v>5</v>
      </c>
      <c r="K13" s="11">
        <v>13</v>
      </c>
      <c r="L13" s="11">
        <v>3</v>
      </c>
      <c r="N13" s="10">
        <f t="shared" ref="N13:N15" si="6">(4*H13)+(I13)+(-3*J13)+(-2*K13)+(5*L13)+(-2*M13)+(-1*G13)</f>
        <v>30</v>
      </c>
      <c r="P13">
        <f t="shared" si="1"/>
        <v>7</v>
      </c>
      <c r="Q13">
        <f t="shared" si="2"/>
        <v>3</v>
      </c>
      <c r="R13">
        <f t="shared" si="3"/>
        <v>4.5</v>
      </c>
    </row>
    <row r="14" spans="1:18" ht="18.75" x14ac:dyDescent="0.35">
      <c r="C14" s="13" t="str">
        <f>'type II biomass composition'!$AK$6</f>
        <v>nadph</v>
      </c>
      <c r="D14" s="11" t="s">
        <v>165</v>
      </c>
      <c r="E14">
        <v>-12.064074334548579</v>
      </c>
      <c r="F14" s="11" t="s">
        <v>124</v>
      </c>
      <c r="G14" s="11">
        <v>-4</v>
      </c>
      <c r="H14" s="11">
        <v>21</v>
      </c>
      <c r="I14" s="11">
        <v>26</v>
      </c>
      <c r="J14" s="11">
        <v>7</v>
      </c>
      <c r="K14" s="11">
        <v>17</v>
      </c>
      <c r="L14" s="11">
        <v>3</v>
      </c>
      <c r="N14" s="10">
        <f t="shared" si="6"/>
        <v>74</v>
      </c>
      <c r="P14">
        <f t="shared" si="1"/>
        <v>6.1904761904761907</v>
      </c>
      <c r="Q14">
        <f t="shared" si="2"/>
        <v>3.5238095238095237</v>
      </c>
      <c r="R14">
        <f t="shared" si="3"/>
        <v>4.5238095238095237</v>
      </c>
    </row>
    <row r="15" spans="1:18" x14ac:dyDescent="0.25">
      <c r="C15" s="13" t="str">
        <f>'type II biomass composition'!$AL$6</f>
        <v>N_GLU</v>
      </c>
      <c r="D15" s="11" t="s">
        <v>97</v>
      </c>
      <c r="E15">
        <v>35.716491226553259</v>
      </c>
      <c r="F15" s="11" t="s">
        <v>114</v>
      </c>
      <c r="G15" s="11">
        <v>1</v>
      </c>
      <c r="I15" s="11">
        <v>4</v>
      </c>
      <c r="J15" s="11">
        <v>1</v>
      </c>
      <c r="N15" s="10">
        <f t="shared" si="6"/>
        <v>0</v>
      </c>
      <c r="P15" t="e">
        <f>((4*(H15))+(I15)+(5*J15)+(-2*K15)+(5*L15)+(6*M15)+(-G15))/H15</f>
        <v>#DIV/0!</v>
      </c>
      <c r="Q15" t="e">
        <f t="shared" si="2"/>
        <v>#DIV/0!</v>
      </c>
      <c r="R15" t="e">
        <f t="shared" si="3"/>
        <v>#DIV/0!</v>
      </c>
    </row>
    <row r="16" spans="1:18" x14ac:dyDescent="0.25">
      <c r="C16" s="13" t="str">
        <f>'type II biomass composition'!$AM$6</f>
        <v>N_GLN</v>
      </c>
      <c r="D16" s="11" t="s">
        <v>96</v>
      </c>
      <c r="E16">
        <v>24.930427166315436</v>
      </c>
      <c r="F16" s="11" t="s">
        <v>114</v>
      </c>
      <c r="G16" s="11">
        <v>1</v>
      </c>
      <c r="I16" s="11">
        <v>4</v>
      </c>
      <c r="J16" s="11">
        <v>1</v>
      </c>
      <c r="N16" s="10">
        <f t="shared" ref="N16" si="7">(4*H16)+(I16)+(-3*J16)+(-2*K16)+(5*L16)+(-2*M16)+(-1*G16)</f>
        <v>0</v>
      </c>
      <c r="P16" t="e">
        <f t="shared" si="1"/>
        <v>#DIV/0!</v>
      </c>
      <c r="Q16" t="e">
        <f t="shared" si="2"/>
        <v>#DIV/0!</v>
      </c>
      <c r="R16" t="e">
        <f t="shared" si="3"/>
        <v>#DIV/0!</v>
      </c>
    </row>
    <row r="17" spans="1:18" x14ac:dyDescent="0.25">
      <c r="C17" s="13" t="str">
        <f>'type II biomass composition'!$AO$6</f>
        <v>polyhydroxybutyrate</v>
      </c>
      <c r="D17" s="11" t="s">
        <v>168</v>
      </c>
      <c r="E17">
        <v>0.58318242588658697</v>
      </c>
      <c r="F17" s="26" t="s">
        <v>178</v>
      </c>
      <c r="G17" s="26">
        <v>-1</v>
      </c>
      <c r="H17" s="26">
        <v>4</v>
      </c>
      <c r="I17" s="26">
        <v>7</v>
      </c>
      <c r="J17" s="26"/>
      <c r="K17" s="26">
        <v>3</v>
      </c>
      <c r="L17" s="26"/>
      <c r="M17" s="26"/>
      <c r="N17" s="27">
        <v>18</v>
      </c>
      <c r="P17">
        <f t="shared" si="1"/>
        <v>4.5</v>
      </c>
      <c r="Q17">
        <f t="shared" si="2"/>
        <v>4.5</v>
      </c>
      <c r="R17">
        <f t="shared" si="3"/>
        <v>4.5</v>
      </c>
    </row>
    <row r="18" spans="1:18" ht="18.75" x14ac:dyDescent="0.35">
      <c r="C18" s="13" t="str">
        <f>'type II biomass composition'!$AP$6</f>
        <v>L-ornithine</v>
      </c>
      <c r="D18" s="11" t="s">
        <v>85</v>
      </c>
      <c r="E18">
        <v>0.13172732124854347</v>
      </c>
      <c r="F18" s="11" t="s">
        <v>126</v>
      </c>
      <c r="G18" s="11">
        <v>1</v>
      </c>
      <c r="H18" s="11">
        <v>5</v>
      </c>
      <c r="I18" s="11">
        <v>13</v>
      </c>
      <c r="J18" s="11">
        <v>2</v>
      </c>
      <c r="K18" s="11">
        <v>2</v>
      </c>
      <c r="N18" s="10">
        <f t="shared" ref="N18" si="8">(4*H18)+(I18)+(-3*J18)+(-2*K18)+(5*L18)+(-2*M18)+(-1*G18)</f>
        <v>22</v>
      </c>
      <c r="P18">
        <f t="shared" si="1"/>
        <v>7.6</v>
      </c>
      <c r="Q18">
        <f t="shared" si="2"/>
        <v>4.4000000000000004</v>
      </c>
      <c r="R18">
        <f t="shared" si="3"/>
        <v>5.6</v>
      </c>
    </row>
    <row r="19" spans="1:18" ht="18.75" x14ac:dyDescent="0.35">
      <c r="C19" s="13" t="s">
        <v>19</v>
      </c>
      <c r="D19" s="11" t="s">
        <v>19</v>
      </c>
      <c r="E19" s="11">
        <v>100</v>
      </c>
      <c r="F19" s="11" t="s">
        <v>122</v>
      </c>
      <c r="G19" s="11">
        <v>-4</v>
      </c>
      <c r="H19" s="11">
        <v>10</v>
      </c>
      <c r="I19" s="11">
        <v>12</v>
      </c>
      <c r="J19" s="11">
        <v>5</v>
      </c>
      <c r="K19" s="11">
        <v>13</v>
      </c>
      <c r="L19" s="11">
        <v>3</v>
      </c>
      <c r="N19" s="10">
        <f t="shared" ref="N19:N21" si="9">(4*H19)+(I19)+(-3*J19)+(-2*K19)+(5*L19)+(-2*M19)+(-1*G19)</f>
        <v>30</v>
      </c>
      <c r="P19">
        <f t="shared" si="1"/>
        <v>7</v>
      </c>
      <c r="Q19">
        <f t="shared" si="2"/>
        <v>3</v>
      </c>
      <c r="R19">
        <f t="shared" si="3"/>
        <v>4.5</v>
      </c>
    </row>
    <row r="20" spans="1:18" ht="19.5" x14ac:dyDescent="0.35">
      <c r="C20" s="13" t="s">
        <v>133</v>
      </c>
      <c r="D20" s="11" t="s">
        <v>133</v>
      </c>
      <c r="E20" s="11">
        <f>-(E23)</f>
        <v>-12.064</v>
      </c>
      <c r="F20" s="4" t="s">
        <v>140</v>
      </c>
      <c r="G20">
        <v>-1</v>
      </c>
      <c r="H20">
        <v>21</v>
      </c>
      <c r="I20">
        <v>26</v>
      </c>
      <c r="J20">
        <v>7</v>
      </c>
      <c r="K20">
        <v>14</v>
      </c>
      <c r="L20">
        <v>2</v>
      </c>
      <c r="M20"/>
      <c r="N20" s="8">
        <f t="shared" si="9"/>
        <v>72</v>
      </c>
      <c r="P20">
        <f t="shared" ref="P20" si="10">((4*(H20))+(I20)+(5*J20)+(-2*K20)+(5*L20)+(6*M20)+(-G20))/H20</f>
        <v>6.0952380952380949</v>
      </c>
      <c r="Q20">
        <f t="shared" si="2"/>
        <v>3.4285714285714284</v>
      </c>
      <c r="R20">
        <f t="shared" ref="R20" si="11">((4*(H20))+(I20)+(0*J20)+(-2*K20)+(5*L20)+(6*M20)+(-G20))/H20</f>
        <v>4.4285714285714288</v>
      </c>
    </row>
    <row r="21" spans="1:18" x14ac:dyDescent="0.25">
      <c r="C21" s="13" t="s">
        <v>141</v>
      </c>
      <c r="D21" s="11" t="s">
        <v>141</v>
      </c>
      <c r="E21" s="11">
        <f>E19+E13</f>
        <v>145.95514600173303</v>
      </c>
      <c r="F21" s="4" t="s">
        <v>141</v>
      </c>
      <c r="G21">
        <v>0</v>
      </c>
      <c r="H21"/>
      <c r="I21">
        <v>2</v>
      </c>
      <c r="J21"/>
      <c r="K21">
        <v>1</v>
      </c>
      <c r="L21"/>
      <c r="M21"/>
      <c r="N21" s="8">
        <f t="shared" si="9"/>
        <v>0</v>
      </c>
      <c r="P21"/>
      <c r="Q21" t="e">
        <f t="shared" si="2"/>
        <v>#DIV/0!</v>
      </c>
      <c r="R21"/>
    </row>
    <row r="22" spans="1:18" x14ac:dyDescent="0.25">
      <c r="Q22" t="e">
        <f t="shared" si="2"/>
        <v>#DIV/0!</v>
      </c>
    </row>
    <row r="23" spans="1:18" ht="18.75" x14ac:dyDescent="0.25">
      <c r="A23" s="11" t="s">
        <v>129</v>
      </c>
      <c r="C23" s="14" t="str">
        <f>'type II biomass composition'!$AJ$6</f>
        <v>nadh</v>
      </c>
      <c r="D23" s="11" t="s">
        <v>166</v>
      </c>
      <c r="E23" s="11">
        <v>12.064</v>
      </c>
      <c r="F23" s="12" t="s">
        <v>123</v>
      </c>
      <c r="G23" s="11">
        <v>-2</v>
      </c>
      <c r="H23" s="11">
        <v>21</v>
      </c>
      <c r="I23" s="11">
        <v>27</v>
      </c>
      <c r="J23" s="11">
        <v>7</v>
      </c>
      <c r="K23" s="11">
        <v>14</v>
      </c>
      <c r="L23" s="11">
        <v>2</v>
      </c>
      <c r="N23" s="10">
        <f>(4*H23)+(I23)+(-3*J23)+(-2*K23)+(5*L23)+(-2*M23)+(-1*G23)</f>
        <v>74</v>
      </c>
      <c r="P23">
        <f>((4*(H23))+(I23)+(5*J23)+(-2*K23)+(5*L23)+(6*M23)+(-G23))/H23</f>
        <v>6.1904761904761907</v>
      </c>
      <c r="Q23">
        <f t="shared" si="2"/>
        <v>3.5238095238095237</v>
      </c>
      <c r="R23">
        <f>((4*(H23))+(I23)+(0*J23)+(-2*K23)+(5*L23)+(6*M23)+(-G23))/H23</f>
        <v>4.5238095238095237</v>
      </c>
    </row>
    <row r="24" spans="1:18" ht="18.75" x14ac:dyDescent="0.35">
      <c r="C24" s="14" t="str">
        <f>'type II biomass composition'!$AN$6</f>
        <v>co2</v>
      </c>
      <c r="D24" s="11" t="s">
        <v>12</v>
      </c>
      <c r="E24">
        <v>0.89455375206156595</v>
      </c>
      <c r="F24" s="11" t="s">
        <v>125</v>
      </c>
      <c r="G24" s="11">
        <v>0</v>
      </c>
      <c r="H24" s="11">
        <v>1</v>
      </c>
      <c r="K24" s="11">
        <v>2</v>
      </c>
      <c r="N24" s="10">
        <f>(4*H24)+(I24)+(-3*J24)+(-2*K24)+(5*L24)+(-2*M24)+(-1*G24)</f>
        <v>0</v>
      </c>
      <c r="P24">
        <f>((4*(H24))+(I24)+(5*J24)+(-2*K24)+(5*L24)+(6*M24)+(-G24))/H24</f>
        <v>0</v>
      </c>
      <c r="Q24">
        <f t="shared" si="2"/>
        <v>0</v>
      </c>
      <c r="R24">
        <f>((4*(H24))+(I24)+(0*J24)+(-2*K24)+(5*L24)+(6*M24)+(-G24))/H24</f>
        <v>0</v>
      </c>
    </row>
    <row r="25" spans="1:18" x14ac:dyDescent="0.25">
      <c r="C25" s="14" t="s">
        <v>127</v>
      </c>
      <c r="D25" s="11" t="s">
        <v>127</v>
      </c>
      <c r="E25" s="11">
        <f>(E13+E19)</f>
        <v>145.95514600173303</v>
      </c>
      <c r="F25" s="31" t="s">
        <v>135</v>
      </c>
      <c r="G25">
        <v>-2</v>
      </c>
      <c r="H25"/>
      <c r="I25">
        <v>1</v>
      </c>
      <c r="J25"/>
      <c r="K25">
        <v>4</v>
      </c>
      <c r="L25">
        <v>1</v>
      </c>
      <c r="M25"/>
      <c r="N25" s="8">
        <f>(4*H25)+(I25)+(-3*J25)+(-2*K25)+(5*L25)+(-2*M25)+(-1*G25)</f>
        <v>0</v>
      </c>
      <c r="P25" t="e">
        <f t="shared" ref="P25:P29" si="12">((4*(H25))+(I25)+(5*J25)+(-2*K25)+(5*L25)+(6*M25)+(-G25))/H25</f>
        <v>#DIV/0!</v>
      </c>
      <c r="Q25" t="e">
        <f t="shared" si="2"/>
        <v>#DIV/0!</v>
      </c>
      <c r="R25" t="e">
        <f t="shared" ref="R25:R29" si="13">((4*(H25))+(I25)+(0*J25)+(-2*K25)+(5*L25)+(6*M25)+(-G25))/H25</f>
        <v>#DIV/0!</v>
      </c>
    </row>
    <row r="26" spans="1:18" ht="19.5" x14ac:dyDescent="0.35">
      <c r="C26" s="14" t="s">
        <v>130</v>
      </c>
      <c r="D26" s="11" t="s">
        <v>130</v>
      </c>
      <c r="E26" s="11">
        <f>(E13+E19)</f>
        <v>145.95514600173303</v>
      </c>
      <c r="F26" s="4" t="s">
        <v>136</v>
      </c>
      <c r="G26">
        <v>-3</v>
      </c>
      <c r="H26">
        <v>10</v>
      </c>
      <c r="I26">
        <v>12</v>
      </c>
      <c r="J26">
        <v>5</v>
      </c>
      <c r="K26">
        <v>10</v>
      </c>
      <c r="L26">
        <v>2</v>
      </c>
      <c r="M26"/>
      <c r="N26" s="8">
        <f t="shared" ref="N26" si="14">(4*H26)+(I26)+(-3*J26)+(-2*K26)+(5*L26)+(-2*M26)+(-1*G26)</f>
        <v>30</v>
      </c>
      <c r="P26">
        <f t="shared" si="12"/>
        <v>7</v>
      </c>
      <c r="Q26">
        <f t="shared" si="2"/>
        <v>3</v>
      </c>
      <c r="R26">
        <f t="shared" si="13"/>
        <v>4.5</v>
      </c>
    </row>
    <row r="27" spans="1:18" ht="18.75" x14ac:dyDescent="0.35">
      <c r="C27" s="14" t="s">
        <v>131</v>
      </c>
      <c r="D27" s="11" t="s">
        <v>167</v>
      </c>
      <c r="E27" s="11">
        <f>(E10)</f>
        <v>10.98217803623697</v>
      </c>
      <c r="F27" t="s">
        <v>137</v>
      </c>
      <c r="G27">
        <v>-4</v>
      </c>
      <c r="H27">
        <v>21</v>
      </c>
      <c r="I27">
        <v>32</v>
      </c>
      <c r="J27">
        <v>7</v>
      </c>
      <c r="K27">
        <v>16</v>
      </c>
      <c r="L27">
        <v>3</v>
      </c>
      <c r="M27">
        <v>1</v>
      </c>
      <c r="N27" s="8">
        <v>80</v>
      </c>
      <c r="P27">
        <f t="shared" si="12"/>
        <v>6.8571428571428568</v>
      </c>
      <c r="Q27">
        <f t="shared" si="2"/>
        <v>4.1904761904761907</v>
      </c>
      <c r="R27">
        <f t="shared" si="13"/>
        <v>5.1904761904761907</v>
      </c>
    </row>
    <row r="28" spans="1:18" x14ac:dyDescent="0.25">
      <c r="C28" s="14" t="s">
        <v>132</v>
      </c>
      <c r="D28" s="11" t="s">
        <v>132</v>
      </c>
      <c r="E28" s="11">
        <f>(E13+E21)</f>
        <v>191.91029200346605</v>
      </c>
      <c r="F28" t="s">
        <v>101</v>
      </c>
      <c r="G28">
        <v>1</v>
      </c>
      <c r="H28"/>
      <c r="I28">
        <v>1</v>
      </c>
      <c r="J28"/>
      <c r="K28"/>
      <c r="L28"/>
      <c r="M28"/>
      <c r="N28" s="8">
        <f t="shared" ref="N28:N29" si="15">(4*H28)+(I28)+(-3*J28)+(-2*K28)+(5*L28)+(-2*M28)+(-1*G28)</f>
        <v>0</v>
      </c>
      <c r="P28">
        <v>0</v>
      </c>
      <c r="Q28">
        <v>0</v>
      </c>
      <c r="R28">
        <v>0</v>
      </c>
    </row>
    <row r="29" spans="1:18" ht="18.75" x14ac:dyDescent="0.35">
      <c r="C29" s="14" t="s">
        <v>134</v>
      </c>
      <c r="D29" s="11" t="s">
        <v>134</v>
      </c>
      <c r="E29" s="11">
        <f>-(E14)</f>
        <v>12.064074334548579</v>
      </c>
      <c r="F29" t="s">
        <v>138</v>
      </c>
      <c r="G29">
        <v>-3</v>
      </c>
      <c r="H29">
        <v>21</v>
      </c>
      <c r="I29">
        <v>25</v>
      </c>
      <c r="J29">
        <v>7</v>
      </c>
      <c r="K29">
        <v>17</v>
      </c>
      <c r="L29">
        <v>3</v>
      </c>
      <c r="M29"/>
      <c r="N29" s="8">
        <f t="shared" si="15"/>
        <v>72</v>
      </c>
      <c r="P29">
        <f t="shared" si="12"/>
        <v>6.0952380952380949</v>
      </c>
      <c r="Q29">
        <f t="shared" si="2"/>
        <v>3.4285714285714284</v>
      </c>
      <c r="R29">
        <f t="shared" si="13"/>
        <v>4.4285714285714288</v>
      </c>
    </row>
    <row r="36" spans="1:18" x14ac:dyDescent="0.25">
      <c r="A36" s="11" t="s">
        <v>146</v>
      </c>
      <c r="B36" s="16" t="s">
        <v>145</v>
      </c>
      <c r="C36" s="15" t="s">
        <v>142</v>
      </c>
      <c r="D36" s="15" t="s">
        <v>150</v>
      </c>
      <c r="E36" s="15"/>
      <c r="F36" s="15"/>
      <c r="G36" s="15">
        <f>SUM(($E5*G5)+($E6*G6)+($E7*G7)+($E8*G8)+($E9*G9)+($E10*G10)+($E11*G11)+($E12*G12)+($E13*G13)+($E14*G14)+($E15*G15)+($E16*G16)+($E17*G17)+($E18*G18)+($E19*G19)+($E20*G20)+($E21*G21))+SUM(($E23*G23)+($E24*G24)+($E25*G25)+($E26*G26)+($E27*G27)+($E28*G28)+($E29*G29))</f>
        <v>-1213.7009346304435</v>
      </c>
      <c r="H36" s="15">
        <f t="shared" ref="H36:N36" si="16">SUM(($E5*H5)+($E6*H6)+($E7*H7)+($E8*H8)+($E9*H9)+($E10*H10)+($E11*H11)+($E12*H12)+($E13*H13)+($E14*H14)+($E15*H15)+($E16*H16)+($E17*H17)+($E18*H18)+($E19*H19)+($E20*H20)+($E21*H21))+SUM(($E23*H23)+($E24*H24)+($E25*H25)+($E26*H26)+($E27*H27)+($E28*H28)+($E29*H29))</f>
        <v>3528.5602574340237</v>
      </c>
      <c r="I36" s="15">
        <f t="shared" si="16"/>
        <v>5221.5656759858593</v>
      </c>
      <c r="J36" s="15">
        <f t="shared" si="16"/>
        <v>1674.2123255600136</v>
      </c>
      <c r="K36" s="15">
        <f t="shared" si="16"/>
        <v>4619.5981688136835</v>
      </c>
      <c r="L36" s="15">
        <f t="shared" si="16"/>
        <v>954.42559833122289</v>
      </c>
      <c r="M36" s="15">
        <f t="shared" si="16"/>
        <v>21.96435607247394</v>
      </c>
      <c r="N36" s="15">
        <f t="shared" si="16"/>
        <v>11015.873605556153</v>
      </c>
      <c r="P36" s="17">
        <f t="shared" ref="P36" si="17">((4*(H36))+(I36)+(5*J36)+(-2*K36)+(5*L36)+(6*M36)+(-G36))/H36</f>
        <v>6.9675123180394616</v>
      </c>
      <c r="Q36" s="17">
        <f t="shared" ref="Q36" si="18">((4*(H36))+(I36)+(-3*J36)+(-2*K36)+(5*L36)+(6*M36)+(-G36))/H36</f>
        <v>3.1717152712802164</v>
      </c>
      <c r="R36" s="17">
        <f t="shared" ref="R36" si="19">((4*(H36))+(I36)+(0*J36)+(-2*K36)+(5*L36)+(6*M36)+(-G36))/H36</f>
        <v>4.5951391638149337</v>
      </c>
    </row>
    <row r="37" spans="1:18" x14ac:dyDescent="0.25">
      <c r="A37" s="11" t="s">
        <v>144</v>
      </c>
      <c r="B37" s="11" t="s">
        <v>143</v>
      </c>
      <c r="C37" s="11" t="s">
        <v>147</v>
      </c>
      <c r="D37" s="11" t="str">
        <f>((E5&amp;$B$36&amp;(D5))&amp;$B$36&amp;$B$37&amp;$B$36&amp;(E6&amp;$B$36&amp;D6)&amp;$B$36&amp;$B$37&amp;$B$36&amp;(E7&amp;$B$36&amp;D7)&amp;$B$36&amp;$B$37&amp;$B$36&amp;(E8&amp;$B$36&amp;D8)&amp;$B$36&amp;$B$37&amp;$B$36&amp;(E9&amp;$B$36&amp;D9)&amp;$B$36&amp;$B$37&amp;$B$36&amp;(E10&amp;$B$36&amp;D10)&amp;$B$36&amp;$B$37&amp;$B$36&amp;(E11&amp;$B$36&amp;D11)&amp;$B$36&amp;$B$37&amp;$B$36&amp;(E12&amp;$B$36&amp;D12)&amp;$B$36&amp;$B$37&amp;$B$36&amp;((E13+E19)&amp;$B$36&amp;D13)&amp;$B$36&amp;$B$37&amp;$B$36&amp;(E14&amp;$B$36&amp;D14)&amp;$B$36&amp;$B$37&amp;$B$36&amp;(E15&amp;$B$36&amp;D15)&amp;$B$36&amp;$B$37&amp;$B$36&amp;(E16&amp;$B$36&amp;D16)&amp;$B$36&amp;$B$37&amp;$B$36&amp;(E17&amp;$B$36&amp;D17)&amp;$B$36&amp;$B$37&amp;$B$36&amp;(E18&amp;$B$36&amp;D18)&amp;$B$36&amp;$B$37&amp;$B$36&amp;(E20&amp;$B$36&amp;D20)&amp;$B$36&amp;$B$37&amp;$B$36&amp;(E21&amp;$B$36&amp;D21)&amp;$B$36&amp;$B$39&amp;$B$36&amp;(D36)&amp;$B$36&amp;$B$37&amp;$B$36&amp;(-E23&amp;$B$36&amp;D23)&amp;$B$36&amp;$B$37&amp;$B$36&amp;(-E24&amp;$B$36&amp;D24)&amp;$B$36&amp;$B$37&amp;$B$36&amp;(-E25&amp;$B$36&amp;D25)&amp;$B$36&amp;$B$37&amp;$B$36&amp;(-E26&amp;$B$36&amp;D26)&amp;$B$36&amp;$B$37&amp;$B$36&amp;(-E27&amp;$B$36&amp;D27)&amp;$B$36&amp;$B$37&amp;$B$36&amp;(-E28&amp;$B$36&amp;D28)&amp;$B$36&amp;$B$37&amp;$B$36&amp;(-E29&amp;$B$36&amp;D29))</f>
        <v>0.33525017878437 D-glucopyranose_6-phosphate + 2.76300389571188 D-ribose_5-phosphate + 1.51166682921877 D-erythrose_4-phosphate + 8.19173319968786 phosphoenolpyruvate + 10.7835700117804 pyruvate + 10.982178036237 acetyl-CoA + 4.00765717469613 2-oxoglutarate + 5.8795500917648 oxaloacetate + 145.955146001733 ATP + -12.0640743345486 NADPH + 35.7164912265533 N_GLU + 24.9304271663154 N_GLN + 0.583182425886587 polyhydroxybutyrate_produced + 0.131727321248543 L-ornithine + -12.064 NAD+ + 145.955146001733 H2O = biomass  + -12.064 NADH + -0.894553752061566 CO2 + -145.955146001733 phosphate + -145.955146001733 ADP + -10.982178036237 coenzyme_A + -191.910292003466 H+ + -12.0640743345486 NADP+</v>
      </c>
    </row>
    <row r="38" spans="1:18" x14ac:dyDescent="0.25">
      <c r="B38" s="11" t="s">
        <v>149</v>
      </c>
      <c r="C38" s="11" t="s">
        <v>148</v>
      </c>
      <c r="D38" s="11" t="s">
        <v>169</v>
      </c>
    </row>
    <row r="39" spans="1:18" x14ac:dyDescent="0.25">
      <c r="A39" s="11" t="s">
        <v>152</v>
      </c>
      <c r="B39" s="16" t="s">
        <v>151</v>
      </c>
    </row>
    <row r="40" spans="1:18" ht="16.5" thickBot="1" x14ac:dyDescent="0.3"/>
    <row r="41" spans="1:18" ht="16.5" thickBot="1" x14ac:dyDescent="0.3">
      <c r="A41" s="18"/>
      <c r="B41" s="19"/>
      <c r="C41" s="19" t="s">
        <v>198</v>
      </c>
      <c r="D41" s="19"/>
      <c r="E41" s="19"/>
      <c r="F41" s="19"/>
      <c r="G41" s="19"/>
      <c r="H41" s="19"/>
      <c r="I41" s="19"/>
      <c r="J41" s="19"/>
      <c r="K41" s="19"/>
      <c r="L41" s="19"/>
      <c r="M41" s="19"/>
      <c r="N41" s="19"/>
      <c r="O41" s="19"/>
      <c r="P41" s="19"/>
      <c r="Q41" s="20"/>
    </row>
    <row r="42" spans="1:18" x14ac:dyDescent="0.25">
      <c r="C42" s="9" t="s">
        <v>110</v>
      </c>
      <c r="D42" s="9" t="s">
        <v>111</v>
      </c>
      <c r="E42" s="9" t="s">
        <v>109</v>
      </c>
      <c r="F42" s="9" t="s">
        <v>98</v>
      </c>
      <c r="G42" s="9" t="s">
        <v>99</v>
      </c>
      <c r="H42" s="9" t="s">
        <v>100</v>
      </c>
      <c r="I42" s="9" t="s">
        <v>101</v>
      </c>
      <c r="J42" s="9" t="s">
        <v>102</v>
      </c>
      <c r="K42" s="9" t="s">
        <v>103</v>
      </c>
      <c r="L42" s="9" t="s">
        <v>104</v>
      </c>
      <c r="M42" s="9" t="s">
        <v>105</v>
      </c>
      <c r="N42" s="9" t="s">
        <v>106</v>
      </c>
      <c r="P42" s="9" t="s">
        <v>107</v>
      </c>
      <c r="Q42" s="9" t="s">
        <v>139</v>
      </c>
      <c r="R42" s="9" t="s">
        <v>108</v>
      </c>
    </row>
    <row r="43" spans="1:18" ht="18.75" x14ac:dyDescent="0.35">
      <c r="A43" s="11" t="s">
        <v>128</v>
      </c>
      <c r="C43" s="13" t="str">
        <f>'[1]OB3b specific for type II'!$AA$23</f>
        <v>glc-6-p</v>
      </c>
      <c r="D43" s="11" t="s">
        <v>157</v>
      </c>
      <c r="E43" s="11">
        <f>'[1]OB3b specific for type II'!$AU$37</f>
        <v>0.33525017878437036</v>
      </c>
      <c r="F43" s="11" t="s">
        <v>115</v>
      </c>
      <c r="G43" s="11">
        <v>-2</v>
      </c>
      <c r="H43" s="11">
        <v>6</v>
      </c>
      <c r="I43" s="11">
        <v>11</v>
      </c>
      <c r="K43" s="11">
        <v>9</v>
      </c>
      <c r="L43" s="11">
        <v>1</v>
      </c>
      <c r="N43" s="10">
        <f>(4*H43)+(I43)+(-3*J43)+(-2*K43)+(5*L43)+(-2*M43)+(-1*G43)</f>
        <v>24</v>
      </c>
      <c r="P43">
        <f>((4*(H43))+(I43)+(5*J43)+(-2*K43)+(5*L43)+(6*M43)+(-G43))/H43</f>
        <v>4</v>
      </c>
      <c r="Q43">
        <f>((4*(H43))+(I43)+(-3*J43)+(-2*K43)+(5*L43)+(6*M43)+(-G43))/H43</f>
        <v>4</v>
      </c>
      <c r="R43">
        <f>((4*(H43))+(I43)+(0*J43)+(-2*K43)+(5*L43)+(6*M43)+(-G43))/H43</f>
        <v>4</v>
      </c>
    </row>
    <row r="44" spans="1:18" ht="18.75" x14ac:dyDescent="0.35">
      <c r="C44" s="13" t="str">
        <f>'[1]OB3b specific for type II'!$AB$23</f>
        <v>rib-5-p</v>
      </c>
      <c r="D44" s="11" t="s">
        <v>158</v>
      </c>
      <c r="E44" s="11">
        <f>'[1]OB3b specific for type II'!$AV$37</f>
        <v>2.7630038957118814</v>
      </c>
      <c r="F44" s="11" t="s">
        <v>116</v>
      </c>
      <c r="G44" s="11">
        <v>-2</v>
      </c>
      <c r="H44" s="11">
        <v>5</v>
      </c>
      <c r="I44" s="11">
        <v>9</v>
      </c>
      <c r="K44" s="11">
        <v>8</v>
      </c>
      <c r="L44" s="11">
        <v>1</v>
      </c>
      <c r="N44" s="10">
        <f t="shared" ref="N44:N45" si="20">(4*H44)+(I44)+(-3*J44)+(-2*K44)+(5*L44)+(-2*M44)+(-1*G44)</f>
        <v>20</v>
      </c>
      <c r="P44">
        <f t="shared" ref="P44:P58" si="21">((4*(H44))+(I44)+(5*J44)+(-2*K44)+(5*L44)+(6*M44)+(-G44))/H44</f>
        <v>4</v>
      </c>
      <c r="Q44">
        <f t="shared" ref="Q44:Q67" si="22">((4*(H44))+(I44)+(-3*J44)+(-2*K44)+(5*L44)+(6*M44)+(-G44))/H44</f>
        <v>4</v>
      </c>
      <c r="R44">
        <f t="shared" ref="R44:R58" si="23">((4*(H44))+(I44)+(0*J44)+(-2*K44)+(5*L44)+(6*M44)+(-G44))/H44</f>
        <v>4</v>
      </c>
    </row>
    <row r="45" spans="1:18" x14ac:dyDescent="0.25">
      <c r="C45" s="13" t="str">
        <f>'[1]OB3b specific for type II'!$AC$23</f>
        <v>ery-4-p</v>
      </c>
      <c r="D45" s="11" t="s">
        <v>159</v>
      </c>
      <c r="E45" s="11">
        <f>'[1]OB3b specific for type II'!$AW$37</f>
        <v>1.5116668292187683</v>
      </c>
      <c r="F45" s="11" t="s">
        <v>113</v>
      </c>
      <c r="G45" s="11">
        <v>-2</v>
      </c>
      <c r="H45" s="11">
        <v>4</v>
      </c>
      <c r="I45" s="11">
        <v>7</v>
      </c>
      <c r="K45" s="11">
        <v>7</v>
      </c>
      <c r="L45" s="11">
        <v>1</v>
      </c>
      <c r="N45" s="10">
        <f t="shared" si="20"/>
        <v>16</v>
      </c>
      <c r="P45">
        <f t="shared" si="21"/>
        <v>4</v>
      </c>
      <c r="Q45">
        <f t="shared" si="22"/>
        <v>4</v>
      </c>
      <c r="R45">
        <f t="shared" si="23"/>
        <v>4</v>
      </c>
    </row>
    <row r="46" spans="1:18" ht="18.75" x14ac:dyDescent="0.35">
      <c r="C46" s="13" t="str">
        <f>'[1]OB3b specific for type II'!$AD$23</f>
        <v>pep</v>
      </c>
      <c r="D46" s="11" t="s">
        <v>160</v>
      </c>
      <c r="E46" s="11">
        <f>'[1]OB3b specific for type II'!$AX$37</f>
        <v>8.1917331996878584</v>
      </c>
      <c r="F46" s="11" t="s">
        <v>117</v>
      </c>
      <c r="G46" s="11">
        <v>-3</v>
      </c>
      <c r="H46" s="11">
        <v>3</v>
      </c>
      <c r="I46" s="11">
        <v>2</v>
      </c>
      <c r="K46" s="11">
        <v>6</v>
      </c>
      <c r="L46" s="11">
        <v>1</v>
      </c>
      <c r="N46" s="10">
        <v>10</v>
      </c>
      <c r="P46">
        <f t="shared" si="21"/>
        <v>3.3333333333333335</v>
      </c>
      <c r="Q46">
        <f t="shared" si="22"/>
        <v>3.3333333333333335</v>
      </c>
      <c r="R46">
        <f t="shared" si="23"/>
        <v>3.3333333333333335</v>
      </c>
    </row>
    <row r="47" spans="1:18" ht="18.75" x14ac:dyDescent="0.35">
      <c r="C47" s="13" t="str">
        <f>'[1]OB3b specific for type II'!$AE$23</f>
        <v>pyr</v>
      </c>
      <c r="D47" s="11" t="s">
        <v>161</v>
      </c>
      <c r="E47" s="11">
        <f>'[1]OB3b specific for type II'!$AY$37</f>
        <v>10.783570011780441</v>
      </c>
      <c r="F47" s="11" t="s">
        <v>118</v>
      </c>
      <c r="G47" s="11">
        <v>-1</v>
      </c>
      <c r="H47" s="11">
        <v>3</v>
      </c>
      <c r="I47" s="11">
        <v>3</v>
      </c>
      <c r="K47" s="11">
        <v>3</v>
      </c>
      <c r="N47" s="10">
        <f t="shared" ref="N47" si="24">(4*H47)+(I47)+(-3*J47)+(-2*K47)+(5*L47)+(-2*M47)+(-1*G47)</f>
        <v>10</v>
      </c>
      <c r="P47">
        <f t="shared" si="21"/>
        <v>3.3333333333333335</v>
      </c>
      <c r="Q47">
        <f t="shared" si="22"/>
        <v>3.3333333333333335</v>
      </c>
      <c r="R47">
        <f t="shared" si="23"/>
        <v>3.3333333333333335</v>
      </c>
    </row>
    <row r="48" spans="1:18" ht="18.75" x14ac:dyDescent="0.35">
      <c r="C48" s="13" t="str">
        <f>'[1]OB3b specific for type II'!$AF$23</f>
        <v>ace-coa</v>
      </c>
      <c r="D48" s="11" t="s">
        <v>162</v>
      </c>
      <c r="E48" s="11">
        <f>'[1]OB3b specific for type II'!$AZ$37</f>
        <v>10.98217803623697</v>
      </c>
      <c r="F48" s="11" t="s">
        <v>119</v>
      </c>
      <c r="G48" s="11">
        <v>-4</v>
      </c>
      <c r="H48" s="11">
        <v>23</v>
      </c>
      <c r="I48" s="11">
        <v>34</v>
      </c>
      <c r="J48" s="11">
        <v>7</v>
      </c>
      <c r="K48" s="11">
        <v>17</v>
      </c>
      <c r="L48" s="11">
        <v>3</v>
      </c>
      <c r="M48" s="11">
        <v>1</v>
      </c>
      <c r="N48" s="10">
        <v>88</v>
      </c>
      <c r="P48">
        <f t="shared" si="21"/>
        <v>6.6086956521739131</v>
      </c>
      <c r="Q48">
        <f t="shared" si="22"/>
        <v>4.1739130434782608</v>
      </c>
      <c r="R48">
        <f t="shared" si="23"/>
        <v>5.0869565217391308</v>
      </c>
    </row>
    <row r="49" spans="1:18" ht="18.75" x14ac:dyDescent="0.25">
      <c r="C49" s="13" t="str">
        <f>'[1]OB3b specific for type II'!$AG$23</f>
        <v>akg</v>
      </c>
      <c r="D49" s="11" t="s">
        <v>163</v>
      </c>
      <c r="E49" s="11">
        <f>'[1]OB3b specific for type II'!$BA$37</f>
        <v>4.0076571746961296</v>
      </c>
      <c r="F49" s="12" t="s">
        <v>120</v>
      </c>
      <c r="G49" s="11">
        <v>-2</v>
      </c>
      <c r="H49" s="11">
        <v>5</v>
      </c>
      <c r="I49" s="11">
        <v>4</v>
      </c>
      <c r="K49" s="11">
        <v>5</v>
      </c>
      <c r="N49" s="10">
        <f t="shared" ref="N49" si="25">(4*H49)+(I49)+(-3*J49)+(-2*K49)+(5*L49)+(-2*M49)+(-1*G49)</f>
        <v>16</v>
      </c>
      <c r="P49">
        <f t="shared" si="21"/>
        <v>3.2</v>
      </c>
      <c r="Q49">
        <f t="shared" si="22"/>
        <v>3.2</v>
      </c>
      <c r="R49">
        <f t="shared" si="23"/>
        <v>3.2</v>
      </c>
    </row>
    <row r="50" spans="1:18" ht="18.75" x14ac:dyDescent="0.35">
      <c r="C50" s="13" t="str">
        <f>'[1]OB3b specific for type II'!$AH$23</f>
        <v>oxalo</v>
      </c>
      <c r="D50" s="11" t="s">
        <v>164</v>
      </c>
      <c r="E50" s="11">
        <f>'[1]OB3b specific for type II'!$BB$37</f>
        <v>5.8795500917648047</v>
      </c>
      <c r="F50" s="11" t="s">
        <v>121</v>
      </c>
      <c r="G50" s="11">
        <v>-2</v>
      </c>
      <c r="H50" s="11">
        <v>4</v>
      </c>
      <c r="I50" s="11">
        <v>2</v>
      </c>
      <c r="K50" s="11">
        <v>5</v>
      </c>
      <c r="N50" s="10">
        <v>10</v>
      </c>
      <c r="P50">
        <f t="shared" si="21"/>
        <v>2.5</v>
      </c>
      <c r="Q50">
        <f t="shared" si="22"/>
        <v>2.5</v>
      </c>
      <c r="R50">
        <f t="shared" si="23"/>
        <v>2.5</v>
      </c>
    </row>
    <row r="51" spans="1:18" ht="18.75" x14ac:dyDescent="0.35">
      <c r="C51" s="13" t="str">
        <f>'[1]OB3b specific for type II'!$AI$23</f>
        <v>atp</v>
      </c>
      <c r="D51" s="11" t="s">
        <v>52</v>
      </c>
      <c r="E51" s="11">
        <f>'[1]OB3b specific for type II'!$BC$37</f>
        <v>45.955146001733027</v>
      </c>
      <c r="F51" s="11" t="s">
        <v>122</v>
      </c>
      <c r="G51" s="11">
        <v>-4</v>
      </c>
      <c r="H51" s="11">
        <v>10</v>
      </c>
      <c r="I51" s="11">
        <v>12</v>
      </c>
      <c r="J51" s="11">
        <v>5</v>
      </c>
      <c r="K51" s="11">
        <v>13</v>
      </c>
      <c r="L51" s="11">
        <v>3</v>
      </c>
      <c r="N51" s="10">
        <f t="shared" ref="N51:N54" si="26">(4*H51)+(I51)+(-3*J51)+(-2*K51)+(5*L51)+(-2*M51)+(-1*G51)</f>
        <v>30</v>
      </c>
      <c r="P51">
        <f t="shared" si="21"/>
        <v>7</v>
      </c>
      <c r="Q51">
        <f t="shared" si="22"/>
        <v>3</v>
      </c>
      <c r="R51">
        <f t="shared" si="23"/>
        <v>4.5</v>
      </c>
    </row>
    <row r="52" spans="1:18" ht="18.75" x14ac:dyDescent="0.35">
      <c r="A52" s="11" t="s">
        <v>154</v>
      </c>
      <c r="C52" s="13" t="str">
        <f>'[1]OB3b specific for type II'!$AK$23</f>
        <v>nadph</v>
      </c>
      <c r="D52" s="11" t="s">
        <v>165</v>
      </c>
      <c r="E52" s="21">
        <v>69</v>
      </c>
      <c r="F52" s="11" t="s">
        <v>124</v>
      </c>
      <c r="G52" s="11">
        <v>-4</v>
      </c>
      <c r="H52" s="11">
        <v>21</v>
      </c>
      <c r="I52" s="11">
        <v>26</v>
      </c>
      <c r="J52" s="11">
        <v>7</v>
      </c>
      <c r="K52" s="11">
        <v>17</v>
      </c>
      <c r="L52" s="11">
        <v>3</v>
      </c>
      <c r="N52" s="10">
        <f t="shared" si="26"/>
        <v>74</v>
      </c>
      <c r="P52">
        <f t="shared" si="21"/>
        <v>6.1904761904761907</v>
      </c>
      <c r="Q52">
        <f t="shared" si="22"/>
        <v>3.5238095238095237</v>
      </c>
      <c r="R52">
        <f t="shared" si="23"/>
        <v>4.5238095238095237</v>
      </c>
    </row>
    <row r="53" spans="1:18" x14ac:dyDescent="0.25">
      <c r="C53" s="13" t="str">
        <f>'[1]OB3b specific for type II'!$AL$23</f>
        <v>N_GLU</v>
      </c>
      <c r="D53" s="11" t="s">
        <v>97</v>
      </c>
      <c r="E53" s="11">
        <f>'[1]OB3b specific for type II'!$BF$37</f>
        <v>24.930427166315436</v>
      </c>
      <c r="F53" s="11" t="s">
        <v>114</v>
      </c>
      <c r="G53" s="11">
        <v>1</v>
      </c>
      <c r="I53" s="11">
        <v>4</v>
      </c>
      <c r="J53" s="11">
        <v>1</v>
      </c>
      <c r="N53" s="10">
        <f t="shared" si="26"/>
        <v>0</v>
      </c>
      <c r="P53" t="e">
        <f t="shared" si="21"/>
        <v>#DIV/0!</v>
      </c>
      <c r="Q53" t="e">
        <f t="shared" si="22"/>
        <v>#DIV/0!</v>
      </c>
      <c r="R53" t="e">
        <f t="shared" si="23"/>
        <v>#DIV/0!</v>
      </c>
    </row>
    <row r="54" spans="1:18" x14ac:dyDescent="0.25">
      <c r="C54" s="13" t="str">
        <f>'[1]OB3b specific for type II'!$AM$23</f>
        <v>N_GLN</v>
      </c>
      <c r="D54" s="11" t="s">
        <v>96</v>
      </c>
      <c r="E54" s="11">
        <f>'[1]OB3b specific for type II'!$BG$37</f>
        <v>9.8487519155912651</v>
      </c>
      <c r="F54" s="11" t="s">
        <v>114</v>
      </c>
      <c r="G54" s="11">
        <v>1</v>
      </c>
      <c r="I54" s="11">
        <v>4</v>
      </c>
      <c r="J54" s="11">
        <v>1</v>
      </c>
      <c r="N54" s="10">
        <f t="shared" si="26"/>
        <v>0</v>
      </c>
      <c r="P54" t="e">
        <f t="shared" si="21"/>
        <v>#DIV/0!</v>
      </c>
      <c r="Q54" t="e">
        <f t="shared" si="22"/>
        <v>#DIV/0!</v>
      </c>
      <c r="R54" t="e">
        <f t="shared" si="23"/>
        <v>#DIV/0!</v>
      </c>
    </row>
    <row r="55" spans="1:18" x14ac:dyDescent="0.25">
      <c r="C55" s="13" t="str">
        <f>'[1]OB3b specific for type II'!$AO$23</f>
        <v>polyhydroxybutyrate</v>
      </c>
      <c r="D55" s="11" t="s">
        <v>168</v>
      </c>
      <c r="E55" s="11">
        <f>'[1]OB3b specific for type II'!$BI$37</f>
        <v>0.58318242588658697</v>
      </c>
      <c r="F55" s="26" t="s">
        <v>178</v>
      </c>
      <c r="G55" s="26">
        <v>-1</v>
      </c>
      <c r="H55" s="26">
        <v>4</v>
      </c>
      <c r="I55" s="26">
        <v>7</v>
      </c>
      <c r="J55" s="26"/>
      <c r="K55" s="26">
        <v>3</v>
      </c>
      <c r="L55" s="26"/>
      <c r="M55" s="26"/>
      <c r="N55" s="27">
        <v>18</v>
      </c>
      <c r="P55">
        <f t="shared" si="21"/>
        <v>4.5</v>
      </c>
      <c r="Q55">
        <f t="shared" si="22"/>
        <v>4.5</v>
      </c>
      <c r="R55">
        <f t="shared" si="23"/>
        <v>4.5</v>
      </c>
    </row>
    <row r="56" spans="1:18" ht="18.75" x14ac:dyDescent="0.35">
      <c r="C56" s="13" t="str">
        <f>'[1]OB3b specific for type II'!$AP$23</f>
        <v>L-ornithine</v>
      </c>
      <c r="D56" s="11" t="s">
        <v>85</v>
      </c>
      <c r="E56" s="11">
        <f>'[1]OB3b specific for type II'!$BJ$37</f>
        <v>0.13172732124854347</v>
      </c>
      <c r="F56" s="11" t="s">
        <v>126</v>
      </c>
      <c r="G56" s="11">
        <v>1</v>
      </c>
      <c r="H56" s="11">
        <v>5</v>
      </c>
      <c r="I56" s="11">
        <v>13</v>
      </c>
      <c r="J56" s="11">
        <v>2</v>
      </c>
      <c r="K56" s="11">
        <v>2</v>
      </c>
      <c r="N56" s="10">
        <f t="shared" ref="N56:N59" si="27">(4*H56)+(I56)+(-3*J56)+(-2*K56)+(5*L56)+(-2*M56)+(-1*G56)</f>
        <v>22</v>
      </c>
      <c r="P56">
        <f t="shared" si="21"/>
        <v>7.6</v>
      </c>
      <c r="Q56">
        <f t="shared" si="22"/>
        <v>4.4000000000000004</v>
      </c>
      <c r="R56">
        <f t="shared" si="23"/>
        <v>5.6</v>
      </c>
    </row>
    <row r="57" spans="1:18" ht="18.75" x14ac:dyDescent="0.35">
      <c r="C57" s="13" t="s">
        <v>19</v>
      </c>
      <c r="D57" s="11" t="s">
        <v>19</v>
      </c>
      <c r="E57" s="11">
        <v>100</v>
      </c>
      <c r="F57" s="11" t="s">
        <v>122</v>
      </c>
      <c r="G57" s="11">
        <v>-4</v>
      </c>
      <c r="H57" s="11">
        <v>10</v>
      </c>
      <c r="I57" s="11">
        <v>12</v>
      </c>
      <c r="J57" s="11">
        <v>5</v>
      </c>
      <c r="K57" s="11">
        <v>13</v>
      </c>
      <c r="L57" s="11">
        <v>3</v>
      </c>
      <c r="N57" s="10">
        <f t="shared" si="27"/>
        <v>30</v>
      </c>
      <c r="P57">
        <f t="shared" si="21"/>
        <v>7</v>
      </c>
      <c r="Q57">
        <f t="shared" si="22"/>
        <v>3</v>
      </c>
      <c r="R57">
        <f t="shared" si="23"/>
        <v>4.5</v>
      </c>
    </row>
    <row r="58" spans="1:18" ht="19.5" x14ac:dyDescent="0.35">
      <c r="C58" s="13" t="s">
        <v>133</v>
      </c>
      <c r="D58" s="11" t="s">
        <v>133</v>
      </c>
      <c r="E58" s="11">
        <f>-(E61)</f>
        <v>12.064074334548579</v>
      </c>
      <c r="F58" s="4" t="s">
        <v>140</v>
      </c>
      <c r="G58">
        <v>-1</v>
      </c>
      <c r="H58">
        <v>21</v>
      </c>
      <c r="I58">
        <v>26</v>
      </c>
      <c r="J58">
        <v>7</v>
      </c>
      <c r="K58">
        <v>14</v>
      </c>
      <c r="L58">
        <v>2</v>
      </c>
      <c r="M58"/>
      <c r="N58" s="8">
        <f t="shared" si="27"/>
        <v>72</v>
      </c>
      <c r="P58">
        <f t="shared" si="21"/>
        <v>6.0952380952380949</v>
      </c>
      <c r="Q58">
        <f t="shared" si="22"/>
        <v>3.4285714285714284</v>
      </c>
      <c r="R58">
        <f t="shared" si="23"/>
        <v>4.4285714285714288</v>
      </c>
    </row>
    <row r="59" spans="1:18" x14ac:dyDescent="0.25">
      <c r="C59" s="13" t="s">
        <v>141</v>
      </c>
      <c r="D59" s="11" t="s">
        <v>141</v>
      </c>
      <c r="E59" s="11">
        <f>E57+E51</f>
        <v>145.95514600173303</v>
      </c>
      <c r="F59" s="4" t="s">
        <v>141</v>
      </c>
      <c r="G59">
        <v>0</v>
      </c>
      <c r="H59"/>
      <c r="I59">
        <v>2</v>
      </c>
      <c r="J59"/>
      <c r="K59">
        <v>1</v>
      </c>
      <c r="L59"/>
      <c r="M59"/>
      <c r="N59" s="8">
        <f t="shared" si="27"/>
        <v>0</v>
      </c>
      <c r="P59"/>
      <c r="Q59" t="e">
        <f t="shared" si="22"/>
        <v>#DIV/0!</v>
      </c>
      <c r="R59"/>
    </row>
    <row r="60" spans="1:18" x14ac:dyDescent="0.25">
      <c r="Q60" t="e">
        <f t="shared" si="22"/>
        <v>#DIV/0!</v>
      </c>
    </row>
    <row r="61" spans="1:18" ht="18.75" x14ac:dyDescent="0.25">
      <c r="A61" s="11" t="s">
        <v>129</v>
      </c>
      <c r="C61" s="14" t="str">
        <f>'[1]OB3b specific for type II'!$AJ$23</f>
        <v>nadh</v>
      </c>
      <c r="D61" s="11" t="s">
        <v>166</v>
      </c>
      <c r="E61" s="11">
        <f>'[1]OB3b specific for type II'!$BD$37</f>
        <v>-12.064074334548579</v>
      </c>
      <c r="F61" s="12" t="s">
        <v>123</v>
      </c>
      <c r="G61" s="11">
        <v>-2</v>
      </c>
      <c r="H61" s="11">
        <v>21</v>
      </c>
      <c r="I61" s="11">
        <v>27</v>
      </c>
      <c r="J61" s="11">
        <v>7</v>
      </c>
      <c r="K61" s="11">
        <v>14</v>
      </c>
      <c r="L61" s="11">
        <v>2</v>
      </c>
      <c r="N61" s="10">
        <f>(4*H61)+(I61)+(-3*J61)+(-2*K61)+(5*L61)+(-2*M61)+(-1*G61)</f>
        <v>74</v>
      </c>
      <c r="P61">
        <f>((4*(H61))+(I61)+(5*J61)+(-2*K61)+(5*L61)+(6*M61)+(-G61))/H61</f>
        <v>6.1904761904761907</v>
      </c>
      <c r="Q61">
        <f t="shared" si="22"/>
        <v>3.5238095238095237</v>
      </c>
      <c r="R61">
        <f>((4*(H61))+(I61)+(0*J61)+(-2*K61)+(5*L61)+(6*M61)+(-G61))/H61</f>
        <v>4.5238095238095237</v>
      </c>
    </row>
    <row r="62" spans="1:18" ht="18.75" x14ac:dyDescent="0.35">
      <c r="C62" s="14" t="str">
        <f>'[1]OB3b specific for type II'!$AN$23</f>
        <v>co2</v>
      </c>
      <c r="D62" s="11" t="s">
        <v>12</v>
      </c>
      <c r="E62" s="11">
        <f>'[1]OB3b specific for type II'!$BH$37</f>
        <v>-0.89455375206156573</v>
      </c>
      <c r="F62" s="11" t="s">
        <v>125</v>
      </c>
      <c r="G62" s="11">
        <v>0</v>
      </c>
      <c r="H62" s="11">
        <v>1</v>
      </c>
      <c r="K62" s="11">
        <v>2</v>
      </c>
      <c r="N62" s="10">
        <f>(4*H62)+(I62)+(-3*J62)+(-2*K62)+(5*L62)+(-2*M62)+(-1*G62)</f>
        <v>0</v>
      </c>
      <c r="P62">
        <f>((4*(H62))+(I62)+(5*J62)+(-2*K62)+(5*L62)+(6*M62)+(-G62))/H62</f>
        <v>0</v>
      </c>
      <c r="Q62">
        <f t="shared" si="22"/>
        <v>0</v>
      </c>
      <c r="R62">
        <f>((4*(H62))+(I62)+(0*J62)+(-2*K62)+(5*L62)+(6*M62)+(-G62))/H62</f>
        <v>0</v>
      </c>
    </row>
    <row r="63" spans="1:18" x14ac:dyDescent="0.25">
      <c r="C63" s="14" t="s">
        <v>127</v>
      </c>
      <c r="D63" s="11" t="s">
        <v>127</v>
      </c>
      <c r="E63" s="11">
        <f>-(E51+E57)</f>
        <v>-145.95514600173303</v>
      </c>
      <c r="F63" s="31" t="s">
        <v>135</v>
      </c>
      <c r="G63">
        <v>-2</v>
      </c>
      <c r="H63"/>
      <c r="I63">
        <v>1</v>
      </c>
      <c r="J63"/>
      <c r="K63">
        <v>4</v>
      </c>
      <c r="L63">
        <v>1</v>
      </c>
      <c r="M63"/>
      <c r="N63" s="8">
        <f>(4*H63)+(I63)+(-3*J63)+(-2*K63)+(5*L63)+(-2*M63)+(-1*G63)</f>
        <v>0</v>
      </c>
      <c r="P63" t="e">
        <f t="shared" ref="P63:P67" si="28">((4*(H63))+(I63)+(5*J63)+(-2*K63)+(5*L63)+(6*M63)+(-G63))/H63</f>
        <v>#DIV/0!</v>
      </c>
      <c r="Q63" t="e">
        <f t="shared" si="22"/>
        <v>#DIV/0!</v>
      </c>
      <c r="R63" t="e">
        <f t="shared" ref="R63:R67" si="29">((4*(H63))+(I63)+(0*J63)+(-2*K63)+(5*L63)+(6*M63)+(-G63))/H63</f>
        <v>#DIV/0!</v>
      </c>
    </row>
    <row r="64" spans="1:18" ht="19.5" x14ac:dyDescent="0.35">
      <c r="C64" s="14" t="s">
        <v>130</v>
      </c>
      <c r="D64" s="11" t="s">
        <v>130</v>
      </c>
      <c r="E64" s="11">
        <f>-(E51+E57)</f>
        <v>-145.95514600173303</v>
      </c>
      <c r="F64" s="4" t="s">
        <v>136</v>
      </c>
      <c r="G64">
        <v>-3</v>
      </c>
      <c r="H64">
        <v>10</v>
      </c>
      <c r="I64">
        <v>12</v>
      </c>
      <c r="J64">
        <v>5</v>
      </c>
      <c r="K64">
        <v>10</v>
      </c>
      <c r="L64">
        <v>2</v>
      </c>
      <c r="M64"/>
      <c r="N64" s="8">
        <f t="shared" ref="N64" si="30">(4*H64)+(I64)+(-3*J64)+(-2*K64)+(5*L64)+(-2*M64)+(-1*G64)</f>
        <v>30</v>
      </c>
      <c r="P64">
        <f t="shared" si="28"/>
        <v>7</v>
      </c>
      <c r="Q64">
        <f t="shared" si="22"/>
        <v>3</v>
      </c>
      <c r="R64">
        <f t="shared" si="29"/>
        <v>4.5</v>
      </c>
    </row>
    <row r="65" spans="1:18" ht="18.75" x14ac:dyDescent="0.35">
      <c r="C65" s="14" t="s">
        <v>131</v>
      </c>
      <c r="D65" s="11" t="s">
        <v>167</v>
      </c>
      <c r="E65" s="11">
        <f>-(E48)</f>
        <v>-10.98217803623697</v>
      </c>
      <c r="F65" t="s">
        <v>137</v>
      </c>
      <c r="G65">
        <v>-4</v>
      </c>
      <c r="H65">
        <v>21</v>
      </c>
      <c r="I65">
        <v>32</v>
      </c>
      <c r="J65">
        <v>7</v>
      </c>
      <c r="K65">
        <v>16</v>
      </c>
      <c r="L65">
        <v>3</v>
      </c>
      <c r="M65">
        <v>1</v>
      </c>
      <c r="N65" s="8">
        <v>80</v>
      </c>
      <c r="P65">
        <f t="shared" si="28"/>
        <v>6.8571428571428568</v>
      </c>
      <c r="Q65">
        <f t="shared" si="22"/>
        <v>4.1904761904761907</v>
      </c>
      <c r="R65">
        <f t="shared" si="29"/>
        <v>5.1904761904761907</v>
      </c>
    </row>
    <row r="66" spans="1:18" x14ac:dyDescent="0.25">
      <c r="C66" s="14" t="s">
        <v>132</v>
      </c>
      <c r="D66" s="11" t="s">
        <v>132</v>
      </c>
      <c r="E66" s="11">
        <f>-(E51+E59)</f>
        <v>-191.91029200346605</v>
      </c>
      <c r="F66" t="s">
        <v>101</v>
      </c>
      <c r="G66">
        <v>1</v>
      </c>
      <c r="H66"/>
      <c r="I66">
        <v>1</v>
      </c>
      <c r="J66"/>
      <c r="K66"/>
      <c r="L66"/>
      <c r="M66"/>
      <c r="N66" s="8">
        <f t="shared" ref="N66:N67" si="31">(4*H66)+(I66)+(-3*J66)+(-2*K66)+(5*L66)+(-2*M66)+(-1*G66)</f>
        <v>0</v>
      </c>
      <c r="P66" t="e">
        <f t="shared" si="28"/>
        <v>#DIV/0!</v>
      </c>
      <c r="Q66" t="e">
        <f t="shared" si="22"/>
        <v>#DIV/0!</v>
      </c>
      <c r="R66" t="e">
        <f t="shared" si="29"/>
        <v>#DIV/0!</v>
      </c>
    </row>
    <row r="67" spans="1:18" ht="18.75" x14ac:dyDescent="0.35">
      <c r="C67" s="14" t="s">
        <v>134</v>
      </c>
      <c r="D67" s="11" t="s">
        <v>134</v>
      </c>
      <c r="E67" s="21">
        <f>-(E52)</f>
        <v>-69</v>
      </c>
      <c r="F67" t="s">
        <v>138</v>
      </c>
      <c r="G67">
        <v>-3</v>
      </c>
      <c r="H67">
        <v>21</v>
      </c>
      <c r="I67">
        <v>25</v>
      </c>
      <c r="J67">
        <v>7</v>
      </c>
      <c r="K67">
        <v>17</v>
      </c>
      <c r="L67">
        <v>3</v>
      </c>
      <c r="M67"/>
      <c r="N67" s="8">
        <f t="shared" si="31"/>
        <v>72</v>
      </c>
      <c r="P67">
        <f t="shared" si="28"/>
        <v>6.0952380952380949</v>
      </c>
      <c r="Q67">
        <f t="shared" si="22"/>
        <v>3.4285714285714284</v>
      </c>
      <c r="R67">
        <f t="shared" si="29"/>
        <v>4.4285714285714288</v>
      </c>
    </row>
    <row r="74" spans="1:18" x14ac:dyDescent="0.25">
      <c r="A74" s="11" t="s">
        <v>146</v>
      </c>
      <c r="B74" s="16" t="s">
        <v>145</v>
      </c>
      <c r="C74" s="15" t="s">
        <v>153</v>
      </c>
      <c r="D74" s="15"/>
      <c r="E74" s="15"/>
      <c r="F74" s="15"/>
      <c r="G74" s="15">
        <f>SUM(($E43*G43)+($E44*G44)+($E45*G45)+($E46*G46)+($E47*G47)+($E48*G48)+($E49*G49)+($E50*G50)+($E51*G51)+($E52*G52)+($E53*G53)+($E54*G54)+($E55*G55)+($E56*G56)+($E57*G57)+($E58*G58)+($E59*G59))+SUM(($E61*G61)+($E62*G62)+($E63*G63)+($E64*G64)+($E65*G65)+($E66*G66)+($E67*G67))</f>
        <v>-132.9163736411117</v>
      </c>
      <c r="H74" s="15">
        <f t="shared" ref="H74:N74" si="32">SUM(($E43*H43)+($E44*H44)+($E45*H45)+($E46*H46)+($E47*H47)+($E48*H48)+($E49*H49)+($E50*H50)+($E51*H51)+($E52*H52)+($E53*H53)+($E54*H54)+($E55*H55)+($E56*H56)+($E57*H57)+($E58*H58)+($E59*H59))+SUM(($E61*H61)+($E62*H62)+($E63*H63)+($E64*H64)+($E65*H65)+($E66*H66)+($E67*H67))</f>
        <v>146.41675237328673</v>
      </c>
      <c r="I74" s="15">
        <f t="shared" si="32"/>
        <v>293.51694437085371</v>
      </c>
      <c r="J74" s="15">
        <f t="shared" si="32"/>
        <v>35.042633724403686</v>
      </c>
      <c r="K74" s="15">
        <f t="shared" si="32"/>
        <v>177.84616859732978</v>
      </c>
      <c r="L74" s="15">
        <f t="shared" si="32"/>
        <v>12.801654103402939</v>
      </c>
      <c r="M74" s="15">
        <f t="shared" si="32"/>
        <v>0</v>
      </c>
      <c r="N74" s="15">
        <f t="shared" si="32"/>
        <v>615.28835965425606</v>
      </c>
      <c r="P74" s="17">
        <f t="shared" ref="P74:P75" si="33">((4*(H74))+(I74)+(5*J74)+(-2*K74)+(5*L74)+(6*M74)+(-G74))/H74</f>
        <v>6.1169874002265514</v>
      </c>
      <c r="Q74" s="17">
        <f t="shared" ref="Q74:Q75" si="34">((4*(H74))+(I74)+(-3*J74)+(-2*K74)+(5*L74)+(6*M74)+(-G74))/H74</f>
        <v>4.2023084768714885</v>
      </c>
      <c r="R74" s="17">
        <f t="shared" ref="R74:R75" si="35">((4*(H74))+(I74)+(0*J74)+(-2*K74)+(5*L74)+(6*M74)+(-G74))/H74</f>
        <v>4.9203130731296367</v>
      </c>
    </row>
    <row r="75" spans="1:18" ht="18.75" x14ac:dyDescent="0.35">
      <c r="B75" s="16"/>
      <c r="C75" s="15" t="s">
        <v>155</v>
      </c>
      <c r="D75" s="15" t="s">
        <v>150</v>
      </c>
      <c r="E75" s="15"/>
      <c r="F75" s="15" t="s">
        <v>156</v>
      </c>
      <c r="G75" s="15">
        <f>G74/$H$74</f>
        <v>-0.90779484920034248</v>
      </c>
      <c r="H75" s="15">
        <f>H74/$H$74</f>
        <v>1</v>
      </c>
      <c r="I75" s="15">
        <f t="shared" ref="I75:N75" si="36">I74/$H$74</f>
        <v>2.0046677693173924</v>
      </c>
      <c r="J75" s="15">
        <f t="shared" si="36"/>
        <v>0.23933486541938287</v>
      </c>
      <c r="K75" s="15">
        <f t="shared" si="36"/>
        <v>1.2146572418428894</v>
      </c>
      <c r="L75" s="15">
        <f t="shared" si="36"/>
        <v>8.7432987659536152E-2</v>
      </c>
      <c r="M75" s="15">
        <f t="shared" si="36"/>
        <v>0</v>
      </c>
      <c r="N75" s="15">
        <f t="shared" si="36"/>
        <v>4.2023084768714858</v>
      </c>
      <c r="P75" s="17">
        <f t="shared" si="33"/>
        <v>6.1169874002265505</v>
      </c>
      <c r="Q75" s="17">
        <f t="shared" si="34"/>
        <v>4.2023084768714885</v>
      </c>
      <c r="R75" s="17">
        <f t="shared" si="35"/>
        <v>4.9203130731296376</v>
      </c>
    </row>
    <row r="76" spans="1:18" x14ac:dyDescent="0.25">
      <c r="A76" s="11" t="s">
        <v>144</v>
      </c>
      <c r="B76" s="11" t="s">
        <v>143</v>
      </c>
      <c r="C76" s="11" t="s">
        <v>147</v>
      </c>
      <c r="D76" s="11" t="str">
        <f>((E43&amp;$B$36&amp;(D43))&amp;$B$36&amp;$B$37&amp;$B$36&amp;(E44&amp;$B$36&amp;D44)&amp;$B$36&amp;$B$37&amp;$B$36&amp;(E45&amp;$B$36&amp;D45)&amp;$B$36&amp;$B$37&amp;$B$36&amp;(E46&amp;$B$36&amp;D46)&amp;$B$36&amp;$B$37&amp;$B$36&amp;(E47&amp;$B$36&amp;D47)&amp;$B$36&amp;$B$37&amp;$B$36&amp;(E48&amp;$B$36&amp;D48)&amp;$B$36&amp;$B$37&amp;$B$36&amp;(E49&amp;$B$36&amp;D49)&amp;$B$36&amp;$B$37&amp;$B$36&amp;(E50&amp;$B$36&amp;D50)&amp;$B$36&amp;$B$37&amp;$B$36&amp;((E51+E57)&amp;$B$36&amp;D51)&amp;$B$36&amp;$B$37&amp;$B$36&amp;(E52&amp;$B$36&amp;D52)&amp;$B$36&amp;$B$37&amp;$B$36&amp;(E53&amp;$B$36&amp;D53)&amp;$B$36&amp;$B$37&amp;$B$36&amp;(E54&amp;$B$36&amp;D54)&amp;$B$36&amp;$B$37&amp;$B$36&amp;(E55&amp;$B$36&amp;D55)&amp;$B$36&amp;$B$37&amp;$B$36&amp;(E56&amp;$B$36&amp;D56)&amp;$B$36&amp;$B$37&amp;$B$36&amp;(E58&amp;$B$36&amp;D58)&amp;$B$36&amp;$B$37&amp;$B$36&amp;(E59&amp;$B$36&amp;D59)&amp;$B$36&amp;$B$39&amp;$B$36&amp;(D74)&amp;$B$36&amp;$B$37&amp;$B$36&amp;(-E61&amp;$B$36&amp;D61)&amp;$B$36&amp;$B$37&amp;$B$36&amp;(-E62&amp;$B$36&amp;D62)&amp;$B$36&amp;$B$37&amp;$B$36&amp;(-E63&amp;$B$36&amp;D63)&amp;$B$36&amp;$B$37&amp;$B$36&amp;(-E64&amp;$B$36&amp;D64)&amp;$B$36&amp;$B$37&amp;$B$36&amp;(-E65&amp;$B$36&amp;D65)&amp;$B$36&amp;$B$37&amp;$B$36&amp;(-E66&amp;$B$36&amp;D66)&amp;$B$36&amp;$B$37&amp;$B$36&amp;(-E67&amp;$B$36&amp;D67))</f>
        <v>0.33525017878437 D-glucopyranose_6-phosphate + 2.76300389571188 D-ribose_5-phosphate + 1.51166682921877 D-erythrose_4-phosphate + 8.19173319968786 phosphoenolpyruvate + 10.7835700117804 pyruvate + 10.982178036237 acetyl-CoA + 4.00765717469613 2-oxoglutarate + 5.8795500917648 oxaloacetate + 145.955146001733 ATP + 69 NADPH + 24.9304271663154 N_GLU + 9.84875191559127 N_GLN + 0.583182425886587 polyhydroxybutyrate_produced + 0.131727321248543 L-ornithine + 12.0640743345486 NAD+ + 145.955146001733 H2O =  + 12.0640743345486 NADH + 0.894553752061566 CO2 + 145.955146001733 phosphate + 145.955146001733 ADP + 10.982178036237 coenzyme_A + 191.910292003466 H+ + 69 NADP+</v>
      </c>
    </row>
    <row r="77" spans="1:18" x14ac:dyDescent="0.25">
      <c r="B77" s="11" t="s">
        <v>149</v>
      </c>
      <c r="C77" s="11" t="s">
        <v>148</v>
      </c>
      <c r="D77" s="11" t="s">
        <v>170</v>
      </c>
    </row>
    <row r="78" spans="1:18" x14ac:dyDescent="0.25">
      <c r="A78" s="11" t="s">
        <v>152</v>
      </c>
      <c r="B78" s="16" t="s">
        <v>151</v>
      </c>
    </row>
    <row r="80" spans="1:18" ht="16.5" thickBot="1" x14ac:dyDescent="0.3"/>
    <row r="81" spans="1:18" ht="16.5" thickBot="1" x14ac:dyDescent="0.3">
      <c r="A81" s="18"/>
      <c r="B81" s="19"/>
      <c r="C81" s="19" t="s">
        <v>197</v>
      </c>
      <c r="D81" s="19"/>
      <c r="E81" s="19"/>
      <c r="F81" s="19"/>
      <c r="G81" s="19"/>
      <c r="H81" s="19"/>
      <c r="I81" s="19"/>
      <c r="J81" s="19"/>
      <c r="K81" s="19"/>
      <c r="L81" s="19"/>
      <c r="M81" s="19"/>
      <c r="N81" s="19"/>
      <c r="O81" s="19"/>
      <c r="P81" s="19"/>
      <c r="Q81" s="20"/>
    </row>
    <row r="82" spans="1:18" x14ac:dyDescent="0.25">
      <c r="C82" s="9" t="s">
        <v>110</v>
      </c>
      <c r="D82" s="9" t="s">
        <v>111</v>
      </c>
      <c r="E82" s="9" t="s">
        <v>109</v>
      </c>
      <c r="F82" s="9" t="s">
        <v>98</v>
      </c>
      <c r="G82" s="9" t="s">
        <v>99</v>
      </c>
      <c r="H82" s="9" t="s">
        <v>100</v>
      </c>
      <c r="I82" s="9" t="s">
        <v>101</v>
      </c>
      <c r="J82" s="9" t="s">
        <v>102</v>
      </c>
      <c r="K82" s="9" t="s">
        <v>103</v>
      </c>
      <c r="L82" s="9" t="s">
        <v>104</v>
      </c>
      <c r="M82" s="9" t="s">
        <v>105</v>
      </c>
      <c r="N82" s="9" t="s">
        <v>106</v>
      </c>
      <c r="P82" s="9" t="s">
        <v>107</v>
      </c>
      <c r="Q82" s="9" t="s">
        <v>139</v>
      </c>
      <c r="R82" s="9" t="s">
        <v>108</v>
      </c>
    </row>
    <row r="83" spans="1:18" ht="18.75" x14ac:dyDescent="0.35">
      <c r="A83" s="11" t="s">
        <v>128</v>
      </c>
      <c r="C83" s="13" t="str">
        <f>'[1]OB3b specific for type II'!$AA$23</f>
        <v>glc-6-p</v>
      </c>
      <c r="D83" s="11" t="s">
        <v>157</v>
      </c>
      <c r="E83" s="11">
        <f>E43/$H$115</f>
        <v>2.2896982302247518E-3</v>
      </c>
      <c r="F83" s="11" t="s">
        <v>115</v>
      </c>
      <c r="G83" s="11">
        <v>-2</v>
      </c>
      <c r="H83" s="11">
        <v>6</v>
      </c>
      <c r="I83" s="11">
        <v>11</v>
      </c>
      <c r="K83" s="11">
        <v>9</v>
      </c>
      <c r="L83" s="11">
        <v>1</v>
      </c>
      <c r="N83" s="10">
        <f>(4*H83)+(I83)+(-3*J83)+(-2*K83)+(5*L83)+(-2*M83)+(-1*G83)</f>
        <v>24</v>
      </c>
      <c r="P83">
        <f>((4*(H83))+(I83)+(5*J83)+(-2*K83)+(5*L83)+(6*M83)+(-G83))/H83</f>
        <v>4</v>
      </c>
      <c r="Q83">
        <f>((4*(H83))+(I83)+(-3*J83)+(-2*K83)+(5*L83)+(6*M83)+(-G83))/H83</f>
        <v>4</v>
      </c>
      <c r="R83">
        <f>((4*(H83))+(I83)+(0*J83)+(-2*K83)+(5*L83)+(6*M83)+(-G83))/H83</f>
        <v>4</v>
      </c>
    </row>
    <row r="84" spans="1:18" ht="18.75" x14ac:dyDescent="0.35">
      <c r="C84" s="13" t="str">
        <f>'[1]OB3b specific for type II'!$AB$23</f>
        <v>rib-5-p</v>
      </c>
      <c r="D84" s="11" t="s">
        <v>158</v>
      </c>
      <c r="E84" s="11">
        <f t="shared" ref="E84:E97" si="37">E44/$H$115</f>
        <v>1.8870818065050751E-2</v>
      </c>
      <c r="F84" s="11" t="s">
        <v>116</v>
      </c>
      <c r="G84" s="11">
        <v>-2</v>
      </c>
      <c r="H84" s="11">
        <v>5</v>
      </c>
      <c r="I84" s="11">
        <v>9</v>
      </c>
      <c r="K84" s="11">
        <v>8</v>
      </c>
      <c r="L84" s="11">
        <v>1</v>
      </c>
      <c r="N84" s="10">
        <f t="shared" ref="N84:N85" si="38">(4*H84)+(I84)+(-3*J84)+(-2*K84)+(5*L84)+(-2*M84)+(-1*G84)</f>
        <v>20</v>
      </c>
      <c r="P84">
        <f t="shared" ref="P84:P98" si="39">((4*(H84))+(I84)+(5*J84)+(-2*K84)+(5*L84)+(6*M84)+(-G84))/H84</f>
        <v>4</v>
      </c>
      <c r="Q84">
        <f t="shared" ref="Q84:Q107" si="40">((4*(H84))+(I84)+(-3*J84)+(-2*K84)+(5*L84)+(6*M84)+(-G84))/H84</f>
        <v>4</v>
      </c>
      <c r="R84">
        <f t="shared" ref="R84:R98" si="41">((4*(H84))+(I84)+(0*J84)+(-2*K84)+(5*L84)+(6*M84)+(-G84))/H84</f>
        <v>4</v>
      </c>
    </row>
    <row r="85" spans="1:18" x14ac:dyDescent="0.25">
      <c r="C85" s="13" t="str">
        <f>'[1]OB3b specific for type II'!$AC$23</f>
        <v>ery-4-p</v>
      </c>
      <c r="D85" s="11" t="s">
        <v>159</v>
      </c>
      <c r="E85" s="11">
        <f t="shared" si="37"/>
        <v>1.0324411685930599E-2</v>
      </c>
      <c r="F85" s="11" t="s">
        <v>113</v>
      </c>
      <c r="G85" s="11">
        <v>-2</v>
      </c>
      <c r="H85" s="11">
        <v>4</v>
      </c>
      <c r="I85" s="11">
        <v>7</v>
      </c>
      <c r="K85" s="11">
        <v>7</v>
      </c>
      <c r="L85" s="11">
        <v>1</v>
      </c>
      <c r="N85" s="10">
        <f t="shared" si="38"/>
        <v>16</v>
      </c>
      <c r="P85">
        <f t="shared" si="39"/>
        <v>4</v>
      </c>
      <c r="Q85">
        <f t="shared" si="40"/>
        <v>4</v>
      </c>
      <c r="R85">
        <f t="shared" si="41"/>
        <v>4</v>
      </c>
    </row>
    <row r="86" spans="1:18" ht="18.75" x14ac:dyDescent="0.35">
      <c r="C86" s="13" t="str">
        <f>'[1]OB3b specific for type II'!$AD$23</f>
        <v>pep</v>
      </c>
      <c r="D86" s="11" t="s">
        <v>160</v>
      </c>
      <c r="E86" s="11">
        <f t="shared" si="37"/>
        <v>5.5948059678329637E-2</v>
      </c>
      <c r="F86" s="11" t="s">
        <v>117</v>
      </c>
      <c r="G86" s="11">
        <v>-3</v>
      </c>
      <c r="H86" s="11">
        <v>3</v>
      </c>
      <c r="I86" s="11">
        <v>2</v>
      </c>
      <c r="K86" s="11">
        <v>6</v>
      </c>
      <c r="L86" s="11">
        <v>1</v>
      </c>
      <c r="N86" s="10">
        <v>10</v>
      </c>
      <c r="P86">
        <f t="shared" si="39"/>
        <v>3.3333333333333335</v>
      </c>
      <c r="Q86">
        <f t="shared" si="40"/>
        <v>3.3333333333333335</v>
      </c>
      <c r="R86">
        <f t="shared" si="41"/>
        <v>3.3333333333333335</v>
      </c>
    </row>
    <row r="87" spans="1:18" ht="18.75" x14ac:dyDescent="0.35">
      <c r="C87" s="13" t="str">
        <f>'[1]OB3b specific for type II'!$AE$23</f>
        <v>pyr</v>
      </c>
      <c r="D87" s="11" t="s">
        <v>161</v>
      </c>
      <c r="E87" s="11">
        <f t="shared" si="37"/>
        <v>7.3649837446796623E-2</v>
      </c>
      <c r="F87" s="11" t="s">
        <v>118</v>
      </c>
      <c r="G87" s="11">
        <v>-1</v>
      </c>
      <c r="H87" s="11">
        <v>3</v>
      </c>
      <c r="I87" s="11">
        <v>3</v>
      </c>
      <c r="K87" s="11">
        <v>3</v>
      </c>
      <c r="N87" s="10">
        <f t="shared" ref="N87" si="42">(4*H87)+(I87)+(-3*J87)+(-2*K87)+(5*L87)+(-2*M87)+(-1*G87)</f>
        <v>10</v>
      </c>
      <c r="P87">
        <f t="shared" si="39"/>
        <v>3.3333333333333335</v>
      </c>
      <c r="Q87">
        <f t="shared" si="40"/>
        <v>3.3333333333333335</v>
      </c>
      <c r="R87">
        <f t="shared" si="41"/>
        <v>3.3333333333333335</v>
      </c>
    </row>
    <row r="88" spans="1:18" ht="18.75" x14ac:dyDescent="0.35">
      <c r="C88" s="13" t="str">
        <f>'[1]OB3b specific for type II'!$AF$23</f>
        <v>ace-coa</v>
      </c>
      <c r="D88" s="11" t="s">
        <v>162</v>
      </c>
      <c r="E88" s="11">
        <f t="shared" si="37"/>
        <v>7.5006294417991975E-2</v>
      </c>
      <c r="F88" s="11" t="s">
        <v>119</v>
      </c>
      <c r="G88" s="11">
        <v>-4</v>
      </c>
      <c r="H88" s="11">
        <v>23</v>
      </c>
      <c r="I88" s="11">
        <v>34</v>
      </c>
      <c r="J88" s="11">
        <v>7</v>
      </c>
      <c r="K88" s="11">
        <v>17</v>
      </c>
      <c r="L88" s="11">
        <v>3</v>
      </c>
      <c r="M88" s="11">
        <v>1</v>
      </c>
      <c r="N88" s="10">
        <v>88</v>
      </c>
      <c r="P88">
        <f t="shared" si="39"/>
        <v>6.6086956521739131</v>
      </c>
      <c r="Q88">
        <f t="shared" si="40"/>
        <v>4.1739130434782608</v>
      </c>
      <c r="R88">
        <f t="shared" si="41"/>
        <v>5.0869565217391308</v>
      </c>
    </row>
    <row r="89" spans="1:18" ht="18.75" x14ac:dyDescent="0.25">
      <c r="C89" s="13" t="str">
        <f>'[1]OB3b specific for type II'!$AG$23</f>
        <v>akg</v>
      </c>
      <c r="D89" s="11" t="s">
        <v>163</v>
      </c>
      <c r="E89" s="11">
        <f t="shared" si="37"/>
        <v>2.737157538147468E-2</v>
      </c>
      <c r="F89" s="12" t="s">
        <v>120</v>
      </c>
      <c r="G89" s="11">
        <v>-2</v>
      </c>
      <c r="H89" s="11">
        <v>5</v>
      </c>
      <c r="I89" s="11">
        <v>4</v>
      </c>
      <c r="K89" s="11">
        <v>5</v>
      </c>
      <c r="N89" s="10">
        <f t="shared" ref="N89" si="43">(4*H89)+(I89)+(-3*J89)+(-2*K89)+(5*L89)+(-2*M89)+(-1*G89)</f>
        <v>16</v>
      </c>
      <c r="P89">
        <f t="shared" si="39"/>
        <v>3.2</v>
      </c>
      <c r="Q89">
        <f t="shared" si="40"/>
        <v>3.2</v>
      </c>
      <c r="R89">
        <f t="shared" si="41"/>
        <v>3.2</v>
      </c>
    </row>
    <row r="90" spans="1:18" ht="18.75" x14ac:dyDescent="0.35">
      <c r="C90" s="13" t="str">
        <f>'[1]OB3b specific for type II'!$AH$23</f>
        <v>oxalo</v>
      </c>
      <c r="D90" s="11" t="s">
        <v>164</v>
      </c>
      <c r="E90" s="11">
        <f t="shared" si="37"/>
        <v>4.0156266250019008E-2</v>
      </c>
      <c r="F90" s="11" t="s">
        <v>121</v>
      </c>
      <c r="G90" s="11">
        <v>-2</v>
      </c>
      <c r="H90" s="11">
        <v>4</v>
      </c>
      <c r="I90" s="11">
        <v>2</v>
      </c>
      <c r="K90" s="11">
        <v>5</v>
      </c>
      <c r="N90" s="10">
        <v>10</v>
      </c>
      <c r="P90">
        <f t="shared" si="39"/>
        <v>2.5</v>
      </c>
      <c r="Q90">
        <f t="shared" si="40"/>
        <v>2.5</v>
      </c>
      <c r="R90">
        <f t="shared" si="41"/>
        <v>2.5</v>
      </c>
    </row>
    <row r="91" spans="1:18" ht="18.75" x14ac:dyDescent="0.35">
      <c r="C91" s="13" t="str">
        <f>'[1]OB3b specific for type II'!$AI$23</f>
        <v>atp</v>
      </c>
      <c r="D91" s="11" t="s">
        <v>52</v>
      </c>
      <c r="E91" s="11">
        <f t="shared" si="37"/>
        <v>0.3138653552741783</v>
      </c>
      <c r="F91" s="11" t="s">
        <v>122</v>
      </c>
      <c r="G91" s="11">
        <v>-4</v>
      </c>
      <c r="H91" s="11">
        <v>10</v>
      </c>
      <c r="I91" s="11">
        <v>12</v>
      </c>
      <c r="J91" s="11">
        <v>5</v>
      </c>
      <c r="K91" s="11">
        <v>13</v>
      </c>
      <c r="L91" s="11">
        <v>3</v>
      </c>
      <c r="N91" s="10">
        <f t="shared" ref="N91:N94" si="44">(4*H91)+(I91)+(-3*J91)+(-2*K91)+(5*L91)+(-2*M91)+(-1*G91)</f>
        <v>30</v>
      </c>
      <c r="P91">
        <f t="shared" si="39"/>
        <v>7</v>
      </c>
      <c r="Q91">
        <f t="shared" si="40"/>
        <v>3</v>
      </c>
      <c r="R91">
        <f t="shared" si="41"/>
        <v>4.5</v>
      </c>
    </row>
    <row r="92" spans="1:18" ht="18.75" x14ac:dyDescent="0.35">
      <c r="A92" s="11" t="s">
        <v>154</v>
      </c>
      <c r="C92" s="13" t="str">
        <f>'[1]OB3b specific for type II'!$AK$23</f>
        <v>nadph</v>
      </c>
      <c r="D92" s="11" t="s">
        <v>165</v>
      </c>
      <c r="E92" s="11">
        <f t="shared" si="37"/>
        <v>0.47125754998366454</v>
      </c>
      <c r="F92" s="11" t="s">
        <v>124</v>
      </c>
      <c r="G92" s="11">
        <v>-4</v>
      </c>
      <c r="H92" s="11">
        <v>21</v>
      </c>
      <c r="I92" s="11">
        <v>26</v>
      </c>
      <c r="J92" s="11">
        <v>7</v>
      </c>
      <c r="K92" s="11">
        <v>17</v>
      </c>
      <c r="L92" s="11">
        <v>3</v>
      </c>
      <c r="N92" s="10">
        <f t="shared" si="44"/>
        <v>74</v>
      </c>
      <c r="P92">
        <f t="shared" si="39"/>
        <v>6.1904761904761907</v>
      </c>
      <c r="Q92">
        <f t="shared" si="40"/>
        <v>3.5238095238095237</v>
      </c>
      <c r="R92">
        <f t="shared" si="41"/>
        <v>4.5238095238095237</v>
      </c>
    </row>
    <row r="93" spans="1:18" x14ac:dyDescent="0.25">
      <c r="C93" s="13" t="str">
        <f>'[1]OB3b specific for type II'!$AL$23</f>
        <v>N_GLU</v>
      </c>
      <c r="D93" s="11" t="s">
        <v>97</v>
      </c>
      <c r="E93" s="11">
        <f t="shared" si="37"/>
        <v>0.17027031922382616</v>
      </c>
      <c r="F93" s="11" t="s">
        <v>114</v>
      </c>
      <c r="G93" s="11">
        <v>1</v>
      </c>
      <c r="I93" s="11">
        <v>4</v>
      </c>
      <c r="J93" s="11">
        <v>1</v>
      </c>
      <c r="N93" s="10">
        <f t="shared" si="44"/>
        <v>0</v>
      </c>
      <c r="P93" t="e">
        <f t="shared" si="39"/>
        <v>#DIV/0!</v>
      </c>
      <c r="Q93" t="e">
        <f t="shared" si="40"/>
        <v>#DIV/0!</v>
      </c>
      <c r="R93" t="e">
        <f t="shared" si="41"/>
        <v>#DIV/0!</v>
      </c>
    </row>
    <row r="94" spans="1:18" x14ac:dyDescent="0.25">
      <c r="C94" s="13" t="str">
        <f>'[1]OB3b specific for type II'!$AM$23</f>
        <v>N_GLN</v>
      </c>
      <c r="D94" s="11" t="s">
        <v>96</v>
      </c>
      <c r="E94" s="11">
        <f t="shared" si="37"/>
        <v>6.7265198523745837E-2</v>
      </c>
      <c r="F94" s="11" t="s">
        <v>114</v>
      </c>
      <c r="G94" s="11">
        <v>1</v>
      </c>
      <c r="I94" s="11">
        <v>4</v>
      </c>
      <c r="J94" s="11">
        <v>1</v>
      </c>
      <c r="N94" s="10">
        <f t="shared" si="44"/>
        <v>0</v>
      </c>
      <c r="P94" t="e">
        <f t="shared" si="39"/>
        <v>#DIV/0!</v>
      </c>
      <c r="Q94" t="e">
        <f t="shared" si="40"/>
        <v>#DIV/0!</v>
      </c>
      <c r="R94" t="e">
        <f t="shared" si="41"/>
        <v>#DIV/0!</v>
      </c>
    </row>
    <row r="95" spans="1:18" x14ac:dyDescent="0.25">
      <c r="C95" s="13" t="str">
        <f>'[1]OB3b specific for type II'!$AO$23</f>
        <v>polyhydroxybutyrate</v>
      </c>
      <c r="D95" s="11" t="s">
        <v>168</v>
      </c>
      <c r="E95" s="11">
        <f t="shared" si="37"/>
        <v>3.983030742273087E-3</v>
      </c>
      <c r="F95" s="26" t="s">
        <v>178</v>
      </c>
      <c r="G95" s="26">
        <v>-1</v>
      </c>
      <c r="H95" s="26">
        <v>4</v>
      </c>
      <c r="I95" s="26">
        <v>7</v>
      </c>
      <c r="J95" s="26"/>
      <c r="K95" s="26">
        <v>3</v>
      </c>
      <c r="L95" s="26"/>
      <c r="M95" s="26"/>
      <c r="N95" s="27">
        <v>18</v>
      </c>
      <c r="P95">
        <f t="shared" si="39"/>
        <v>4.5</v>
      </c>
      <c r="Q95">
        <f t="shared" si="40"/>
        <v>4.5</v>
      </c>
      <c r="R95">
        <f t="shared" si="41"/>
        <v>4.5</v>
      </c>
    </row>
    <row r="96" spans="1:18" ht="18.75" x14ac:dyDescent="0.35">
      <c r="C96" s="13" t="str">
        <f>'[1]OB3b specific for type II'!$AP$23</f>
        <v>L-ornithine</v>
      </c>
      <c r="D96" s="11" t="s">
        <v>85</v>
      </c>
      <c r="E96" s="11">
        <f t="shared" si="37"/>
        <v>8.9967383590579286E-4</v>
      </c>
      <c r="F96" s="11" t="s">
        <v>126</v>
      </c>
      <c r="G96" s="11">
        <v>1</v>
      </c>
      <c r="H96" s="11">
        <v>5</v>
      </c>
      <c r="I96" s="11">
        <v>13</v>
      </c>
      <c r="J96" s="11">
        <v>2</v>
      </c>
      <c r="K96" s="11">
        <v>2</v>
      </c>
      <c r="N96" s="10">
        <f t="shared" ref="N96:N99" si="45">(4*H96)+(I96)+(-3*J96)+(-2*K96)+(5*L96)+(-2*M96)+(-1*G96)</f>
        <v>22</v>
      </c>
      <c r="P96">
        <f t="shared" si="39"/>
        <v>7.6</v>
      </c>
      <c r="Q96">
        <f t="shared" si="40"/>
        <v>4.4000000000000004</v>
      </c>
      <c r="R96">
        <f t="shared" si="41"/>
        <v>5.6</v>
      </c>
    </row>
    <row r="97" spans="1:18" ht="18.75" x14ac:dyDescent="0.35">
      <c r="C97" s="13" t="s">
        <v>19</v>
      </c>
      <c r="D97" s="11" t="s">
        <v>19</v>
      </c>
      <c r="E97" s="11">
        <f t="shared" si="37"/>
        <v>0.68298195649806448</v>
      </c>
      <c r="F97" s="11" t="s">
        <v>122</v>
      </c>
      <c r="G97" s="11">
        <v>-4</v>
      </c>
      <c r="H97" s="11">
        <v>10</v>
      </c>
      <c r="I97" s="11">
        <v>12</v>
      </c>
      <c r="J97" s="11">
        <v>5</v>
      </c>
      <c r="K97" s="11">
        <v>13</v>
      </c>
      <c r="L97" s="11">
        <v>3</v>
      </c>
      <c r="N97" s="10">
        <f t="shared" si="45"/>
        <v>30</v>
      </c>
      <c r="P97">
        <f t="shared" si="39"/>
        <v>7</v>
      </c>
      <c r="Q97">
        <f t="shared" si="40"/>
        <v>3</v>
      </c>
      <c r="R97">
        <f t="shared" si="41"/>
        <v>4.5</v>
      </c>
    </row>
    <row r="98" spans="1:18" ht="19.5" x14ac:dyDescent="0.35">
      <c r="C98" s="13" t="s">
        <v>133</v>
      </c>
      <c r="D98" s="11" t="s">
        <v>133</v>
      </c>
      <c r="E98" s="11">
        <f>-E101</f>
        <v>8.2395450923480745E-2</v>
      </c>
      <c r="F98" s="4" t="s">
        <v>140</v>
      </c>
      <c r="G98">
        <v>-1</v>
      </c>
      <c r="H98">
        <v>21</v>
      </c>
      <c r="I98">
        <v>26</v>
      </c>
      <c r="J98">
        <v>7</v>
      </c>
      <c r="K98">
        <v>14</v>
      </c>
      <c r="L98">
        <v>2</v>
      </c>
      <c r="M98"/>
      <c r="N98" s="8">
        <f t="shared" si="45"/>
        <v>72</v>
      </c>
      <c r="P98">
        <f t="shared" si="39"/>
        <v>6.0952380952380949</v>
      </c>
      <c r="Q98">
        <f t="shared" si="40"/>
        <v>3.4285714285714284</v>
      </c>
      <c r="R98">
        <f t="shared" si="41"/>
        <v>4.4285714285714288</v>
      </c>
    </row>
    <row r="99" spans="1:18" x14ac:dyDescent="0.25">
      <c r="C99" s="13" t="s">
        <v>141</v>
      </c>
      <c r="D99" s="11" t="s">
        <v>141</v>
      </c>
      <c r="E99" s="11">
        <f>E97+E91</f>
        <v>0.99684731177224273</v>
      </c>
      <c r="F99" s="4" t="s">
        <v>141</v>
      </c>
      <c r="G99">
        <v>0</v>
      </c>
      <c r="H99"/>
      <c r="I99">
        <v>2</v>
      </c>
      <c r="J99"/>
      <c r="K99">
        <v>1</v>
      </c>
      <c r="L99"/>
      <c r="M99"/>
      <c r="N99" s="8">
        <f t="shared" si="45"/>
        <v>0</v>
      </c>
      <c r="P99"/>
      <c r="Q99" t="e">
        <f t="shared" si="40"/>
        <v>#DIV/0!</v>
      </c>
      <c r="R99"/>
    </row>
    <row r="100" spans="1:18" x14ac:dyDescent="0.25">
      <c r="Q100" t="e">
        <f t="shared" si="40"/>
        <v>#DIV/0!</v>
      </c>
    </row>
    <row r="101" spans="1:18" ht="18.75" x14ac:dyDescent="0.25">
      <c r="A101" s="11" t="s">
        <v>129</v>
      </c>
      <c r="C101" s="14" t="str">
        <f>'[1]OB3b specific for type II'!$AJ$23</f>
        <v>nadh</v>
      </c>
      <c r="D101" s="11" t="s">
        <v>166</v>
      </c>
      <c r="E101" s="11">
        <f>E61/$H$115</f>
        <v>-8.2395450923480745E-2</v>
      </c>
      <c r="F101" s="12" t="s">
        <v>123</v>
      </c>
      <c r="G101" s="11">
        <v>-2</v>
      </c>
      <c r="H101" s="11">
        <v>21</v>
      </c>
      <c r="I101" s="11">
        <v>27</v>
      </c>
      <c r="J101" s="11">
        <v>7</v>
      </c>
      <c r="K101" s="11">
        <v>14</v>
      </c>
      <c r="L101" s="11">
        <v>2</v>
      </c>
      <c r="N101" s="10">
        <f>(4*H101)+(I101)+(-3*J101)+(-2*K101)+(5*L101)+(-2*M101)+(-1*G101)</f>
        <v>74</v>
      </c>
      <c r="P101">
        <f>((4*(H101))+(I101)+(5*J101)+(-2*K101)+(5*L101)+(6*M101)+(-G101))/H101</f>
        <v>6.1904761904761907</v>
      </c>
      <c r="Q101">
        <f t="shared" si="40"/>
        <v>3.5238095238095237</v>
      </c>
      <c r="R101">
        <f>((4*(H101))+(I101)+(0*J101)+(-2*K101)+(5*L101)+(6*M101)+(-G101))/H101</f>
        <v>4.5238095238095237</v>
      </c>
    </row>
    <row r="102" spans="1:18" ht="18.75" x14ac:dyDescent="0.35">
      <c r="C102" s="14" t="str">
        <f>'[1]OB3b specific for type II'!$AN$23</f>
        <v>co2</v>
      </c>
      <c r="D102" s="11" t="s">
        <v>12</v>
      </c>
      <c r="E102" s="11">
        <f>E62/$H$115</f>
        <v>-6.1096407177569272E-3</v>
      </c>
      <c r="F102" s="11" t="s">
        <v>125</v>
      </c>
      <c r="G102" s="11">
        <v>0</v>
      </c>
      <c r="H102" s="11">
        <v>1</v>
      </c>
      <c r="K102" s="11">
        <v>2</v>
      </c>
      <c r="N102" s="10">
        <f>(4*H102)+(I102)+(-3*J102)+(-2*K102)+(5*L102)+(-2*M102)+(-1*G102)</f>
        <v>0</v>
      </c>
      <c r="P102">
        <f>((4*(H102))+(I102)+(5*J102)+(-2*K102)+(5*L102)+(6*M102)+(-G102))/H102</f>
        <v>0</v>
      </c>
      <c r="Q102">
        <f t="shared" si="40"/>
        <v>0</v>
      </c>
      <c r="R102">
        <f>((4*(H102))+(I102)+(0*J102)+(-2*K102)+(5*L102)+(6*M102)+(-G102))/H102</f>
        <v>0</v>
      </c>
    </row>
    <row r="103" spans="1:18" x14ac:dyDescent="0.25">
      <c r="C103" s="14" t="s">
        <v>127</v>
      </c>
      <c r="D103" s="11" t="s">
        <v>127</v>
      </c>
      <c r="E103" s="11">
        <f>-(E91+E97)</f>
        <v>-0.99684731177224273</v>
      </c>
      <c r="F103" s="31" t="s">
        <v>135</v>
      </c>
      <c r="G103">
        <v>-2</v>
      </c>
      <c r="H103"/>
      <c r="I103">
        <v>1</v>
      </c>
      <c r="J103"/>
      <c r="K103">
        <v>4</v>
      </c>
      <c r="L103">
        <v>1</v>
      </c>
      <c r="M103"/>
      <c r="N103" s="8">
        <f>(4*H103)+(I103)+(-3*J103)+(-2*K103)+(5*L103)+(-2*M103)+(-1*G103)</f>
        <v>0</v>
      </c>
      <c r="P103" t="e">
        <f t="shared" ref="P103:P107" si="46">((4*(H103))+(I103)+(5*J103)+(-2*K103)+(5*L103)+(6*M103)+(-G103))/H103</f>
        <v>#DIV/0!</v>
      </c>
      <c r="Q103" t="e">
        <f t="shared" si="40"/>
        <v>#DIV/0!</v>
      </c>
      <c r="R103" t="e">
        <f t="shared" ref="R103:R107" si="47">((4*(H103))+(I103)+(0*J103)+(-2*K103)+(5*L103)+(6*M103)+(-G103))/H103</f>
        <v>#DIV/0!</v>
      </c>
    </row>
    <row r="104" spans="1:18" ht="19.5" x14ac:dyDescent="0.35">
      <c r="C104" s="14" t="s">
        <v>130</v>
      </c>
      <c r="D104" s="11" t="s">
        <v>130</v>
      </c>
      <c r="E104" s="11">
        <f>-(E91+E97)</f>
        <v>-0.99684731177224273</v>
      </c>
      <c r="F104" s="4" t="s">
        <v>136</v>
      </c>
      <c r="G104">
        <v>-3</v>
      </c>
      <c r="H104">
        <v>10</v>
      </c>
      <c r="I104">
        <v>12</v>
      </c>
      <c r="J104">
        <v>5</v>
      </c>
      <c r="K104">
        <v>10</v>
      </c>
      <c r="L104">
        <v>2</v>
      </c>
      <c r="M104"/>
      <c r="N104" s="8">
        <f t="shared" ref="N104" si="48">(4*H104)+(I104)+(-3*J104)+(-2*K104)+(5*L104)+(-2*M104)+(-1*G104)</f>
        <v>30</v>
      </c>
      <c r="P104">
        <f t="shared" si="46"/>
        <v>7</v>
      </c>
      <c r="Q104">
        <f t="shared" si="40"/>
        <v>3</v>
      </c>
      <c r="R104">
        <f t="shared" si="47"/>
        <v>4.5</v>
      </c>
    </row>
    <row r="105" spans="1:18" ht="18.75" x14ac:dyDescent="0.35">
      <c r="C105" s="14" t="s">
        <v>131</v>
      </c>
      <c r="D105" s="11" t="s">
        <v>167</v>
      </c>
      <c r="E105" s="11">
        <f>-(E88)</f>
        <v>-7.5006294417991975E-2</v>
      </c>
      <c r="F105" t="s">
        <v>137</v>
      </c>
      <c r="G105">
        <v>-4</v>
      </c>
      <c r="H105">
        <v>21</v>
      </c>
      <c r="I105">
        <v>32</v>
      </c>
      <c r="J105">
        <v>7</v>
      </c>
      <c r="K105">
        <v>16</v>
      </c>
      <c r="L105">
        <v>3</v>
      </c>
      <c r="M105">
        <v>1</v>
      </c>
      <c r="N105" s="8">
        <v>80</v>
      </c>
      <c r="P105">
        <f t="shared" si="46"/>
        <v>6.8571428571428568</v>
      </c>
      <c r="Q105">
        <f t="shared" si="40"/>
        <v>4.1904761904761907</v>
      </c>
      <c r="R105">
        <f t="shared" si="47"/>
        <v>5.1904761904761907</v>
      </c>
    </row>
    <row r="106" spans="1:18" x14ac:dyDescent="0.25">
      <c r="C106" s="14" t="s">
        <v>132</v>
      </c>
      <c r="D106" s="11" t="s">
        <v>132</v>
      </c>
      <c r="E106" s="11">
        <f>-(E91+E99)</f>
        <v>-1.3107126670464211</v>
      </c>
      <c r="F106" t="s">
        <v>101</v>
      </c>
      <c r="G106">
        <v>1</v>
      </c>
      <c r="H106"/>
      <c r="I106">
        <v>1</v>
      </c>
      <c r="J106"/>
      <c r="K106"/>
      <c r="L106"/>
      <c r="M106"/>
      <c r="N106" s="8">
        <f t="shared" ref="N106:N107" si="49">(4*H106)+(I106)+(-3*J106)+(-2*K106)+(5*L106)+(-2*M106)+(-1*G106)</f>
        <v>0</v>
      </c>
      <c r="P106" t="e">
        <f t="shared" si="46"/>
        <v>#DIV/0!</v>
      </c>
      <c r="Q106" t="e">
        <f t="shared" si="40"/>
        <v>#DIV/0!</v>
      </c>
      <c r="R106" t="e">
        <f t="shared" si="47"/>
        <v>#DIV/0!</v>
      </c>
    </row>
    <row r="107" spans="1:18" ht="18.75" x14ac:dyDescent="0.35">
      <c r="C107" s="14" t="s">
        <v>134</v>
      </c>
      <c r="D107" s="11" t="s">
        <v>134</v>
      </c>
      <c r="E107" s="11">
        <f>-(E92)</f>
        <v>-0.47125754998366454</v>
      </c>
      <c r="F107" t="s">
        <v>138</v>
      </c>
      <c r="G107">
        <v>-3</v>
      </c>
      <c r="H107">
        <v>21</v>
      </c>
      <c r="I107">
        <v>25</v>
      </c>
      <c r="J107">
        <v>7</v>
      </c>
      <c r="K107">
        <v>17</v>
      </c>
      <c r="L107">
        <v>3</v>
      </c>
      <c r="M107"/>
      <c r="N107" s="8">
        <f t="shared" si="49"/>
        <v>72</v>
      </c>
      <c r="P107">
        <f t="shared" si="46"/>
        <v>6.0952380952380949</v>
      </c>
      <c r="Q107">
        <f t="shared" si="40"/>
        <v>3.4285714285714284</v>
      </c>
      <c r="R107">
        <f t="shared" si="47"/>
        <v>4.4285714285714288</v>
      </c>
    </row>
    <row r="114" spans="1:18" x14ac:dyDescent="0.25">
      <c r="A114" s="11" t="s">
        <v>146</v>
      </c>
      <c r="B114" s="16" t="s">
        <v>145</v>
      </c>
      <c r="C114" s="15" t="s">
        <v>171</v>
      </c>
      <c r="D114" s="15" t="s">
        <v>172</v>
      </c>
      <c r="E114" s="15"/>
      <c r="F114" s="15"/>
      <c r="G114" s="15">
        <f>SUM(($E83*G83)+($E84*G84)+($E85*G85)+($E86*G86)+($E87*G87)+($E88*G88)+($E89*G89)+($E90*G90)+($E91*G91)+($E92*G92)+($E93*G93)+($E94*G94)+($E95*G95)+($E96*G96)+($E97*G97)+($E98*G98)+($E99*G99))+SUM(($E101*G101)+($E102*G102)+($E103*G103)+($E104*G104)+($E105*G105)+($E106*G106)+($E107*G107))</f>
        <v>-0.90779484920034381</v>
      </c>
      <c r="H114" s="15">
        <f t="shared" ref="H114:N114" si="50">SUM(($E83*H83)+($E84*H84)+($E85*H85)+($E86*H86)+($E87*H87)+($E88*H88)+($E89*H89)+($E90*H90)+($E91*H91)+($E92*H92)+($E93*H93)+($E94*H94)+($E95*H95)+($E96*H96)+($E97*H97)+($E98*H98)+($E99*H99))+SUM(($E101*H101)+($E102*H102)+($E103*H103)+($E104*H104)+($E105*H105)+($E106*H106)+($E107*H107))</f>
        <v>1.0000000000000071</v>
      </c>
      <c r="I114" s="15">
        <f t="shared" si="50"/>
        <v>2.0046677693174004</v>
      </c>
      <c r="J114" s="15">
        <f t="shared" si="50"/>
        <v>0.23933486541938542</v>
      </c>
      <c r="K114" s="15">
        <f t="shared" si="50"/>
        <v>1.2146572418428931</v>
      </c>
      <c r="L114" s="15">
        <f t="shared" si="50"/>
        <v>8.7432987659534334E-2</v>
      </c>
      <c r="M114" s="15">
        <f t="shared" si="50"/>
        <v>0</v>
      </c>
      <c r="N114" s="15">
        <f t="shared" si="50"/>
        <v>4.2023084768714938</v>
      </c>
      <c r="P114" s="17">
        <f t="shared" ref="P114" si="51">((4*(H114))+(I114)+(5*J114)+(-2*K114)+(5*L114)+(6*M114)+(-G114))/H114</f>
        <v>6.1169874002265416</v>
      </c>
      <c r="Q114" s="17">
        <f t="shared" ref="Q114" si="52">((4*(H114))+(I114)+(-3*J114)+(-2*K114)+(5*L114)+(6*M114)+(-G114))/H114</f>
        <v>4.2023084768714716</v>
      </c>
      <c r="R114" s="17">
        <f t="shared" ref="R114" si="53">((4*(H114))+(I114)+(0*J114)+(-2*K114)+(5*L114)+(6*M114)+(-G114))/H114</f>
        <v>4.9203130731296234</v>
      </c>
    </row>
    <row r="115" spans="1:18" x14ac:dyDescent="0.25">
      <c r="B115" s="16"/>
      <c r="C115" s="15"/>
      <c r="D115" s="15"/>
      <c r="E115" s="15"/>
      <c r="F115" s="15"/>
      <c r="G115" s="15" t="s">
        <v>173</v>
      </c>
      <c r="H115" s="15">
        <f>H74</f>
        <v>146.41675237328673</v>
      </c>
      <c r="I115" s="15"/>
      <c r="J115" s="15"/>
      <c r="K115" s="15"/>
      <c r="L115" s="15"/>
      <c r="M115" s="15"/>
      <c r="N115" s="15"/>
      <c r="P115" s="17"/>
      <c r="Q115" s="17"/>
      <c r="R115" s="17"/>
    </row>
    <row r="116" spans="1:18" x14ac:dyDescent="0.25">
      <c r="A116" s="11" t="s">
        <v>144</v>
      </c>
      <c r="B116" s="11" t="s">
        <v>143</v>
      </c>
      <c r="C116" s="11" t="s">
        <v>147</v>
      </c>
      <c r="D116" s="11" t="str">
        <f>((E83&amp;$B$36&amp;(D83))&amp;$B$36&amp;$B$37&amp;$B$36&amp;(E84&amp;$B$36&amp;D84)&amp;$B$36&amp;$B$37&amp;$B$36&amp;(E85&amp;$B$36&amp;D85)&amp;$B$36&amp;$B$37&amp;$B$36&amp;(E86&amp;$B$36&amp;D86)&amp;$B$36&amp;$B$37&amp;$B$36&amp;(E87&amp;$B$36&amp;D87)&amp;$B$36&amp;$B$37&amp;$B$36&amp;(E88&amp;$B$36&amp;D88)&amp;$B$36&amp;$B$37&amp;$B$36&amp;(E89&amp;$B$36&amp;D89)&amp;$B$36&amp;$B$37&amp;$B$36&amp;(E90&amp;$B$36&amp;D90)&amp;$B$36&amp;$B$37&amp;$B$36&amp;((E91+E97)&amp;$B$36&amp;D91)&amp;$B$36&amp;$B$37&amp;$B$36&amp;(E92&amp;$B$36&amp;D92)&amp;$B$36&amp;$B$37&amp;$B$36&amp;(E93&amp;$B$36&amp;D93)&amp;$B$36&amp;$B$37&amp;$B$36&amp;(E94&amp;$B$36&amp;D94)&amp;$B$36&amp;$B$37&amp;$B$36&amp;(E95&amp;$B$36&amp;D95)&amp;$B$36&amp;$B$37&amp;$B$36&amp;(E96&amp;$B$36&amp;D96)&amp;$B$36&amp;$B$37&amp;$B$36&amp;(E98&amp;$B$36&amp;D98)&amp;$B$36&amp;$B$37&amp;$B$36&amp;(E99&amp;$B$36&amp;D99)&amp;$B$36&amp;$B$39&amp;$B$36&amp;(D114)&amp;$B$36&amp;$B$37&amp;$B$36&amp;(-E101&amp;$B$36&amp;D101)&amp;$B$36&amp;$B$37&amp;$B$36&amp;(-E102&amp;$B$36&amp;D102)&amp;$B$36&amp;$B$37&amp;$B$36&amp;(-E103&amp;$B$36&amp;D103)&amp;$B$36&amp;$B$37&amp;$B$36&amp;(-E104&amp;$B$36&amp;D104)&amp;$B$36&amp;$B$37&amp;$B$36&amp;(-E105&amp;$B$36&amp;D105)&amp;$B$36&amp;$B$37&amp;$B$36&amp;(-E106&amp;$B$36&amp;D106)&amp;$B$36&amp;$B$37&amp;$B$36&amp;(-E107&amp;$B$36&amp;D107))</f>
        <v>0.00228969823022475 D-glucopyranose_6-phosphate + 0.0188708180650508 D-ribose_5-phosphate + 0.0103244116859306 D-erythrose_4-phosphate + 0.0559480596783296 phosphoenolpyruvate + 0.0736498374467966 pyruvate + 0.075006294417992 acetyl-CoA + 0.0273715753814747 2-oxoglutarate + 0.040156266250019 oxaloacetate + 0.996847311772243 ATP + 0.471257549983665 NADPH + 0.170270319223826 N_GLU + 0.0672651985237458 N_GLN + 0.00398303074227309 polyhydroxybutyrate_produced + 0.000899673835905793 L-ornithine + 0.0823954509234807 NAD+ + 0.996847311772243 H2O = biomass + 0.0823954509234807 NADH + 0.00610964071775693 CO2 + 0.996847311772243 phosphate + 0.996847311772243 ADP + 0.075006294417992 coenzyme_A + 1.31071266704642 H+ + 0.471257549983665 NADP+</v>
      </c>
    </row>
    <row r="117" spans="1:18" x14ac:dyDescent="0.25">
      <c r="B117" s="11" t="s">
        <v>149</v>
      </c>
      <c r="C117" s="11" t="s">
        <v>148</v>
      </c>
      <c r="D117" s="11" t="s">
        <v>179</v>
      </c>
    </row>
    <row r="118" spans="1:18" x14ac:dyDescent="0.25">
      <c r="A118" s="11" t="s">
        <v>152</v>
      </c>
      <c r="B118" s="16" t="s">
        <v>151</v>
      </c>
    </row>
    <row r="119" spans="1:18" ht="16.5" thickBot="1" x14ac:dyDescent="0.3">
      <c r="B119" s="16"/>
    </row>
    <row r="120" spans="1:18" ht="16.5" thickBot="1" x14ac:dyDescent="0.3">
      <c r="A120" s="22"/>
      <c r="B120" s="23"/>
      <c r="C120" s="19" t="s">
        <v>174</v>
      </c>
      <c r="D120" s="23"/>
      <c r="E120" s="23"/>
      <c r="F120" s="23"/>
      <c r="G120" s="23"/>
      <c r="H120" s="23"/>
      <c r="I120" s="23"/>
      <c r="J120" s="23"/>
      <c r="K120" s="23"/>
      <c r="L120" s="23"/>
      <c r="M120" s="23"/>
      <c r="N120" s="23"/>
      <c r="O120" s="23"/>
      <c r="P120" s="23"/>
      <c r="Q120" s="23"/>
      <c r="R120" s="24"/>
    </row>
    <row r="121" spans="1:18" x14ac:dyDescent="0.25">
      <c r="C121" s="9" t="s">
        <v>110</v>
      </c>
      <c r="D121" s="9" t="s">
        <v>111</v>
      </c>
      <c r="E121" s="9" t="s">
        <v>109</v>
      </c>
      <c r="F121" s="9" t="s">
        <v>98</v>
      </c>
      <c r="G121" s="9" t="s">
        <v>99</v>
      </c>
      <c r="H121" s="9" t="s">
        <v>100</v>
      </c>
      <c r="I121" s="9" t="s">
        <v>101</v>
      </c>
      <c r="J121" s="9" t="s">
        <v>102</v>
      </c>
      <c r="K121" s="9" t="s">
        <v>103</v>
      </c>
      <c r="L121" s="9" t="s">
        <v>104</v>
      </c>
      <c r="M121" s="9" t="s">
        <v>105</v>
      </c>
      <c r="N121" s="9" t="s">
        <v>106</v>
      </c>
      <c r="P121" s="9" t="s">
        <v>107</v>
      </c>
      <c r="Q121" s="9" t="s">
        <v>139</v>
      </c>
      <c r="R121" s="9" t="s">
        <v>108</v>
      </c>
    </row>
    <row r="122" spans="1:18" ht="18.75" x14ac:dyDescent="0.35">
      <c r="A122" s="13" t="s">
        <v>128</v>
      </c>
      <c r="C122" s="13" t="str">
        <f>'[1]OB3b specific for type II'!$AA$23</f>
        <v>glc-6-p</v>
      </c>
      <c r="D122" s="11" t="s">
        <v>157</v>
      </c>
      <c r="E122" s="11">
        <f>ROUND(E83,5)</f>
        <v>2.2899999999999999E-3</v>
      </c>
      <c r="F122" s="11" t="s">
        <v>115</v>
      </c>
      <c r="G122" s="11">
        <v>-2</v>
      </c>
      <c r="H122" s="11">
        <v>6</v>
      </c>
      <c r="I122" s="11">
        <v>11</v>
      </c>
      <c r="K122" s="11">
        <v>9</v>
      </c>
      <c r="L122" s="11">
        <v>1</v>
      </c>
      <c r="N122" s="10">
        <f>(4*H122)+(I122)+(-3*J122)+(-2*K122)+(5*L122)+(-2*M122)+(-1*G122)</f>
        <v>24</v>
      </c>
      <c r="P122">
        <f>((4*(H122))+(I122)+(5*J122)+(-2*K122)+(5*L122)+(6*M122)+(-G122))/H122</f>
        <v>4</v>
      </c>
      <c r="Q122">
        <f>((4*(H122))+(I122)+(-3*J122)+(-2*K122)+(5*L122)+(6*M122)+(-G122))/H122</f>
        <v>4</v>
      </c>
      <c r="R122">
        <f>((4*(H122))+(I122)+(0*J122)+(-2*K122)+(5*L122)+(6*M122)+(-G122))/H122</f>
        <v>4</v>
      </c>
    </row>
    <row r="123" spans="1:18" ht="18.75" x14ac:dyDescent="0.35">
      <c r="C123" s="13" t="str">
        <f>'[1]OB3b specific for type II'!$AB$23</f>
        <v>rib-5-p</v>
      </c>
      <c r="D123" s="11" t="s">
        <v>158</v>
      </c>
      <c r="E123" s="11">
        <f t="shared" ref="E123:E138" si="54">ROUND(E84,5)</f>
        <v>1.8870000000000001E-2</v>
      </c>
      <c r="F123" s="11" t="s">
        <v>116</v>
      </c>
      <c r="G123" s="11">
        <v>-2</v>
      </c>
      <c r="H123" s="11">
        <v>5</v>
      </c>
      <c r="I123" s="11">
        <v>9</v>
      </c>
      <c r="K123" s="11">
        <v>8</v>
      </c>
      <c r="L123" s="11">
        <v>1</v>
      </c>
      <c r="N123" s="10">
        <f t="shared" ref="N123:N124" si="55">(4*H123)+(I123)+(-3*J123)+(-2*K123)+(5*L123)+(-2*M123)+(-1*G123)</f>
        <v>20</v>
      </c>
      <c r="P123">
        <f t="shared" ref="P123:P137" si="56">((4*(H123))+(I123)+(5*J123)+(-2*K123)+(5*L123)+(6*M123)+(-G123))/H123</f>
        <v>4</v>
      </c>
      <c r="Q123">
        <f t="shared" ref="Q123:Q146" si="57">((4*(H123))+(I123)+(-3*J123)+(-2*K123)+(5*L123)+(6*M123)+(-G123))/H123</f>
        <v>4</v>
      </c>
      <c r="R123">
        <f t="shared" ref="R123:R137" si="58">((4*(H123))+(I123)+(0*J123)+(-2*K123)+(5*L123)+(6*M123)+(-G123))/H123</f>
        <v>4</v>
      </c>
    </row>
    <row r="124" spans="1:18" x14ac:dyDescent="0.25">
      <c r="C124" s="13" t="str">
        <f>'[1]OB3b specific for type II'!$AC$23</f>
        <v>ery-4-p</v>
      </c>
      <c r="D124" s="11" t="s">
        <v>159</v>
      </c>
      <c r="E124" s="11">
        <f t="shared" si="54"/>
        <v>1.0319999999999999E-2</v>
      </c>
      <c r="F124" s="11" t="s">
        <v>113</v>
      </c>
      <c r="G124" s="11">
        <v>-2</v>
      </c>
      <c r="H124" s="11">
        <v>4</v>
      </c>
      <c r="I124" s="11">
        <v>7</v>
      </c>
      <c r="K124" s="11">
        <v>7</v>
      </c>
      <c r="L124" s="11">
        <v>1</v>
      </c>
      <c r="N124" s="10">
        <f t="shared" si="55"/>
        <v>16</v>
      </c>
      <c r="P124">
        <f t="shared" si="56"/>
        <v>4</v>
      </c>
      <c r="Q124">
        <f t="shared" si="57"/>
        <v>4</v>
      </c>
      <c r="R124">
        <f t="shared" si="58"/>
        <v>4</v>
      </c>
    </row>
    <row r="125" spans="1:18" ht="18.75" x14ac:dyDescent="0.35">
      <c r="C125" s="13" t="str">
        <f>'[1]OB3b specific for type II'!$AD$23</f>
        <v>pep</v>
      </c>
      <c r="D125" s="11" t="s">
        <v>160</v>
      </c>
      <c r="E125" s="11">
        <f t="shared" si="54"/>
        <v>5.595E-2</v>
      </c>
      <c r="F125" s="11" t="s">
        <v>117</v>
      </c>
      <c r="G125" s="11">
        <v>-3</v>
      </c>
      <c r="H125" s="11">
        <v>3</v>
      </c>
      <c r="I125" s="11">
        <v>2</v>
      </c>
      <c r="K125" s="11">
        <v>6</v>
      </c>
      <c r="L125" s="11">
        <v>1</v>
      </c>
      <c r="N125" s="10">
        <v>10</v>
      </c>
      <c r="P125">
        <f t="shared" si="56"/>
        <v>3.3333333333333335</v>
      </c>
      <c r="Q125">
        <f t="shared" si="57"/>
        <v>3.3333333333333335</v>
      </c>
      <c r="R125">
        <f t="shared" si="58"/>
        <v>3.3333333333333335</v>
      </c>
    </row>
    <row r="126" spans="1:18" ht="18.75" x14ac:dyDescent="0.35">
      <c r="C126" s="13" t="str">
        <f>'[1]OB3b specific for type II'!$AE$23</f>
        <v>pyr</v>
      </c>
      <c r="D126" s="11" t="s">
        <v>161</v>
      </c>
      <c r="E126" s="11">
        <f t="shared" si="54"/>
        <v>7.3649999999999993E-2</v>
      </c>
      <c r="F126" s="11" t="s">
        <v>118</v>
      </c>
      <c r="G126" s="11">
        <v>-1</v>
      </c>
      <c r="H126" s="11">
        <v>3</v>
      </c>
      <c r="I126" s="11">
        <v>3</v>
      </c>
      <c r="K126" s="11">
        <v>3</v>
      </c>
      <c r="N126" s="10">
        <f t="shared" ref="N126" si="59">(4*H126)+(I126)+(-3*J126)+(-2*K126)+(5*L126)+(-2*M126)+(-1*G126)</f>
        <v>10</v>
      </c>
      <c r="P126">
        <f t="shared" si="56"/>
        <v>3.3333333333333335</v>
      </c>
      <c r="Q126">
        <f t="shared" si="57"/>
        <v>3.3333333333333335</v>
      </c>
      <c r="R126">
        <f t="shared" si="58"/>
        <v>3.3333333333333335</v>
      </c>
    </row>
    <row r="127" spans="1:18" ht="18.75" x14ac:dyDescent="0.35">
      <c r="C127" s="13" t="str">
        <f>'[1]OB3b specific for type II'!$AF$23</f>
        <v>ace-coa</v>
      </c>
      <c r="D127" s="11" t="s">
        <v>162</v>
      </c>
      <c r="E127" s="11">
        <f t="shared" si="54"/>
        <v>7.5009999999999993E-2</v>
      </c>
      <c r="F127" s="11" t="s">
        <v>119</v>
      </c>
      <c r="G127" s="11">
        <v>-4</v>
      </c>
      <c r="H127" s="11">
        <v>23</v>
      </c>
      <c r="I127" s="11">
        <v>34</v>
      </c>
      <c r="J127" s="11">
        <v>7</v>
      </c>
      <c r="K127" s="11">
        <v>17</v>
      </c>
      <c r="L127" s="11">
        <v>3</v>
      </c>
      <c r="M127" s="11">
        <v>1</v>
      </c>
      <c r="N127" s="10">
        <v>88</v>
      </c>
      <c r="P127">
        <f t="shared" si="56"/>
        <v>6.6086956521739131</v>
      </c>
      <c r="Q127">
        <f t="shared" si="57"/>
        <v>4.1739130434782608</v>
      </c>
      <c r="R127">
        <f t="shared" si="58"/>
        <v>5.0869565217391308</v>
      </c>
    </row>
    <row r="128" spans="1:18" ht="18.75" x14ac:dyDescent="0.25">
      <c r="C128" s="13" t="str">
        <f>'[1]OB3b specific for type II'!$AG$23</f>
        <v>akg</v>
      </c>
      <c r="D128" s="11" t="s">
        <v>163</v>
      </c>
      <c r="E128" s="11">
        <f t="shared" si="54"/>
        <v>2.7369999999999998E-2</v>
      </c>
      <c r="F128" s="12" t="s">
        <v>120</v>
      </c>
      <c r="G128" s="11">
        <v>-2</v>
      </c>
      <c r="H128" s="11">
        <v>5</v>
      </c>
      <c r="I128" s="11">
        <v>4</v>
      </c>
      <c r="K128" s="11">
        <v>5</v>
      </c>
      <c r="N128" s="10">
        <f t="shared" ref="N128" si="60">(4*H128)+(I128)+(-3*J128)+(-2*K128)+(5*L128)+(-2*M128)+(-1*G128)</f>
        <v>16</v>
      </c>
      <c r="P128">
        <f t="shared" si="56"/>
        <v>3.2</v>
      </c>
      <c r="Q128">
        <f t="shared" si="57"/>
        <v>3.2</v>
      </c>
      <c r="R128">
        <f t="shared" si="58"/>
        <v>3.2</v>
      </c>
    </row>
    <row r="129" spans="1:18" ht="18.75" x14ac:dyDescent="0.35">
      <c r="C129" s="13" t="str">
        <f>'[1]OB3b specific for type II'!$AH$23</f>
        <v>oxalo</v>
      </c>
      <c r="D129" s="11" t="s">
        <v>164</v>
      </c>
      <c r="E129" s="11">
        <f t="shared" si="54"/>
        <v>4.0160000000000001E-2</v>
      </c>
      <c r="F129" s="11" t="s">
        <v>121</v>
      </c>
      <c r="G129" s="11">
        <v>-2</v>
      </c>
      <c r="H129" s="11">
        <v>4</v>
      </c>
      <c r="I129" s="11">
        <v>2</v>
      </c>
      <c r="K129" s="11">
        <v>5</v>
      </c>
      <c r="N129" s="10">
        <v>10</v>
      </c>
      <c r="P129">
        <f t="shared" si="56"/>
        <v>2.5</v>
      </c>
      <c r="Q129">
        <f t="shared" si="57"/>
        <v>2.5</v>
      </c>
      <c r="R129">
        <f t="shared" si="58"/>
        <v>2.5</v>
      </c>
    </row>
    <row r="130" spans="1:18" ht="18.75" x14ac:dyDescent="0.35">
      <c r="C130" s="13" t="str">
        <f>'[1]OB3b specific for type II'!$AI$23</f>
        <v>atp</v>
      </c>
      <c r="D130" s="11" t="s">
        <v>52</v>
      </c>
      <c r="E130" s="11">
        <f t="shared" si="54"/>
        <v>0.31386999999999998</v>
      </c>
      <c r="F130" s="11" t="s">
        <v>122</v>
      </c>
      <c r="G130" s="11">
        <v>-4</v>
      </c>
      <c r="H130" s="11">
        <v>10</v>
      </c>
      <c r="I130" s="11">
        <v>12</v>
      </c>
      <c r="J130" s="11">
        <v>5</v>
      </c>
      <c r="K130" s="11">
        <v>13</v>
      </c>
      <c r="L130" s="11">
        <v>3</v>
      </c>
      <c r="N130" s="10">
        <f t="shared" ref="N130:N138" si="61">(4*H130)+(I130)+(-3*J130)+(-2*K130)+(5*L130)+(-2*M130)+(-1*G130)</f>
        <v>30</v>
      </c>
      <c r="P130">
        <f t="shared" si="56"/>
        <v>7</v>
      </c>
      <c r="Q130">
        <f t="shared" si="57"/>
        <v>3</v>
      </c>
      <c r="R130">
        <f t="shared" si="58"/>
        <v>4.5</v>
      </c>
    </row>
    <row r="131" spans="1:18" ht="18.75" x14ac:dyDescent="0.35">
      <c r="A131" s="11" t="s">
        <v>154</v>
      </c>
      <c r="C131" s="13" t="str">
        <f>'[1]OB3b specific for type II'!$AK$23</f>
        <v>nadph</v>
      </c>
      <c r="D131" s="11" t="s">
        <v>165</v>
      </c>
      <c r="E131" s="11">
        <f t="shared" si="54"/>
        <v>0.47126000000000001</v>
      </c>
      <c r="F131" s="11" t="s">
        <v>124</v>
      </c>
      <c r="G131" s="11">
        <v>-4</v>
      </c>
      <c r="H131" s="11">
        <v>21</v>
      </c>
      <c r="I131" s="11">
        <v>26</v>
      </c>
      <c r="J131" s="11">
        <v>7</v>
      </c>
      <c r="K131" s="11">
        <v>17</v>
      </c>
      <c r="L131" s="11">
        <v>3</v>
      </c>
      <c r="N131" s="10">
        <f t="shared" si="61"/>
        <v>74</v>
      </c>
      <c r="P131">
        <f t="shared" si="56"/>
        <v>6.1904761904761907</v>
      </c>
      <c r="Q131">
        <f t="shared" si="57"/>
        <v>3.5238095238095237</v>
      </c>
      <c r="R131">
        <f t="shared" si="58"/>
        <v>4.5238095238095237</v>
      </c>
    </row>
    <row r="132" spans="1:18" x14ac:dyDescent="0.25">
      <c r="C132" s="13" t="str">
        <f>'[1]OB3b specific for type II'!$AL$23</f>
        <v>N_GLU</v>
      </c>
      <c r="D132" s="11" t="s">
        <v>97</v>
      </c>
      <c r="E132" s="11">
        <f t="shared" si="54"/>
        <v>0.17027</v>
      </c>
      <c r="F132" s="11" t="s">
        <v>114</v>
      </c>
      <c r="G132" s="11">
        <v>1</v>
      </c>
      <c r="I132" s="11">
        <v>4</v>
      </c>
      <c r="J132" s="11">
        <v>1</v>
      </c>
      <c r="N132" s="10">
        <f t="shared" si="61"/>
        <v>0</v>
      </c>
      <c r="P132" t="e">
        <f t="shared" si="56"/>
        <v>#DIV/0!</v>
      </c>
      <c r="Q132" t="e">
        <f t="shared" si="57"/>
        <v>#DIV/0!</v>
      </c>
      <c r="R132" t="e">
        <f t="shared" si="58"/>
        <v>#DIV/0!</v>
      </c>
    </row>
    <row r="133" spans="1:18" x14ac:dyDescent="0.25">
      <c r="C133" s="13" t="str">
        <f>'[1]OB3b specific for type II'!$AM$23</f>
        <v>N_GLN</v>
      </c>
      <c r="D133" s="11" t="s">
        <v>96</v>
      </c>
      <c r="E133" s="11">
        <f t="shared" si="54"/>
        <v>6.7269999999999996E-2</v>
      </c>
      <c r="F133" s="11" t="s">
        <v>114</v>
      </c>
      <c r="G133" s="11">
        <v>1</v>
      </c>
      <c r="I133" s="11">
        <v>4</v>
      </c>
      <c r="J133" s="11">
        <v>1</v>
      </c>
      <c r="N133" s="10">
        <f t="shared" si="61"/>
        <v>0</v>
      </c>
      <c r="P133" t="e">
        <f t="shared" si="56"/>
        <v>#DIV/0!</v>
      </c>
      <c r="Q133" t="e">
        <f t="shared" si="57"/>
        <v>#DIV/0!</v>
      </c>
      <c r="R133" t="e">
        <f t="shared" si="58"/>
        <v>#DIV/0!</v>
      </c>
    </row>
    <row r="134" spans="1:18" x14ac:dyDescent="0.25">
      <c r="C134" s="13" t="str">
        <f>'[1]OB3b specific for type II'!$AO$23</f>
        <v>polyhydroxybutyrate</v>
      </c>
      <c r="D134" s="11" t="s">
        <v>168</v>
      </c>
      <c r="E134" s="11">
        <f t="shared" si="54"/>
        <v>3.98E-3</v>
      </c>
      <c r="F134" s="26" t="s">
        <v>178</v>
      </c>
      <c r="G134" s="26">
        <v>-1</v>
      </c>
      <c r="H134" s="26">
        <v>4</v>
      </c>
      <c r="I134" s="26">
        <v>7</v>
      </c>
      <c r="J134" s="26"/>
      <c r="K134" s="26">
        <v>3</v>
      </c>
      <c r="L134" s="26"/>
      <c r="M134" s="26"/>
      <c r="N134" s="27">
        <v>18</v>
      </c>
      <c r="P134">
        <f t="shared" si="56"/>
        <v>4.5</v>
      </c>
      <c r="Q134">
        <f t="shared" si="57"/>
        <v>4.5</v>
      </c>
      <c r="R134">
        <f t="shared" si="58"/>
        <v>4.5</v>
      </c>
    </row>
    <row r="135" spans="1:18" ht="18.75" x14ac:dyDescent="0.35">
      <c r="C135" s="13" t="str">
        <f>'[1]OB3b specific for type II'!$AP$23</f>
        <v>L-ornithine</v>
      </c>
      <c r="D135" s="11" t="s">
        <v>85</v>
      </c>
      <c r="E135" s="11">
        <f t="shared" si="54"/>
        <v>8.9999999999999998E-4</v>
      </c>
      <c r="F135" s="11" t="s">
        <v>126</v>
      </c>
      <c r="G135" s="11">
        <v>1</v>
      </c>
      <c r="H135" s="11">
        <v>5</v>
      </c>
      <c r="I135" s="11">
        <v>13</v>
      </c>
      <c r="J135" s="11">
        <v>2</v>
      </c>
      <c r="K135" s="11">
        <v>2</v>
      </c>
      <c r="N135" s="10">
        <f t="shared" si="61"/>
        <v>22</v>
      </c>
      <c r="P135">
        <f t="shared" si="56"/>
        <v>7.6</v>
      </c>
      <c r="Q135">
        <f t="shared" si="57"/>
        <v>4.4000000000000004</v>
      </c>
      <c r="R135">
        <f t="shared" si="58"/>
        <v>5.6</v>
      </c>
    </row>
    <row r="136" spans="1:18" ht="18.75" x14ac:dyDescent="0.35">
      <c r="C136" s="13" t="s">
        <v>19</v>
      </c>
      <c r="D136" s="11" t="s">
        <v>19</v>
      </c>
      <c r="E136" s="11">
        <f t="shared" si="54"/>
        <v>0.68298000000000003</v>
      </c>
      <c r="F136" s="11" t="s">
        <v>122</v>
      </c>
      <c r="G136" s="11">
        <v>-4</v>
      </c>
      <c r="H136" s="11">
        <v>10</v>
      </c>
      <c r="I136" s="11">
        <v>12</v>
      </c>
      <c r="J136" s="11">
        <v>5</v>
      </c>
      <c r="K136" s="11">
        <v>13</v>
      </c>
      <c r="L136" s="11">
        <v>3</v>
      </c>
      <c r="N136" s="10">
        <f t="shared" si="61"/>
        <v>30</v>
      </c>
      <c r="P136">
        <f t="shared" si="56"/>
        <v>7</v>
      </c>
      <c r="Q136">
        <f t="shared" si="57"/>
        <v>3</v>
      </c>
      <c r="R136">
        <f t="shared" si="58"/>
        <v>4.5</v>
      </c>
    </row>
    <row r="137" spans="1:18" ht="19.5" x14ac:dyDescent="0.35">
      <c r="C137" s="13" t="s">
        <v>133</v>
      </c>
      <c r="D137" s="11" t="s">
        <v>133</v>
      </c>
      <c r="E137" s="11">
        <f t="shared" si="54"/>
        <v>8.2400000000000001E-2</v>
      </c>
      <c r="F137" s="4" t="s">
        <v>140</v>
      </c>
      <c r="G137">
        <v>-1</v>
      </c>
      <c r="H137">
        <v>21</v>
      </c>
      <c r="I137">
        <v>26</v>
      </c>
      <c r="J137">
        <v>7</v>
      </c>
      <c r="K137">
        <v>14</v>
      </c>
      <c r="L137">
        <v>2</v>
      </c>
      <c r="M137"/>
      <c r="N137" s="8">
        <f t="shared" si="61"/>
        <v>72</v>
      </c>
      <c r="P137">
        <f t="shared" si="56"/>
        <v>6.0952380952380949</v>
      </c>
      <c r="Q137">
        <f t="shared" si="57"/>
        <v>3.4285714285714284</v>
      </c>
      <c r="R137">
        <f t="shared" si="58"/>
        <v>4.4285714285714288</v>
      </c>
    </row>
    <row r="138" spans="1:18" x14ac:dyDescent="0.25">
      <c r="C138" s="13" t="s">
        <v>141</v>
      </c>
      <c r="D138" s="11" t="s">
        <v>141</v>
      </c>
      <c r="E138" s="11">
        <f t="shared" si="54"/>
        <v>0.99685000000000001</v>
      </c>
      <c r="F138" s="4" t="s">
        <v>141</v>
      </c>
      <c r="G138">
        <v>0</v>
      </c>
      <c r="H138"/>
      <c r="I138">
        <v>2</v>
      </c>
      <c r="J138"/>
      <c r="K138">
        <v>1</v>
      </c>
      <c r="L138"/>
      <c r="M138"/>
      <c r="N138" s="8">
        <f t="shared" si="61"/>
        <v>0</v>
      </c>
      <c r="P138"/>
      <c r="Q138" t="e">
        <f t="shared" si="57"/>
        <v>#DIV/0!</v>
      </c>
      <c r="R138"/>
    </row>
    <row r="139" spans="1:18" x14ac:dyDescent="0.25">
      <c r="Q139" t="e">
        <f t="shared" si="57"/>
        <v>#DIV/0!</v>
      </c>
    </row>
    <row r="140" spans="1:18" ht="18.75" x14ac:dyDescent="0.25">
      <c r="A140" s="14" t="s">
        <v>129</v>
      </c>
      <c r="C140" s="14" t="str">
        <f>'[1]OB3b specific for type II'!$AJ$23</f>
        <v>nadh</v>
      </c>
      <c r="D140" s="11" t="s">
        <v>166</v>
      </c>
      <c r="E140" s="11">
        <f>ROUND(E101,5)</f>
        <v>-8.2400000000000001E-2</v>
      </c>
      <c r="F140" s="12" t="s">
        <v>123</v>
      </c>
      <c r="G140" s="11">
        <v>-2</v>
      </c>
      <c r="H140" s="11">
        <v>21</v>
      </c>
      <c r="I140" s="11">
        <v>27</v>
      </c>
      <c r="J140" s="11">
        <v>7</v>
      </c>
      <c r="K140" s="11">
        <v>14</v>
      </c>
      <c r="L140" s="11">
        <v>2</v>
      </c>
      <c r="N140" s="10">
        <f>(4*H140)+(I140)+(-3*J140)+(-2*K140)+(5*L140)+(-2*M140)+(-1*G140)</f>
        <v>74</v>
      </c>
      <c r="P140">
        <f>((4*(H140))+(I140)+(5*J140)+(-2*K140)+(5*L140)+(6*M140)+(-G140))/H140</f>
        <v>6.1904761904761907</v>
      </c>
      <c r="Q140">
        <f t="shared" si="57"/>
        <v>3.5238095238095237</v>
      </c>
      <c r="R140">
        <f>((4*(H140))+(I140)+(0*J140)+(-2*K140)+(5*L140)+(6*M140)+(-G140))/H140</f>
        <v>4.5238095238095237</v>
      </c>
    </row>
    <row r="141" spans="1:18" ht="18.75" x14ac:dyDescent="0.35">
      <c r="C141" s="14" t="str">
        <f>'[1]OB3b specific for type II'!$AN$23</f>
        <v>co2</v>
      </c>
      <c r="D141" s="11" t="s">
        <v>12</v>
      </c>
      <c r="E141" s="11">
        <f t="shared" ref="E141:E146" si="62">ROUND(E102,5)</f>
        <v>-6.11E-3</v>
      </c>
      <c r="F141" s="11" t="s">
        <v>125</v>
      </c>
      <c r="G141" s="11">
        <v>0</v>
      </c>
      <c r="H141" s="11">
        <v>1</v>
      </c>
      <c r="K141" s="11">
        <v>2</v>
      </c>
      <c r="N141" s="10">
        <f>(4*H141)+(I141)+(-3*J141)+(-2*K141)+(5*L141)+(-2*M141)+(-1*G141)</f>
        <v>0</v>
      </c>
      <c r="P141">
        <f>((4*(H141))+(I141)+(5*J141)+(-2*K141)+(5*L141)+(6*M141)+(-G141))/H141</f>
        <v>0</v>
      </c>
      <c r="Q141">
        <f t="shared" si="57"/>
        <v>0</v>
      </c>
      <c r="R141">
        <f>((4*(H141))+(I141)+(0*J141)+(-2*K141)+(5*L141)+(6*M141)+(-G141))/H141</f>
        <v>0</v>
      </c>
    </row>
    <row r="142" spans="1:18" x14ac:dyDescent="0.25">
      <c r="C142" s="14" t="s">
        <v>127</v>
      </c>
      <c r="D142" s="11" t="s">
        <v>127</v>
      </c>
      <c r="E142" s="11">
        <f t="shared" si="62"/>
        <v>-0.99685000000000001</v>
      </c>
      <c r="F142" s="31" t="s">
        <v>135</v>
      </c>
      <c r="G142">
        <v>-2</v>
      </c>
      <c r="H142"/>
      <c r="I142">
        <v>1</v>
      </c>
      <c r="J142"/>
      <c r="K142">
        <v>4</v>
      </c>
      <c r="L142">
        <v>1</v>
      </c>
      <c r="M142"/>
      <c r="N142" s="8">
        <f>(4*H142)+(I142)+(-3*J142)+(-2*K142)+(5*L142)+(-2*M142)+(-1*G142)</f>
        <v>0</v>
      </c>
      <c r="P142" t="e">
        <f t="shared" ref="P142:P146" si="63">((4*(H142))+(I142)+(5*J142)+(-2*K142)+(5*L142)+(6*M142)+(-G142))/H142</f>
        <v>#DIV/0!</v>
      </c>
      <c r="Q142" t="e">
        <f t="shared" si="57"/>
        <v>#DIV/0!</v>
      </c>
      <c r="R142" t="e">
        <f t="shared" ref="R142:R146" si="64">((4*(H142))+(I142)+(0*J142)+(-2*K142)+(5*L142)+(6*M142)+(-G142))/H142</f>
        <v>#DIV/0!</v>
      </c>
    </row>
    <row r="143" spans="1:18" ht="19.5" x14ac:dyDescent="0.35">
      <c r="C143" s="14" t="s">
        <v>130</v>
      </c>
      <c r="D143" s="11" t="s">
        <v>130</v>
      </c>
      <c r="E143" s="11">
        <f t="shared" si="62"/>
        <v>-0.99685000000000001</v>
      </c>
      <c r="F143" s="4" t="s">
        <v>136</v>
      </c>
      <c r="G143">
        <v>-3</v>
      </c>
      <c r="H143">
        <v>10</v>
      </c>
      <c r="I143">
        <v>12</v>
      </c>
      <c r="J143">
        <v>5</v>
      </c>
      <c r="K143">
        <v>10</v>
      </c>
      <c r="L143">
        <v>2</v>
      </c>
      <c r="M143"/>
      <c r="N143" s="8">
        <f t="shared" ref="N143" si="65">(4*H143)+(I143)+(-3*J143)+(-2*K143)+(5*L143)+(-2*M143)+(-1*G143)</f>
        <v>30</v>
      </c>
      <c r="P143">
        <f t="shared" si="63"/>
        <v>7</v>
      </c>
      <c r="Q143">
        <f t="shared" si="57"/>
        <v>3</v>
      </c>
      <c r="R143">
        <f t="shared" si="64"/>
        <v>4.5</v>
      </c>
    </row>
    <row r="144" spans="1:18" ht="18.75" x14ac:dyDescent="0.35">
      <c r="C144" s="14" t="s">
        <v>131</v>
      </c>
      <c r="D144" s="11" t="s">
        <v>167</v>
      </c>
      <c r="E144" s="11">
        <f t="shared" si="62"/>
        <v>-7.5009999999999993E-2</v>
      </c>
      <c r="F144" t="s">
        <v>137</v>
      </c>
      <c r="G144">
        <v>-4</v>
      </c>
      <c r="H144">
        <v>21</v>
      </c>
      <c r="I144">
        <v>32</v>
      </c>
      <c r="J144">
        <v>7</v>
      </c>
      <c r="K144">
        <v>16</v>
      </c>
      <c r="L144">
        <v>3</v>
      </c>
      <c r="M144">
        <v>1</v>
      </c>
      <c r="N144" s="8">
        <v>80</v>
      </c>
      <c r="P144">
        <f t="shared" si="63"/>
        <v>6.8571428571428568</v>
      </c>
      <c r="Q144">
        <f t="shared" si="57"/>
        <v>4.1904761904761907</v>
      </c>
      <c r="R144">
        <f t="shared" si="64"/>
        <v>5.1904761904761907</v>
      </c>
    </row>
    <row r="145" spans="1:18" x14ac:dyDescent="0.25">
      <c r="C145" s="14" t="s">
        <v>132</v>
      </c>
      <c r="D145" s="11" t="s">
        <v>132</v>
      </c>
      <c r="E145" s="11">
        <f t="shared" si="62"/>
        <v>-1.31071</v>
      </c>
      <c r="F145" t="s">
        <v>101</v>
      </c>
      <c r="G145">
        <v>1</v>
      </c>
      <c r="H145"/>
      <c r="I145">
        <v>1</v>
      </c>
      <c r="J145"/>
      <c r="K145"/>
      <c r="L145"/>
      <c r="M145"/>
      <c r="N145" s="8">
        <f t="shared" ref="N145:N146" si="66">(4*H145)+(I145)+(-3*J145)+(-2*K145)+(5*L145)+(-2*M145)+(-1*G145)</f>
        <v>0</v>
      </c>
      <c r="P145" t="e">
        <f t="shared" si="63"/>
        <v>#DIV/0!</v>
      </c>
      <c r="Q145" t="e">
        <f t="shared" si="57"/>
        <v>#DIV/0!</v>
      </c>
      <c r="R145" t="e">
        <f t="shared" si="64"/>
        <v>#DIV/0!</v>
      </c>
    </row>
    <row r="146" spans="1:18" ht="18.75" x14ac:dyDescent="0.35">
      <c r="C146" s="14" t="s">
        <v>134</v>
      </c>
      <c r="D146" s="11" t="s">
        <v>134</v>
      </c>
      <c r="E146" s="11">
        <f t="shared" si="62"/>
        <v>-0.47126000000000001</v>
      </c>
      <c r="F146" t="s">
        <v>138</v>
      </c>
      <c r="G146">
        <v>-3</v>
      </c>
      <c r="H146">
        <v>21</v>
      </c>
      <c r="I146">
        <v>25</v>
      </c>
      <c r="J146">
        <v>7</v>
      </c>
      <c r="K146">
        <v>17</v>
      </c>
      <c r="L146">
        <v>3</v>
      </c>
      <c r="M146"/>
      <c r="N146" s="8">
        <f t="shared" si="66"/>
        <v>72</v>
      </c>
      <c r="P146">
        <f t="shared" si="63"/>
        <v>6.0952380952380949</v>
      </c>
      <c r="Q146">
        <f t="shared" si="57"/>
        <v>3.4285714285714284</v>
      </c>
      <c r="R146">
        <f t="shared" si="64"/>
        <v>4.4285714285714288</v>
      </c>
    </row>
    <row r="153" spans="1:18" x14ac:dyDescent="0.25">
      <c r="A153" s="11" t="s">
        <v>146</v>
      </c>
      <c r="B153" s="16" t="s">
        <v>145</v>
      </c>
      <c r="C153" s="15" t="s">
        <v>171</v>
      </c>
      <c r="D153" s="15" t="s">
        <v>172</v>
      </c>
      <c r="E153" s="15"/>
      <c r="F153" s="15"/>
      <c r="G153" s="15">
        <f>SUM(($E122*G122)+($E123*G123)+($E124*G124)+($E125*G125)+($E126*G126)+($E127*G127)+($E128*G128)+($E129*G129)+($E130*G130)+($E131*G131)+($E132*G132)+($E133*G133)+($E134*G134)+($E135*G135)+($E136*G136)+($E137*G137)+($E138*G138))+SUM(($E140*G140)+($E141*G141)+($E142*G142)+($E143*G143)+($E144*G144)+($E145*G145)+($E146*G146))</f>
        <v>-0.90777999999999981</v>
      </c>
      <c r="H153" s="15">
        <f t="shared" ref="H153:N153" si="67">SUM(($E122*H122)+($E123*H123)+($E124*H124)+($E125*H125)+($E126*H126)+($E127*H127)+($E128*H128)+($E129*H129)+($E130*H130)+($E131*H131)+($E132*H132)+($E133*H133)+($E134*H134)+($E135*H135)+($E136*H136)+($E137*H137)+($E138*H138))+SUM(($E140*H140)+($E141*H141)+($E142*H142)+($E143*H143)+($E144*H144)+($E145*H145)+($E146*H146))</f>
        <v>0.99998999999999683</v>
      </c>
      <c r="I153" s="15">
        <f t="shared" si="67"/>
        <v>2.004649999999998</v>
      </c>
      <c r="J153" s="15">
        <f t="shared" si="67"/>
        <v>0.23934000000000033</v>
      </c>
      <c r="K153" s="15">
        <f t="shared" si="67"/>
        <v>1.2146399999999957</v>
      </c>
      <c r="L153" s="15">
        <f t="shared" si="67"/>
        <v>8.7429999999999453E-2</v>
      </c>
      <c r="M153" s="15">
        <f t="shared" si="67"/>
        <v>0</v>
      </c>
      <c r="N153" s="15">
        <f t="shared" si="67"/>
        <v>4.2022400000000033</v>
      </c>
      <c r="P153" s="17">
        <f t="shared" ref="P153" si="68">((4*(H153))+(I153)+(5*J153)+(-2*K153)+(5*L153)+(6*M153)+(-G153))/H153</f>
        <v>6.1170211702117143</v>
      </c>
      <c r="Q153" s="17">
        <f t="shared" ref="Q153" si="69">((4*(H153))+(I153)+(-3*J153)+(-2*K153)+(5*L153)+(6*M153)+(-G153))/H153</f>
        <v>4.2022820228202313</v>
      </c>
      <c r="R153" s="17">
        <f t="shared" ref="R153" si="70">((4*(H153))+(I153)+(0*J153)+(-2*K153)+(5*L153)+(6*M153)+(-G153))/H153</f>
        <v>4.9203092030920379</v>
      </c>
    </row>
    <row r="154" spans="1:18" x14ac:dyDescent="0.25">
      <c r="B154" s="16"/>
      <c r="C154" s="15"/>
      <c r="D154" s="15"/>
      <c r="E154" s="15"/>
      <c r="F154" s="15"/>
      <c r="G154" s="15" t="s">
        <v>173</v>
      </c>
      <c r="H154" s="15">
        <f>H74</f>
        <v>146.41675237328673</v>
      </c>
      <c r="I154" s="15"/>
      <c r="J154" s="15"/>
      <c r="K154" s="15"/>
      <c r="L154" s="15"/>
      <c r="M154" s="15"/>
      <c r="N154" s="15"/>
      <c r="P154" s="17"/>
      <c r="Q154" s="17"/>
      <c r="R154" s="17"/>
    </row>
    <row r="155" spans="1:18" x14ac:dyDescent="0.25">
      <c r="A155" s="11" t="s">
        <v>144</v>
      </c>
      <c r="B155" s="11" t="s">
        <v>143</v>
      </c>
      <c r="C155" s="11" t="s">
        <v>147</v>
      </c>
      <c r="D155" s="11" t="str">
        <f>((E122&amp;$B$36&amp;(D122))&amp;$B$36&amp;$B$37&amp;$B$36&amp;(E123&amp;$B$36&amp;D123)&amp;$B$36&amp;$B$37&amp;$B$36&amp;(E124&amp;$B$36&amp;D124)&amp;$B$36&amp;$B$37&amp;$B$36&amp;(E125&amp;$B$36&amp;D125)&amp;$B$36&amp;$B$37&amp;$B$36&amp;(E126&amp;$B$36&amp;D126)&amp;$B$36&amp;$B$37&amp;$B$36&amp;(E127&amp;$B$36&amp;D127)&amp;$B$36&amp;$B$37&amp;$B$36&amp;(E128&amp;$B$36&amp;D128)&amp;$B$36&amp;$B$37&amp;$B$36&amp;(E129&amp;$B$36&amp;D129)&amp;$B$36&amp;$B$37&amp;$B$36&amp;((E130+E136)&amp;$B$36&amp;D130)&amp;$B$36&amp;$B$37&amp;$B$36&amp;(E131&amp;$B$36&amp;D131)&amp;$B$36&amp;$B$37&amp;$B$36&amp;(E132&amp;$B$36&amp;D132)&amp;$B$36&amp;$B$37&amp;$B$36&amp;(E133&amp;$B$36&amp;D133)&amp;$B$36&amp;$B$37&amp;$B$36&amp;(E134&amp;$B$36&amp;D134)&amp;$B$36&amp;$B$37&amp;$B$36&amp;(E135&amp;$B$36&amp;D135)&amp;$B$36&amp;$B$37&amp;$B$36&amp;(E137&amp;$B$36&amp;D137)&amp;$B$36&amp;$B$37&amp;$B$36&amp;(E138&amp;$B$36&amp;D138)&amp;$B$36&amp;$B$39&amp;$B$36&amp;(D153)&amp;$B$36&amp;$B$37&amp;$B$36&amp;(-E140&amp;$B$36&amp;D140)&amp;$B$36&amp;$B$37&amp;$B$36&amp;(-E141&amp;$B$36&amp;D141)&amp;$B$36&amp;$B$37&amp;$B$36&amp;(-E142&amp;$B$36&amp;D142)&amp;$B$36&amp;$B$37&amp;$B$36&amp;(-E143&amp;$B$36&amp;D143)&amp;$B$36&amp;$B$37&amp;$B$36&amp;(-E144&amp;$B$36&amp;D144)&amp;$B$36&amp;$B$37&amp;$B$36&amp;(-E145&amp;$B$36&amp;D145)&amp;$B$36&amp;$B$37&amp;$B$36&amp;(-E146&amp;$B$36&amp;D146))</f>
        <v>0.00229 D-glucopyranose_6-phosphate + 0.01887 D-ribose_5-phosphate + 0.01032 D-erythrose_4-phosphate + 0.05595 phosphoenolpyruvate + 0.07365 pyruvate + 0.07501 acetyl-CoA + 0.02737 2-oxoglutarate + 0.04016 oxaloacetate + 0.99685 ATP + 0.47126 NADPH + 0.17027 N_GLU + 0.06727 N_GLN + 0.00398 polyhydroxybutyrate_produced + 0.0009 L-ornithine + 0.0824 NAD+ + 0.99685 H2O = biomass + 0.0824 NADH + 0.00611 CO2 + 0.99685 phosphate + 0.99685 ADP + 0.07501 coenzyme_A + 1.31071 H+ + 0.47126 NADP+</v>
      </c>
    </row>
    <row r="156" spans="1:18" x14ac:dyDescent="0.25">
      <c r="B156" s="11" t="s">
        <v>149</v>
      </c>
      <c r="C156" s="11" t="s">
        <v>148</v>
      </c>
      <c r="D156" s="11" t="s">
        <v>180</v>
      </c>
    </row>
    <row r="157" spans="1:18" x14ac:dyDescent="0.25">
      <c r="A157" s="11" t="s">
        <v>152</v>
      </c>
      <c r="B157" s="16" t="s">
        <v>151</v>
      </c>
    </row>
    <row r="160" spans="1:18" x14ac:dyDescent="0.25">
      <c r="E160" s="11" t="s">
        <v>145</v>
      </c>
    </row>
    <row r="161" s="11" customFormat="1" x14ac:dyDescent="0.25"/>
    <row r="162" s="11" customFormat="1" x14ac:dyDescent="0.25"/>
    <row r="163" s="11" customFormat="1" x14ac:dyDescent="0.25"/>
    <row r="164" s="11" customFormat="1" x14ac:dyDescent="0.25"/>
    <row r="165" s="11" customFormat="1" x14ac:dyDescent="0.25"/>
    <row r="166" s="11" customFormat="1" x14ac:dyDescent="0.25"/>
    <row r="167" s="11" customFormat="1" x14ac:dyDescent="0.25"/>
    <row r="168" s="11" customFormat="1" x14ac:dyDescent="0.25"/>
    <row r="169" s="11" customFormat="1" x14ac:dyDescent="0.25"/>
    <row r="170" s="11" customFormat="1" x14ac:dyDescent="0.25"/>
    <row r="171" s="11" customFormat="1" x14ac:dyDescent="0.25"/>
    <row r="172" s="11" customFormat="1" x14ac:dyDescent="0.25"/>
    <row r="173" s="11" customFormat="1" x14ac:dyDescent="0.25"/>
    <row r="174" s="11" customFormat="1" x14ac:dyDescent="0.25"/>
    <row r="175" s="11" customFormat="1" x14ac:dyDescent="0.25"/>
    <row r="176" s="11" customFormat="1" x14ac:dyDescent="0.25"/>
    <row r="177" s="11" customFormat="1" x14ac:dyDescent="0.25"/>
    <row r="178" s="11" customFormat="1" x14ac:dyDescent="0.25"/>
    <row r="179" s="11" customFormat="1" x14ac:dyDescent="0.25"/>
    <row r="180" s="11" customFormat="1" x14ac:dyDescent="0.25"/>
    <row r="181" s="11" customFormat="1" x14ac:dyDescent="0.25"/>
    <row r="182" s="11" customFormat="1" x14ac:dyDescent="0.2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893D1-1146-45C5-8B3F-A70EF7DA1532}">
  <sheetPr codeName="Sheet9"/>
  <dimension ref="B2:C28"/>
  <sheetViews>
    <sheetView workbookViewId="0"/>
  </sheetViews>
  <sheetFormatPr defaultRowHeight="15" x14ac:dyDescent="0.25"/>
  <cols>
    <col min="2" max="2" width="29" customWidth="1"/>
  </cols>
  <sheetData>
    <row r="2" spans="2:3" x14ac:dyDescent="0.25">
      <c r="B2" t="s">
        <v>890</v>
      </c>
    </row>
    <row r="3" spans="2:3" x14ac:dyDescent="0.25">
      <c r="B3" t="s">
        <v>891</v>
      </c>
    </row>
    <row r="5" spans="2:3" x14ac:dyDescent="0.25">
      <c r="B5" t="s">
        <v>892</v>
      </c>
    </row>
    <row r="6" spans="2:3" x14ac:dyDescent="0.25">
      <c r="B6" t="s">
        <v>893</v>
      </c>
      <c r="C6" s="60" t="s">
        <v>894</v>
      </c>
    </row>
    <row r="7" spans="2:3" x14ac:dyDescent="0.25">
      <c r="B7" t="s">
        <v>895</v>
      </c>
      <c r="C7" s="60" t="s">
        <v>896</v>
      </c>
    </row>
    <row r="8" spans="2:3" x14ac:dyDescent="0.25">
      <c r="C8" s="60"/>
    </row>
    <row r="9" spans="2:3" x14ac:dyDescent="0.25">
      <c r="B9" t="s">
        <v>897</v>
      </c>
      <c r="C9" s="60" t="s">
        <v>898</v>
      </c>
    </row>
    <row r="10" spans="2:3" x14ac:dyDescent="0.25">
      <c r="B10" t="s">
        <v>899</v>
      </c>
      <c r="C10" s="60" t="s">
        <v>900</v>
      </c>
    </row>
    <row r="11" spans="2:3" x14ac:dyDescent="0.25">
      <c r="B11" t="s">
        <v>901</v>
      </c>
      <c r="C11" s="60" t="s">
        <v>902</v>
      </c>
    </row>
    <row r="12" spans="2:3" x14ac:dyDescent="0.25">
      <c r="C12" s="60"/>
    </row>
    <row r="13" spans="2:3" x14ac:dyDescent="0.25">
      <c r="B13" t="s">
        <v>903</v>
      </c>
      <c r="C13" s="60" t="s">
        <v>904</v>
      </c>
    </row>
    <row r="14" spans="2:3" x14ac:dyDescent="0.25">
      <c r="B14" t="s">
        <v>905</v>
      </c>
      <c r="C14" s="60" t="s">
        <v>906</v>
      </c>
    </row>
    <row r="15" spans="2:3" x14ac:dyDescent="0.25">
      <c r="B15" t="s">
        <v>907</v>
      </c>
      <c r="C15" s="60" t="s">
        <v>908</v>
      </c>
    </row>
    <row r="17" spans="2:3" x14ac:dyDescent="0.25">
      <c r="B17" t="s">
        <v>909</v>
      </c>
      <c r="C17" s="60" t="s">
        <v>910</v>
      </c>
    </row>
    <row r="18" spans="2:3" x14ac:dyDescent="0.25">
      <c r="B18" t="s">
        <v>911</v>
      </c>
      <c r="C18" s="60" t="s">
        <v>912</v>
      </c>
    </row>
    <row r="19" spans="2:3" x14ac:dyDescent="0.25">
      <c r="B19" t="s">
        <v>913</v>
      </c>
      <c r="C19" s="60" t="s">
        <v>914</v>
      </c>
    </row>
    <row r="21" spans="2:3" x14ac:dyDescent="0.25">
      <c r="B21" t="s">
        <v>915</v>
      </c>
      <c r="C21" s="60" t="s">
        <v>916</v>
      </c>
    </row>
    <row r="22" spans="2:3" x14ac:dyDescent="0.25">
      <c r="B22" t="s">
        <v>917</v>
      </c>
      <c r="C22" s="60" t="s">
        <v>918</v>
      </c>
    </row>
    <row r="23" spans="2:3" x14ac:dyDescent="0.25">
      <c r="B23" t="s">
        <v>919</v>
      </c>
      <c r="C23" s="60" t="s">
        <v>920</v>
      </c>
    </row>
    <row r="27" spans="2:3" x14ac:dyDescent="0.25">
      <c r="B27" t="s">
        <v>921</v>
      </c>
    </row>
    <row r="28" spans="2:3" x14ac:dyDescent="0.25">
      <c r="B28" t="s">
        <v>922</v>
      </c>
      <c r="C28" s="60" t="s">
        <v>923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4DFB7-DBD9-48CF-BD7C-9AA6CBB070C0}">
  <sheetPr codeName="Sheet10"/>
  <dimension ref="A1:V196"/>
  <sheetViews>
    <sheetView workbookViewId="0">
      <selection activeCell="A28" sqref="A28"/>
    </sheetView>
  </sheetViews>
  <sheetFormatPr defaultColWidth="12.5703125" defaultRowHeight="15" x14ac:dyDescent="0.25"/>
  <cols>
    <col min="1" max="1" width="23" customWidth="1"/>
    <col min="2" max="2" width="43.140625" customWidth="1"/>
    <col min="9" max="9" width="32.42578125" customWidth="1"/>
    <col min="10" max="10" width="18.42578125" customWidth="1"/>
  </cols>
  <sheetData>
    <row r="1" spans="2:22" ht="15.75" x14ac:dyDescent="0.25">
      <c r="B1" s="39" t="s">
        <v>924</v>
      </c>
      <c r="C1" s="39"/>
      <c r="D1" s="39"/>
      <c r="E1" s="39" t="s">
        <v>925</v>
      </c>
      <c r="I1" s="6" t="s">
        <v>341</v>
      </c>
      <c r="J1" s="39" t="s">
        <v>98</v>
      </c>
      <c r="K1" s="41" t="s">
        <v>99</v>
      </c>
      <c r="L1" s="41" t="s">
        <v>100</v>
      </c>
      <c r="M1" s="41" t="s">
        <v>101</v>
      </c>
      <c r="N1" s="41" t="s">
        <v>102</v>
      </c>
      <c r="O1" s="41" t="s">
        <v>103</v>
      </c>
      <c r="P1" s="41" t="s">
        <v>104</v>
      </c>
      <c r="Q1" s="41" t="s">
        <v>105</v>
      </c>
      <c r="R1" s="41" t="s">
        <v>106</v>
      </c>
      <c r="T1" s="41" t="s">
        <v>107</v>
      </c>
      <c r="U1" s="41" t="s">
        <v>139</v>
      </c>
      <c r="V1" s="41" t="s">
        <v>108</v>
      </c>
    </row>
    <row r="2" spans="2:22" ht="18.75" x14ac:dyDescent="0.35">
      <c r="B2" t="str">
        <f t="shared" ref="B2:B46" si="0">I2</f>
        <v>(2R)-ethylmalonyl-CoA</v>
      </c>
      <c r="C2">
        <v>0</v>
      </c>
      <c r="D2">
        <v>0</v>
      </c>
      <c r="E2">
        <v>0</v>
      </c>
      <c r="I2" t="s">
        <v>344</v>
      </c>
      <c r="J2" t="s">
        <v>345</v>
      </c>
      <c r="K2">
        <v>-5</v>
      </c>
      <c r="L2">
        <v>26</v>
      </c>
      <c r="M2">
        <v>37</v>
      </c>
      <c r="N2">
        <v>7</v>
      </c>
      <c r="O2">
        <v>19</v>
      </c>
      <c r="P2">
        <v>3</v>
      </c>
      <c r="Q2">
        <v>1</v>
      </c>
      <c r="R2" s="8">
        <f t="shared" ref="R2:R9" si="1">(4*L2)+(M2)+(-3*N2)+(-2*O2)+(5*P2)+(-2*Q2)+(-1*K2)</f>
        <v>100</v>
      </c>
      <c r="T2">
        <f t="shared" ref="T2:T12" si="2">((4*(L2))+(M2)+(5*N2)+(-2*O2)+(5*P2)+(6*Q2)+(-K2))/L2</f>
        <v>6.3076923076923075</v>
      </c>
      <c r="U2">
        <f t="shared" ref="U2:U12" si="3">((4*(L2))+(M2)+(-3*N2)+(-2*O2)+(5*P2)+(6*Q2)+(-K2))/L2</f>
        <v>4.1538461538461542</v>
      </c>
      <c r="V2">
        <f t="shared" ref="V2:V12" si="4">((4*(L2))+(M2)+(0*N2)+(-2*O2)+(5*P2)+(6*Q2)+(-K2))/L2</f>
        <v>4.9615384615384617</v>
      </c>
    </row>
    <row r="3" spans="2:22" ht="18.75" x14ac:dyDescent="0.35">
      <c r="B3" t="str">
        <f t="shared" si="0"/>
        <v>(2R,3S)-B-methylmalyl-CoA</v>
      </c>
      <c r="C3">
        <v>0</v>
      </c>
      <c r="D3">
        <v>0</v>
      </c>
      <c r="E3">
        <v>0</v>
      </c>
      <c r="I3" t="s">
        <v>349</v>
      </c>
      <c r="J3" t="s">
        <v>350</v>
      </c>
      <c r="K3">
        <v>-5</v>
      </c>
      <c r="L3">
        <v>26</v>
      </c>
      <c r="M3">
        <v>37</v>
      </c>
      <c r="N3">
        <v>7</v>
      </c>
      <c r="O3">
        <v>20</v>
      </c>
      <c r="P3">
        <v>3</v>
      </c>
      <c r="Q3">
        <v>1</v>
      </c>
      <c r="R3" s="8">
        <f t="shared" si="1"/>
        <v>98</v>
      </c>
      <c r="T3">
        <f t="shared" si="2"/>
        <v>6.2307692307692308</v>
      </c>
      <c r="U3">
        <f t="shared" si="3"/>
        <v>4.0769230769230766</v>
      </c>
      <c r="V3">
        <f t="shared" si="4"/>
        <v>4.884615384615385</v>
      </c>
    </row>
    <row r="4" spans="2:22" ht="18.75" x14ac:dyDescent="0.35">
      <c r="B4" t="str">
        <f t="shared" si="0"/>
        <v>(2S)-ethylmalonyl-CoA</v>
      </c>
      <c r="C4">
        <v>0</v>
      </c>
      <c r="D4">
        <v>0</v>
      </c>
      <c r="E4">
        <v>0</v>
      </c>
      <c r="I4" t="s">
        <v>354</v>
      </c>
      <c r="J4" t="s">
        <v>345</v>
      </c>
      <c r="K4">
        <v>-5</v>
      </c>
      <c r="L4">
        <v>26</v>
      </c>
      <c r="M4">
        <v>37</v>
      </c>
      <c r="N4">
        <v>7</v>
      </c>
      <c r="O4">
        <v>19</v>
      </c>
      <c r="P4">
        <v>3</v>
      </c>
      <c r="Q4">
        <v>1</v>
      </c>
      <c r="R4" s="8">
        <f t="shared" si="1"/>
        <v>100</v>
      </c>
      <c r="T4">
        <f t="shared" si="2"/>
        <v>6.3076923076923075</v>
      </c>
      <c r="U4">
        <f t="shared" si="3"/>
        <v>4.1538461538461542</v>
      </c>
      <c r="V4">
        <f t="shared" si="4"/>
        <v>4.9615384615384617</v>
      </c>
    </row>
    <row r="5" spans="2:22" ht="18.75" x14ac:dyDescent="0.35">
      <c r="B5" t="str">
        <f t="shared" si="0"/>
        <v>(2S)-methylsuccinyl-CoA</v>
      </c>
      <c r="C5">
        <v>0</v>
      </c>
      <c r="D5">
        <v>0</v>
      </c>
      <c r="E5">
        <v>0</v>
      </c>
      <c r="I5" t="s">
        <v>358</v>
      </c>
      <c r="J5" t="s">
        <v>345</v>
      </c>
      <c r="K5">
        <v>-5</v>
      </c>
      <c r="L5">
        <v>26</v>
      </c>
      <c r="M5">
        <v>37</v>
      </c>
      <c r="N5">
        <v>7</v>
      </c>
      <c r="O5">
        <v>19</v>
      </c>
      <c r="P5">
        <v>3</v>
      </c>
      <c r="Q5">
        <v>1</v>
      </c>
      <c r="R5" s="8">
        <f t="shared" si="1"/>
        <v>100</v>
      </c>
      <c r="T5">
        <f t="shared" si="2"/>
        <v>6.3076923076923075</v>
      </c>
      <c r="U5">
        <f t="shared" si="3"/>
        <v>4.1538461538461542</v>
      </c>
      <c r="V5">
        <f t="shared" si="4"/>
        <v>4.9615384615384617</v>
      </c>
    </row>
    <row r="6" spans="2:22" ht="18.75" x14ac:dyDescent="0.35">
      <c r="B6" t="str">
        <f t="shared" si="0"/>
        <v>(3R)-3-hydroxybutanoyl-CoA</v>
      </c>
      <c r="C6">
        <v>0</v>
      </c>
      <c r="D6">
        <v>0</v>
      </c>
      <c r="E6">
        <v>0</v>
      </c>
      <c r="I6" t="s">
        <v>362</v>
      </c>
      <c r="J6" t="s">
        <v>363</v>
      </c>
      <c r="K6">
        <v>-4</v>
      </c>
      <c r="L6">
        <v>25</v>
      </c>
      <c r="M6">
        <v>38</v>
      </c>
      <c r="N6">
        <v>7</v>
      </c>
      <c r="O6">
        <v>18</v>
      </c>
      <c r="P6">
        <v>3</v>
      </c>
      <c r="Q6">
        <v>1</v>
      </c>
      <c r="R6" s="8">
        <f t="shared" si="1"/>
        <v>98</v>
      </c>
      <c r="T6">
        <f t="shared" si="2"/>
        <v>6.48</v>
      </c>
      <c r="U6">
        <f t="shared" si="3"/>
        <v>4.24</v>
      </c>
      <c r="V6">
        <f t="shared" si="4"/>
        <v>5.08</v>
      </c>
    </row>
    <row r="7" spans="2:22" ht="18" x14ac:dyDescent="0.35">
      <c r="B7" t="str">
        <f t="shared" si="0"/>
        <v>(R)-lactate</v>
      </c>
      <c r="C7">
        <v>0</v>
      </c>
      <c r="D7">
        <v>0</v>
      </c>
      <c r="E7">
        <v>0</v>
      </c>
      <c r="I7" t="s">
        <v>367</v>
      </c>
      <c r="J7" t="s">
        <v>368</v>
      </c>
      <c r="K7">
        <v>-1</v>
      </c>
      <c r="L7">
        <v>3</v>
      </c>
      <c r="M7">
        <v>5</v>
      </c>
      <c r="O7">
        <v>3</v>
      </c>
      <c r="R7" s="8">
        <f t="shared" si="1"/>
        <v>12</v>
      </c>
      <c r="T7">
        <f t="shared" si="2"/>
        <v>4</v>
      </c>
      <c r="U7">
        <f t="shared" si="3"/>
        <v>4</v>
      </c>
      <c r="V7">
        <f t="shared" si="4"/>
        <v>4</v>
      </c>
    </row>
    <row r="8" spans="2:22" ht="18" x14ac:dyDescent="0.35">
      <c r="B8" t="str">
        <f t="shared" si="0"/>
        <v>(R)-lactate_ext</v>
      </c>
      <c r="C8">
        <v>0</v>
      </c>
      <c r="D8">
        <v>0</v>
      </c>
      <c r="E8">
        <v>1</v>
      </c>
      <c r="I8" t="s">
        <v>372</v>
      </c>
      <c r="J8" t="s">
        <v>368</v>
      </c>
      <c r="K8">
        <v>-1</v>
      </c>
      <c r="L8">
        <v>3</v>
      </c>
      <c r="M8">
        <v>5</v>
      </c>
      <c r="O8">
        <v>3</v>
      </c>
      <c r="R8" s="8">
        <f t="shared" si="1"/>
        <v>12</v>
      </c>
      <c r="T8">
        <f t="shared" si="2"/>
        <v>4</v>
      </c>
      <c r="U8">
        <f t="shared" si="3"/>
        <v>4</v>
      </c>
      <c r="V8">
        <f t="shared" si="4"/>
        <v>4</v>
      </c>
    </row>
    <row r="9" spans="2:22" ht="18.75" x14ac:dyDescent="0.35">
      <c r="B9" t="str">
        <f t="shared" si="0"/>
        <v>(R)-methylmalonyl-CoA</v>
      </c>
      <c r="C9">
        <v>0</v>
      </c>
      <c r="D9">
        <v>0</v>
      </c>
      <c r="E9">
        <v>0</v>
      </c>
      <c r="I9" t="s">
        <v>376</v>
      </c>
      <c r="J9" t="s">
        <v>377</v>
      </c>
      <c r="K9">
        <v>-5</v>
      </c>
      <c r="L9">
        <v>25</v>
      </c>
      <c r="M9">
        <v>35</v>
      </c>
      <c r="N9">
        <v>7</v>
      </c>
      <c r="O9">
        <v>19</v>
      </c>
      <c r="P9">
        <v>3</v>
      </c>
      <c r="Q9">
        <v>1</v>
      </c>
      <c r="R9" s="8">
        <f t="shared" si="1"/>
        <v>94</v>
      </c>
      <c r="T9">
        <f t="shared" si="2"/>
        <v>6.32</v>
      </c>
      <c r="U9">
        <f t="shared" si="3"/>
        <v>4.08</v>
      </c>
      <c r="V9">
        <f t="shared" si="4"/>
        <v>4.92</v>
      </c>
    </row>
    <row r="10" spans="2:22" ht="18.75" x14ac:dyDescent="0.35">
      <c r="B10" t="str">
        <f t="shared" si="0"/>
        <v>(S)-malate</v>
      </c>
      <c r="C10">
        <v>0</v>
      </c>
      <c r="D10">
        <v>0</v>
      </c>
      <c r="E10">
        <v>0</v>
      </c>
      <c r="I10" t="s">
        <v>381</v>
      </c>
      <c r="J10" t="s">
        <v>382</v>
      </c>
      <c r="K10">
        <v>-2</v>
      </c>
      <c r="L10">
        <v>4</v>
      </c>
      <c r="M10">
        <v>4</v>
      </c>
      <c r="O10">
        <v>5</v>
      </c>
      <c r="R10" s="8">
        <v>12</v>
      </c>
      <c r="T10">
        <f t="shared" si="2"/>
        <v>3</v>
      </c>
      <c r="U10">
        <f t="shared" si="3"/>
        <v>3</v>
      </c>
      <c r="V10">
        <f t="shared" si="4"/>
        <v>3</v>
      </c>
    </row>
    <row r="11" spans="2:22" ht="18.75" x14ac:dyDescent="0.25">
      <c r="B11" t="str">
        <f t="shared" si="0"/>
        <v>(S)-malyl-CoA</v>
      </c>
      <c r="C11">
        <v>0</v>
      </c>
      <c r="D11">
        <v>0</v>
      </c>
      <c r="E11">
        <v>0</v>
      </c>
      <c r="I11" t="s">
        <v>386</v>
      </c>
      <c r="J11" s="44" t="s">
        <v>387</v>
      </c>
      <c r="K11">
        <v>-5</v>
      </c>
      <c r="L11">
        <v>25</v>
      </c>
      <c r="M11">
        <v>35</v>
      </c>
      <c r="N11">
        <v>7</v>
      </c>
      <c r="O11">
        <v>20</v>
      </c>
      <c r="P11">
        <v>3</v>
      </c>
      <c r="Q11">
        <v>1</v>
      </c>
      <c r="R11" s="8">
        <v>92</v>
      </c>
      <c r="T11">
        <f t="shared" si="2"/>
        <v>6.24</v>
      </c>
      <c r="U11">
        <f t="shared" si="3"/>
        <v>4</v>
      </c>
      <c r="V11">
        <f t="shared" si="4"/>
        <v>4.84</v>
      </c>
    </row>
    <row r="12" spans="2:22" ht="18.75" x14ac:dyDescent="0.35">
      <c r="B12" t="str">
        <f t="shared" si="0"/>
        <v>(S)-methylmalonyl-CoA</v>
      </c>
      <c r="C12">
        <v>0</v>
      </c>
      <c r="D12">
        <v>0</v>
      </c>
      <c r="E12">
        <v>0</v>
      </c>
      <c r="I12" t="s">
        <v>391</v>
      </c>
      <c r="J12" t="s">
        <v>377</v>
      </c>
      <c r="K12">
        <v>-5</v>
      </c>
      <c r="L12">
        <v>25</v>
      </c>
      <c r="M12">
        <v>35</v>
      </c>
      <c r="N12">
        <v>7</v>
      </c>
      <c r="O12">
        <v>19</v>
      </c>
      <c r="P12">
        <v>3</v>
      </c>
      <c r="Q12">
        <v>1</v>
      </c>
      <c r="R12" s="8">
        <f>(4*L12)+(M12)+(-3*N12)+(-2*O12)+(5*P12)+(-2*Q12)+(-1*K12)</f>
        <v>94</v>
      </c>
      <c r="T12">
        <f t="shared" si="2"/>
        <v>6.32</v>
      </c>
      <c r="U12">
        <f t="shared" si="3"/>
        <v>4.08</v>
      </c>
      <c r="V12">
        <f t="shared" si="4"/>
        <v>4.92</v>
      </c>
    </row>
    <row r="13" spans="2:22" x14ac:dyDescent="0.25">
      <c r="B13" t="str">
        <f t="shared" si="0"/>
        <v>10-formyl-tetrahydrofolate</v>
      </c>
      <c r="C13">
        <v>0</v>
      </c>
      <c r="D13">
        <v>0</v>
      </c>
      <c r="E13">
        <v>0</v>
      </c>
      <c r="I13" t="s">
        <v>395</v>
      </c>
      <c r="J13" t="s">
        <v>926</v>
      </c>
      <c r="K13">
        <v>-2</v>
      </c>
      <c r="L13">
        <v>20</v>
      </c>
      <c r="M13">
        <v>21</v>
      </c>
      <c r="N13">
        <v>7</v>
      </c>
      <c r="O13">
        <v>7</v>
      </c>
      <c r="R13" s="8">
        <f>(4*L13)+(M13)+(-3*N13)+(-2*O13)+(5*P13)+(-2*Q13)+(-1*K13)</f>
        <v>68</v>
      </c>
    </row>
    <row r="14" spans="2:22" ht="18" x14ac:dyDescent="0.35">
      <c r="B14" t="str">
        <f t="shared" si="0"/>
        <v>2-dehydro-3-deoxy-D-gluconate_6-phosphate</v>
      </c>
      <c r="C14">
        <v>0</v>
      </c>
      <c r="D14">
        <v>0</v>
      </c>
      <c r="E14">
        <v>0</v>
      </c>
      <c r="I14" t="s">
        <v>400</v>
      </c>
      <c r="J14" t="s">
        <v>401</v>
      </c>
      <c r="K14">
        <v>-3</v>
      </c>
      <c r="L14">
        <v>6</v>
      </c>
      <c r="M14">
        <v>8</v>
      </c>
      <c r="O14">
        <v>9</v>
      </c>
      <c r="P14">
        <v>1</v>
      </c>
      <c r="R14" s="8">
        <f>(4*L14)+(M14)+(-3*N14)+(-2*O14)+(5*P14)+(-2*Q14)+(-1*K14)</f>
        <v>22</v>
      </c>
    </row>
    <row r="15" spans="2:22" ht="18.75" x14ac:dyDescent="0.35">
      <c r="B15" t="str">
        <f t="shared" si="0"/>
        <v>2-methylfumaryl-CoA</v>
      </c>
      <c r="C15">
        <v>0</v>
      </c>
      <c r="D15">
        <v>0</v>
      </c>
      <c r="E15">
        <v>0</v>
      </c>
      <c r="I15" t="s">
        <v>405</v>
      </c>
      <c r="J15" t="s">
        <v>406</v>
      </c>
      <c r="K15">
        <v>-5</v>
      </c>
      <c r="L15">
        <v>26</v>
      </c>
      <c r="M15">
        <v>35</v>
      </c>
      <c r="N15">
        <v>7</v>
      </c>
      <c r="O15">
        <v>19</v>
      </c>
      <c r="P15">
        <v>3</v>
      </c>
      <c r="Q15">
        <v>1</v>
      </c>
      <c r="R15" s="8">
        <f>(4*L15)+(M15)+(-3*N15)+(-2*O15)+(5*P15)+(-2*Q15)+(-1*K15)</f>
        <v>98</v>
      </c>
      <c r="T15">
        <f t="shared" ref="T15:T25" si="5">((4*(L15))+(M15)+(5*N15)+(-2*O15)+(5*P15)+(6*Q15)+(-K15))/L15</f>
        <v>6.2307692307692308</v>
      </c>
      <c r="U15">
        <f t="shared" ref="U15:U25" si="6">((4*(L15))+(M15)+(-3*N15)+(-2*O15)+(5*P15)+(6*Q15)+(-K15))/L15</f>
        <v>4.0769230769230766</v>
      </c>
      <c r="V15">
        <f t="shared" ref="V15:V25" si="7">((4*(L15))+(M15)+(0*N15)+(-2*O15)+(5*P15)+(6*Q15)+(-K15))/L15</f>
        <v>4.884615384615385</v>
      </c>
    </row>
    <row r="16" spans="2:22" ht="18.75" x14ac:dyDescent="0.25">
      <c r="B16" t="str">
        <f t="shared" si="0"/>
        <v>2-oxoglutarate</v>
      </c>
      <c r="C16">
        <v>0</v>
      </c>
      <c r="D16">
        <v>0</v>
      </c>
      <c r="E16">
        <v>0</v>
      </c>
      <c r="I16" t="s">
        <v>163</v>
      </c>
      <c r="J16" s="44" t="s">
        <v>410</v>
      </c>
      <c r="K16">
        <v>-2</v>
      </c>
      <c r="L16">
        <v>5</v>
      </c>
      <c r="M16">
        <v>4</v>
      </c>
      <c r="O16">
        <v>5</v>
      </c>
      <c r="R16" s="8">
        <f>(4*L16)+(M16)+(-3*N16)+(-2*O16)+(5*P16)+(-2*Q16)+(-1*K16)</f>
        <v>16</v>
      </c>
      <c r="T16">
        <f t="shared" si="5"/>
        <v>3.2</v>
      </c>
      <c r="U16">
        <f t="shared" si="6"/>
        <v>3.2</v>
      </c>
      <c r="V16">
        <f t="shared" si="7"/>
        <v>3.2</v>
      </c>
    </row>
    <row r="17" spans="2:22" ht="19.5" x14ac:dyDescent="0.35">
      <c r="B17" t="str">
        <f t="shared" si="0"/>
        <v>2-phospho-D-glycerate</v>
      </c>
      <c r="C17">
        <v>0</v>
      </c>
      <c r="D17">
        <v>0</v>
      </c>
      <c r="E17">
        <v>0</v>
      </c>
      <c r="I17" t="s">
        <v>414</v>
      </c>
      <c r="J17" s="4" t="s">
        <v>415</v>
      </c>
      <c r="K17">
        <v>-3</v>
      </c>
      <c r="L17">
        <v>3</v>
      </c>
      <c r="M17">
        <v>4</v>
      </c>
      <c r="O17">
        <v>7</v>
      </c>
      <c r="P17">
        <v>1</v>
      </c>
      <c r="R17" s="8">
        <v>10</v>
      </c>
      <c r="T17">
        <f t="shared" si="5"/>
        <v>3.3333333333333335</v>
      </c>
      <c r="U17">
        <f t="shared" si="6"/>
        <v>3.3333333333333335</v>
      </c>
      <c r="V17">
        <f t="shared" si="7"/>
        <v>3.3333333333333335</v>
      </c>
    </row>
    <row r="18" spans="2:22" ht="18" x14ac:dyDescent="0.35">
      <c r="B18" t="str">
        <f t="shared" si="0"/>
        <v>3-hydroxybutanoate</v>
      </c>
      <c r="C18">
        <v>0</v>
      </c>
      <c r="D18">
        <v>0</v>
      </c>
      <c r="E18">
        <v>0</v>
      </c>
      <c r="I18" t="s">
        <v>419</v>
      </c>
      <c r="J18" t="s">
        <v>420</v>
      </c>
      <c r="K18">
        <v>-1</v>
      </c>
      <c r="L18">
        <v>4</v>
      </c>
      <c r="M18">
        <v>7</v>
      </c>
      <c r="O18">
        <v>3</v>
      </c>
      <c r="R18" s="8">
        <f>(4*L18)+(M18)+(-3*N18)+(-2*O18)+(5*P18)+(-2*Q18)+(-1*K18)</f>
        <v>18</v>
      </c>
      <c r="T18">
        <f t="shared" si="5"/>
        <v>4.5</v>
      </c>
      <c r="U18">
        <f t="shared" si="6"/>
        <v>4.5</v>
      </c>
      <c r="V18">
        <f t="shared" si="7"/>
        <v>4.5</v>
      </c>
    </row>
    <row r="19" spans="2:22" ht="19.5" x14ac:dyDescent="0.35">
      <c r="B19" t="str">
        <f t="shared" si="0"/>
        <v>3-phospho-D-glycerate</v>
      </c>
      <c r="C19">
        <v>0</v>
      </c>
      <c r="D19">
        <v>0</v>
      </c>
      <c r="E19">
        <v>0</v>
      </c>
      <c r="I19" t="s">
        <v>424</v>
      </c>
      <c r="J19" s="4" t="s">
        <v>415</v>
      </c>
      <c r="K19">
        <v>-3</v>
      </c>
      <c r="L19">
        <v>3</v>
      </c>
      <c r="M19">
        <v>4</v>
      </c>
      <c r="O19">
        <v>7</v>
      </c>
      <c r="P19">
        <v>1</v>
      </c>
      <c r="R19" s="8">
        <v>10</v>
      </c>
      <c r="T19">
        <f t="shared" si="5"/>
        <v>3.3333333333333335</v>
      </c>
      <c r="U19">
        <f t="shared" si="6"/>
        <v>3.3333333333333335</v>
      </c>
      <c r="V19">
        <f t="shared" si="7"/>
        <v>3.3333333333333335</v>
      </c>
    </row>
    <row r="20" spans="2:22" ht="18" x14ac:dyDescent="0.35">
      <c r="B20" t="str">
        <f t="shared" si="0"/>
        <v>3-phospho-D-glycerol_phosphate</v>
      </c>
      <c r="C20">
        <v>0</v>
      </c>
      <c r="D20">
        <v>0</v>
      </c>
      <c r="E20">
        <v>0</v>
      </c>
      <c r="I20" t="s">
        <v>428</v>
      </c>
      <c r="J20" t="s">
        <v>429</v>
      </c>
      <c r="K20">
        <v>-4</v>
      </c>
      <c r="L20">
        <v>3</v>
      </c>
      <c r="M20">
        <v>4</v>
      </c>
      <c r="O20">
        <v>10</v>
      </c>
      <c r="P20">
        <v>2</v>
      </c>
      <c r="R20" s="8">
        <v>10</v>
      </c>
      <c r="T20">
        <f t="shared" si="5"/>
        <v>3.3333333333333335</v>
      </c>
      <c r="U20">
        <f t="shared" si="6"/>
        <v>3.3333333333333335</v>
      </c>
      <c r="V20">
        <f t="shared" si="7"/>
        <v>3.3333333333333335</v>
      </c>
    </row>
    <row r="21" spans="2:22" x14ac:dyDescent="0.25">
      <c r="B21" t="str">
        <f t="shared" si="0"/>
        <v>5,10-methenyltetrahydrofolate</v>
      </c>
      <c r="C21">
        <v>0</v>
      </c>
      <c r="D21">
        <v>0</v>
      </c>
      <c r="E21">
        <v>0</v>
      </c>
      <c r="I21" t="s">
        <v>433</v>
      </c>
      <c r="J21" t="s">
        <v>927</v>
      </c>
      <c r="K21">
        <v>-1</v>
      </c>
      <c r="L21">
        <v>20</v>
      </c>
      <c r="M21">
        <v>20</v>
      </c>
      <c r="N21">
        <v>7</v>
      </c>
      <c r="O21">
        <v>6</v>
      </c>
      <c r="R21" s="8">
        <f t="shared" ref="R21:R46" si="8">(4*L21)+(M21)+(-3*N21)+(-2*O21)+(5*P21)+(-2*Q21)+(-1*K21)</f>
        <v>68</v>
      </c>
      <c r="T21">
        <f t="shared" si="5"/>
        <v>6.2</v>
      </c>
      <c r="U21">
        <f t="shared" si="6"/>
        <v>3.4</v>
      </c>
      <c r="V21">
        <f t="shared" si="7"/>
        <v>4.45</v>
      </c>
    </row>
    <row r="22" spans="2:22" ht="18.75" x14ac:dyDescent="0.35">
      <c r="B22" t="str">
        <f t="shared" si="0"/>
        <v>5,10-methenyltetrahydromethanopterin</v>
      </c>
      <c r="C22">
        <v>0</v>
      </c>
      <c r="D22">
        <v>0</v>
      </c>
      <c r="E22">
        <v>0</v>
      </c>
      <c r="I22" t="s">
        <v>438</v>
      </c>
      <c r="J22" t="s">
        <v>439</v>
      </c>
      <c r="K22">
        <v>-2</v>
      </c>
      <c r="L22">
        <v>31</v>
      </c>
      <c r="M22">
        <v>41</v>
      </c>
      <c r="N22">
        <v>6</v>
      </c>
      <c r="O22">
        <v>16</v>
      </c>
      <c r="P22">
        <v>1</v>
      </c>
      <c r="R22" s="8">
        <f t="shared" si="8"/>
        <v>122</v>
      </c>
      <c r="T22">
        <f t="shared" si="5"/>
        <v>5.4838709677419351</v>
      </c>
      <c r="U22">
        <f t="shared" si="6"/>
        <v>3.935483870967742</v>
      </c>
      <c r="V22">
        <f t="shared" si="7"/>
        <v>4.5161290322580649</v>
      </c>
    </row>
    <row r="23" spans="2:22" ht="18.75" x14ac:dyDescent="0.35">
      <c r="B23" t="str">
        <f t="shared" si="0"/>
        <v>5,10-methylenetetrahydrofolate</v>
      </c>
      <c r="C23">
        <v>0</v>
      </c>
      <c r="D23">
        <v>0</v>
      </c>
      <c r="E23">
        <v>0</v>
      </c>
      <c r="I23" t="s">
        <v>443</v>
      </c>
      <c r="J23" t="s">
        <v>444</v>
      </c>
      <c r="K23">
        <v>-2</v>
      </c>
      <c r="L23">
        <v>20</v>
      </c>
      <c r="M23">
        <v>21</v>
      </c>
      <c r="N23">
        <v>7</v>
      </c>
      <c r="O23">
        <v>6</v>
      </c>
      <c r="R23" s="8">
        <f t="shared" si="8"/>
        <v>70</v>
      </c>
      <c r="T23">
        <f t="shared" si="5"/>
        <v>6.3</v>
      </c>
      <c r="U23">
        <f t="shared" si="6"/>
        <v>3.5</v>
      </c>
      <c r="V23">
        <f t="shared" si="7"/>
        <v>4.55</v>
      </c>
    </row>
    <row r="24" spans="2:22" ht="18.75" x14ac:dyDescent="0.35">
      <c r="B24" t="str">
        <f t="shared" si="0"/>
        <v>5,10-methylene-tetrahydromethanopterin</v>
      </c>
      <c r="C24">
        <v>0</v>
      </c>
      <c r="D24">
        <v>0</v>
      </c>
      <c r="E24">
        <v>0</v>
      </c>
      <c r="I24" t="s">
        <v>448</v>
      </c>
      <c r="J24" t="s">
        <v>449</v>
      </c>
      <c r="K24">
        <v>-3</v>
      </c>
      <c r="L24">
        <v>31</v>
      </c>
      <c r="M24">
        <v>42</v>
      </c>
      <c r="N24">
        <v>6</v>
      </c>
      <c r="O24">
        <v>16</v>
      </c>
      <c r="P24">
        <v>1</v>
      </c>
      <c r="R24" s="8">
        <f t="shared" si="8"/>
        <v>124</v>
      </c>
      <c r="T24">
        <f t="shared" si="5"/>
        <v>5.5483870967741939</v>
      </c>
      <c r="U24">
        <f t="shared" si="6"/>
        <v>4</v>
      </c>
      <c r="V24">
        <f t="shared" si="7"/>
        <v>4.580645161290323</v>
      </c>
    </row>
    <row r="25" spans="2:22" ht="18.75" x14ac:dyDescent="0.35">
      <c r="B25" t="str">
        <f t="shared" si="0"/>
        <v>5-formyl-tetrahydromethanopterin</v>
      </c>
      <c r="C25">
        <v>0</v>
      </c>
      <c r="D25">
        <v>0</v>
      </c>
      <c r="E25">
        <v>0</v>
      </c>
      <c r="I25" t="s">
        <v>453</v>
      </c>
      <c r="J25" t="s">
        <v>454</v>
      </c>
      <c r="K25">
        <v>-3</v>
      </c>
      <c r="L25">
        <v>31</v>
      </c>
      <c r="M25">
        <v>42</v>
      </c>
      <c r="N25">
        <v>6</v>
      </c>
      <c r="O25">
        <v>17</v>
      </c>
      <c r="P25">
        <v>1</v>
      </c>
      <c r="R25" s="8">
        <f t="shared" si="8"/>
        <v>122</v>
      </c>
      <c r="T25">
        <f t="shared" si="5"/>
        <v>5.4838709677419351</v>
      </c>
      <c r="U25">
        <f t="shared" si="6"/>
        <v>3.935483870967742</v>
      </c>
      <c r="V25">
        <f t="shared" si="7"/>
        <v>4.5161290322580649</v>
      </c>
    </row>
    <row r="26" spans="2:22" ht="18" x14ac:dyDescent="0.35">
      <c r="B26" t="str">
        <f t="shared" si="0"/>
        <v>6-phospho_D-glucono-1,5-lactone</v>
      </c>
      <c r="C26">
        <v>0</v>
      </c>
      <c r="D26">
        <v>0</v>
      </c>
      <c r="E26">
        <v>0</v>
      </c>
      <c r="I26" t="s">
        <v>458</v>
      </c>
      <c r="J26" t="s">
        <v>459</v>
      </c>
      <c r="K26">
        <v>-2</v>
      </c>
      <c r="L26">
        <v>6</v>
      </c>
      <c r="M26">
        <v>9</v>
      </c>
      <c r="O26">
        <v>9</v>
      </c>
      <c r="P26">
        <v>1</v>
      </c>
      <c r="R26" s="8">
        <f t="shared" si="8"/>
        <v>22</v>
      </c>
    </row>
    <row r="27" spans="2:22" ht="18" x14ac:dyDescent="0.25">
      <c r="B27" t="str">
        <f t="shared" si="0"/>
        <v>acetaldehyde</v>
      </c>
      <c r="C27">
        <v>0</v>
      </c>
      <c r="D27">
        <v>0</v>
      </c>
      <c r="E27">
        <v>0</v>
      </c>
      <c r="H27" s="61"/>
      <c r="I27" t="s">
        <v>239</v>
      </c>
      <c r="J27" s="44" t="s">
        <v>463</v>
      </c>
      <c r="K27">
        <v>0</v>
      </c>
      <c r="L27">
        <v>2</v>
      </c>
      <c r="M27">
        <v>4</v>
      </c>
      <c r="O27">
        <v>1</v>
      </c>
      <c r="R27" s="8">
        <f t="shared" si="8"/>
        <v>10</v>
      </c>
      <c r="T27">
        <f t="shared" ref="T27:T35" si="9">((4*(L27))+(M27)+(5*N27)+(-2*O27)+(5*P27)+(6*Q27)+(-K27))/L27</f>
        <v>5</v>
      </c>
      <c r="U27">
        <f t="shared" ref="U27:U35" si="10">((4*(L27))+(M27)+(-3*N27)+(-2*O27)+(5*P27)+(6*Q27)+(-K27))/L27</f>
        <v>5</v>
      </c>
      <c r="V27">
        <f t="shared" ref="V27:V35" si="11">((4*(L27))+(M27)+(0*N27)+(-2*O27)+(5*P27)+(6*Q27)+(-K27))/L27</f>
        <v>5</v>
      </c>
    </row>
    <row r="28" spans="2:22" ht="18" x14ac:dyDescent="0.35">
      <c r="B28" t="str">
        <f t="shared" si="0"/>
        <v>acetate</v>
      </c>
      <c r="C28">
        <v>0</v>
      </c>
      <c r="D28">
        <v>0</v>
      </c>
      <c r="E28">
        <v>0</v>
      </c>
      <c r="I28" t="s">
        <v>240</v>
      </c>
      <c r="J28" t="s">
        <v>467</v>
      </c>
      <c r="K28">
        <v>-1</v>
      </c>
      <c r="L28">
        <v>2</v>
      </c>
      <c r="M28">
        <v>3</v>
      </c>
      <c r="O28">
        <v>2</v>
      </c>
      <c r="R28" s="8">
        <f t="shared" si="8"/>
        <v>8</v>
      </c>
      <c r="T28">
        <f t="shared" si="9"/>
        <v>4</v>
      </c>
      <c r="U28">
        <f t="shared" si="10"/>
        <v>4</v>
      </c>
      <c r="V28">
        <f t="shared" si="11"/>
        <v>4</v>
      </c>
    </row>
    <row r="29" spans="2:22" ht="18" x14ac:dyDescent="0.35">
      <c r="B29" t="str">
        <f t="shared" si="0"/>
        <v>acetate_ext</v>
      </c>
      <c r="C29">
        <v>0</v>
      </c>
      <c r="D29">
        <v>0</v>
      </c>
      <c r="E29">
        <v>1</v>
      </c>
      <c r="I29" t="s">
        <v>241</v>
      </c>
      <c r="J29" t="s">
        <v>467</v>
      </c>
      <c r="K29">
        <v>-1</v>
      </c>
      <c r="L29">
        <v>2</v>
      </c>
      <c r="M29">
        <v>3</v>
      </c>
      <c r="O29">
        <v>2</v>
      </c>
      <c r="R29" s="8">
        <f t="shared" si="8"/>
        <v>8</v>
      </c>
      <c r="T29">
        <f t="shared" si="9"/>
        <v>4</v>
      </c>
      <c r="U29">
        <f t="shared" si="10"/>
        <v>4</v>
      </c>
      <c r="V29">
        <f t="shared" si="11"/>
        <v>4</v>
      </c>
    </row>
    <row r="30" spans="2:22" ht="18" x14ac:dyDescent="0.35">
      <c r="B30" t="str">
        <f t="shared" si="0"/>
        <v>acetoacetate</v>
      </c>
      <c r="C30">
        <v>0</v>
      </c>
      <c r="D30">
        <v>0</v>
      </c>
      <c r="E30">
        <v>0</v>
      </c>
      <c r="I30" t="s">
        <v>242</v>
      </c>
      <c r="J30" t="s">
        <v>474</v>
      </c>
      <c r="K30">
        <v>-1</v>
      </c>
      <c r="L30">
        <v>4</v>
      </c>
      <c r="M30">
        <v>5</v>
      </c>
      <c r="O30">
        <v>3</v>
      </c>
      <c r="R30" s="8">
        <f t="shared" si="8"/>
        <v>16</v>
      </c>
      <c r="T30">
        <f t="shared" si="9"/>
        <v>4</v>
      </c>
      <c r="U30">
        <f t="shared" si="10"/>
        <v>4</v>
      </c>
      <c r="V30">
        <f t="shared" si="11"/>
        <v>4</v>
      </c>
    </row>
    <row r="31" spans="2:22" ht="18.75" x14ac:dyDescent="0.35">
      <c r="B31" t="str">
        <f t="shared" si="0"/>
        <v>acetoacetyl-CoA</v>
      </c>
      <c r="C31">
        <v>0</v>
      </c>
      <c r="D31">
        <v>0</v>
      </c>
      <c r="E31">
        <v>0</v>
      </c>
      <c r="I31" t="s">
        <v>478</v>
      </c>
      <c r="J31" t="s">
        <v>479</v>
      </c>
      <c r="K31">
        <v>-4</v>
      </c>
      <c r="L31">
        <v>25</v>
      </c>
      <c r="M31">
        <v>36</v>
      </c>
      <c r="N31">
        <v>7</v>
      </c>
      <c r="O31">
        <v>18</v>
      </c>
      <c r="P31">
        <v>3</v>
      </c>
      <c r="Q31">
        <v>1</v>
      </c>
      <c r="R31" s="8">
        <f t="shared" si="8"/>
        <v>96</v>
      </c>
      <c r="T31">
        <f t="shared" si="9"/>
        <v>6.4</v>
      </c>
      <c r="U31">
        <f t="shared" si="10"/>
        <v>4.16</v>
      </c>
      <c r="V31">
        <f t="shared" si="11"/>
        <v>5</v>
      </c>
    </row>
    <row r="32" spans="2:22" ht="18" x14ac:dyDescent="0.35">
      <c r="B32" t="str">
        <f t="shared" si="0"/>
        <v>acetone</v>
      </c>
      <c r="C32">
        <v>0</v>
      </c>
      <c r="D32">
        <v>0</v>
      </c>
      <c r="E32">
        <v>0</v>
      </c>
      <c r="I32" t="s">
        <v>244</v>
      </c>
      <c r="J32" t="s">
        <v>483</v>
      </c>
      <c r="K32">
        <v>0</v>
      </c>
      <c r="L32">
        <v>3</v>
      </c>
      <c r="M32">
        <v>6</v>
      </c>
      <c r="O32">
        <v>1</v>
      </c>
      <c r="R32" s="8">
        <f t="shared" si="8"/>
        <v>16</v>
      </c>
      <c r="T32">
        <f t="shared" si="9"/>
        <v>5.333333333333333</v>
      </c>
      <c r="U32">
        <f t="shared" si="10"/>
        <v>5.333333333333333</v>
      </c>
      <c r="V32">
        <f t="shared" si="11"/>
        <v>5.333333333333333</v>
      </c>
    </row>
    <row r="33" spans="2:22" ht="18" x14ac:dyDescent="0.35">
      <c r="B33" t="str">
        <f t="shared" si="0"/>
        <v>acetone_ext</v>
      </c>
      <c r="C33">
        <v>0</v>
      </c>
      <c r="D33">
        <v>0</v>
      </c>
      <c r="E33">
        <v>1</v>
      </c>
      <c r="I33" t="s">
        <v>245</v>
      </c>
      <c r="J33" t="s">
        <v>483</v>
      </c>
      <c r="K33">
        <v>0</v>
      </c>
      <c r="L33">
        <v>3</v>
      </c>
      <c r="M33">
        <v>6</v>
      </c>
      <c r="O33">
        <v>1</v>
      </c>
      <c r="R33" s="8">
        <f t="shared" si="8"/>
        <v>16</v>
      </c>
      <c r="T33">
        <f t="shared" si="9"/>
        <v>5.333333333333333</v>
      </c>
      <c r="U33">
        <f t="shared" si="10"/>
        <v>5.333333333333333</v>
      </c>
      <c r="V33">
        <f t="shared" si="11"/>
        <v>5.333333333333333</v>
      </c>
    </row>
    <row r="34" spans="2:22" ht="18" x14ac:dyDescent="0.35">
      <c r="B34" t="str">
        <f t="shared" si="0"/>
        <v>acetyl_phosphate</v>
      </c>
      <c r="C34">
        <v>0</v>
      </c>
      <c r="D34">
        <v>0</v>
      </c>
      <c r="E34">
        <v>0</v>
      </c>
      <c r="I34" t="s">
        <v>246</v>
      </c>
      <c r="J34" t="s">
        <v>490</v>
      </c>
      <c r="K34">
        <v>-2</v>
      </c>
      <c r="L34">
        <v>2</v>
      </c>
      <c r="M34">
        <v>3</v>
      </c>
      <c r="O34">
        <v>5</v>
      </c>
      <c r="P34">
        <v>1</v>
      </c>
      <c r="R34" s="8">
        <f t="shared" si="8"/>
        <v>8</v>
      </c>
      <c r="T34">
        <f t="shared" si="9"/>
        <v>4</v>
      </c>
      <c r="U34">
        <f t="shared" si="10"/>
        <v>4</v>
      </c>
      <c r="V34">
        <f t="shared" si="11"/>
        <v>4</v>
      </c>
    </row>
    <row r="35" spans="2:22" ht="18.75" x14ac:dyDescent="0.35">
      <c r="B35" t="str">
        <f t="shared" si="0"/>
        <v>acetyl-CoA</v>
      </c>
      <c r="C35">
        <v>0</v>
      </c>
      <c r="D35">
        <v>0</v>
      </c>
      <c r="E35">
        <v>0</v>
      </c>
      <c r="I35" t="s">
        <v>162</v>
      </c>
      <c r="J35" t="s">
        <v>494</v>
      </c>
      <c r="K35">
        <v>-4</v>
      </c>
      <c r="L35">
        <v>23</v>
      </c>
      <c r="M35">
        <v>34</v>
      </c>
      <c r="N35">
        <v>7</v>
      </c>
      <c r="O35">
        <v>17</v>
      </c>
      <c r="P35">
        <v>3</v>
      </c>
      <c r="Q35">
        <v>1</v>
      </c>
      <c r="R35" s="8">
        <f t="shared" si="8"/>
        <v>88</v>
      </c>
      <c r="T35">
        <f t="shared" si="9"/>
        <v>6.6086956521739131</v>
      </c>
      <c r="U35">
        <f t="shared" si="10"/>
        <v>4.1739130434782608</v>
      </c>
      <c r="V35">
        <f t="shared" si="11"/>
        <v>5.0869565217391308</v>
      </c>
    </row>
    <row r="36" spans="2:22" ht="18" x14ac:dyDescent="0.25">
      <c r="B36" t="str">
        <f t="shared" si="0"/>
        <v>a-D-glucopyranose_1-phosphate</v>
      </c>
      <c r="C36">
        <v>0</v>
      </c>
      <c r="D36">
        <v>0</v>
      </c>
      <c r="E36">
        <v>0</v>
      </c>
      <c r="I36" t="s">
        <v>498</v>
      </c>
      <c r="J36" s="44" t="s">
        <v>499</v>
      </c>
      <c r="K36">
        <v>-2</v>
      </c>
      <c r="L36">
        <v>6</v>
      </c>
      <c r="M36">
        <v>11</v>
      </c>
      <c r="O36">
        <v>9</v>
      </c>
      <c r="P36">
        <v>1</v>
      </c>
      <c r="R36" s="8">
        <f t="shared" si="8"/>
        <v>24</v>
      </c>
    </row>
    <row r="37" spans="2:22" ht="19.5" x14ac:dyDescent="0.35">
      <c r="B37" t="str">
        <f t="shared" si="0"/>
        <v>ADP</v>
      </c>
      <c r="C37">
        <v>0</v>
      </c>
      <c r="D37">
        <v>0</v>
      </c>
      <c r="E37">
        <v>0</v>
      </c>
      <c r="I37" t="s">
        <v>130</v>
      </c>
      <c r="J37" s="4" t="s">
        <v>136</v>
      </c>
      <c r="K37">
        <v>-3</v>
      </c>
      <c r="L37">
        <v>10</v>
      </c>
      <c r="M37">
        <v>12</v>
      </c>
      <c r="N37">
        <v>5</v>
      </c>
      <c r="O37">
        <v>10</v>
      </c>
      <c r="P37">
        <v>2</v>
      </c>
      <c r="R37" s="8">
        <f t="shared" si="8"/>
        <v>30</v>
      </c>
      <c r="T37">
        <f t="shared" ref="T37:T47" si="12">((4*(L37))+(M37)+(5*N37)+(-2*O37)+(5*P37)+(6*Q37)+(-K37))/L37</f>
        <v>7</v>
      </c>
      <c r="U37">
        <f t="shared" ref="U37:U47" si="13">((4*(L37))+(M37)+(-3*N37)+(-2*O37)+(5*P37)+(6*Q37)+(-K37))/L37</f>
        <v>3</v>
      </c>
      <c r="V37">
        <f t="shared" ref="V37:V47" si="14">((4*(L37))+(M37)+(0*N37)+(-2*O37)+(5*P37)+(6*Q37)+(-K37))/L37</f>
        <v>4.5</v>
      </c>
    </row>
    <row r="38" spans="2:22" ht="18" x14ac:dyDescent="0.35">
      <c r="B38" t="str">
        <f t="shared" si="0"/>
        <v>ADP-a-D-glucose</v>
      </c>
      <c r="C38">
        <v>0</v>
      </c>
      <c r="D38">
        <v>0</v>
      </c>
      <c r="E38">
        <v>0</v>
      </c>
      <c r="I38" t="s">
        <v>506</v>
      </c>
      <c r="J38" t="s">
        <v>507</v>
      </c>
      <c r="K38">
        <v>-3</v>
      </c>
      <c r="L38">
        <v>16</v>
      </c>
      <c r="M38">
        <v>23</v>
      </c>
      <c r="N38">
        <v>5</v>
      </c>
      <c r="O38">
        <v>15</v>
      </c>
      <c r="P38">
        <v>2</v>
      </c>
      <c r="R38" s="8">
        <f t="shared" si="8"/>
        <v>55</v>
      </c>
      <c r="T38">
        <f t="shared" si="12"/>
        <v>5.9375</v>
      </c>
      <c r="U38">
        <f t="shared" si="13"/>
        <v>3.4375</v>
      </c>
      <c r="V38">
        <f t="shared" si="14"/>
        <v>4.375</v>
      </c>
    </row>
    <row r="39" spans="2:22" x14ac:dyDescent="0.25">
      <c r="B39" t="str">
        <f t="shared" si="0"/>
        <v>ammonia</v>
      </c>
      <c r="C39">
        <v>0</v>
      </c>
      <c r="D39">
        <v>0</v>
      </c>
      <c r="E39">
        <v>0</v>
      </c>
      <c r="I39" t="s">
        <v>250</v>
      </c>
      <c r="J39" t="s">
        <v>928</v>
      </c>
      <c r="M39">
        <v>3</v>
      </c>
      <c r="N39">
        <v>1</v>
      </c>
      <c r="R39" s="8">
        <f t="shared" si="8"/>
        <v>0</v>
      </c>
      <c r="T39" t="e">
        <f t="shared" si="12"/>
        <v>#DIV/0!</v>
      </c>
      <c r="U39" t="e">
        <f t="shared" si="13"/>
        <v>#DIV/0!</v>
      </c>
      <c r="V39" t="e">
        <f t="shared" si="14"/>
        <v>#DIV/0!</v>
      </c>
    </row>
    <row r="40" spans="2:22" x14ac:dyDescent="0.25">
      <c r="B40" t="str">
        <f t="shared" si="0"/>
        <v>ammonium</v>
      </c>
      <c r="C40">
        <v>0</v>
      </c>
      <c r="D40">
        <v>0</v>
      </c>
      <c r="E40">
        <v>0</v>
      </c>
      <c r="I40" t="s">
        <v>251</v>
      </c>
      <c r="J40" t="s">
        <v>17</v>
      </c>
      <c r="K40">
        <v>1</v>
      </c>
      <c r="M40">
        <v>4</v>
      </c>
      <c r="N40">
        <v>1</v>
      </c>
      <c r="R40" s="8">
        <f t="shared" si="8"/>
        <v>0</v>
      </c>
      <c r="T40" t="e">
        <f t="shared" si="12"/>
        <v>#DIV/0!</v>
      </c>
      <c r="U40" t="e">
        <f t="shared" si="13"/>
        <v>#DIV/0!</v>
      </c>
      <c r="V40" t="e">
        <f t="shared" si="14"/>
        <v>#DIV/0!</v>
      </c>
    </row>
    <row r="41" spans="2:22" x14ac:dyDescent="0.25">
      <c r="B41" t="str">
        <f t="shared" si="0"/>
        <v>ammonium_ext</v>
      </c>
      <c r="C41">
        <v>0</v>
      </c>
      <c r="D41">
        <v>0</v>
      </c>
      <c r="E41">
        <v>1</v>
      </c>
      <c r="I41" t="s">
        <v>252</v>
      </c>
      <c r="J41" t="s">
        <v>17</v>
      </c>
      <c r="K41">
        <v>1</v>
      </c>
      <c r="M41">
        <v>4</v>
      </c>
      <c r="N41">
        <v>1</v>
      </c>
      <c r="R41" s="8">
        <f t="shared" si="8"/>
        <v>0</v>
      </c>
      <c r="T41" t="e">
        <f t="shared" si="12"/>
        <v>#DIV/0!</v>
      </c>
      <c r="U41" t="e">
        <f t="shared" si="13"/>
        <v>#DIV/0!</v>
      </c>
      <c r="V41" t="e">
        <f t="shared" si="14"/>
        <v>#DIV/0!</v>
      </c>
    </row>
    <row r="42" spans="2:22" ht="18.75" x14ac:dyDescent="0.35">
      <c r="B42" t="str">
        <f t="shared" si="0"/>
        <v>AMP</v>
      </c>
      <c r="C42">
        <v>0</v>
      </c>
      <c r="D42">
        <v>0</v>
      </c>
      <c r="E42">
        <v>0</v>
      </c>
      <c r="I42" t="s">
        <v>253</v>
      </c>
      <c r="J42" t="s">
        <v>522</v>
      </c>
      <c r="K42">
        <v>-2</v>
      </c>
      <c r="L42">
        <v>10</v>
      </c>
      <c r="M42">
        <v>12</v>
      </c>
      <c r="N42">
        <v>5</v>
      </c>
      <c r="O42">
        <v>7</v>
      </c>
      <c r="P42">
        <v>1</v>
      </c>
      <c r="R42" s="8">
        <f t="shared" si="8"/>
        <v>30</v>
      </c>
      <c r="T42">
        <f t="shared" si="12"/>
        <v>7</v>
      </c>
      <c r="U42">
        <f t="shared" si="13"/>
        <v>3</v>
      </c>
      <c r="V42">
        <f t="shared" si="14"/>
        <v>4.5</v>
      </c>
    </row>
    <row r="43" spans="2:22" ht="19.5" x14ac:dyDescent="0.35">
      <c r="B43" t="str">
        <f t="shared" si="0"/>
        <v>ATP</v>
      </c>
      <c r="C43">
        <v>0</v>
      </c>
      <c r="D43">
        <v>0</v>
      </c>
      <c r="E43">
        <v>0</v>
      </c>
      <c r="I43" t="s">
        <v>52</v>
      </c>
      <c r="J43" s="4" t="s">
        <v>526</v>
      </c>
      <c r="K43">
        <v>-4</v>
      </c>
      <c r="L43">
        <v>10</v>
      </c>
      <c r="M43">
        <v>12</v>
      </c>
      <c r="N43">
        <v>5</v>
      </c>
      <c r="O43">
        <v>13</v>
      </c>
      <c r="P43">
        <v>3</v>
      </c>
      <c r="R43" s="8">
        <f t="shared" si="8"/>
        <v>30</v>
      </c>
      <c r="T43">
        <f t="shared" si="12"/>
        <v>7</v>
      </c>
      <c r="U43">
        <f t="shared" si="13"/>
        <v>3</v>
      </c>
      <c r="V43">
        <f t="shared" si="14"/>
        <v>4.5</v>
      </c>
    </row>
    <row r="44" spans="2:22" x14ac:dyDescent="0.25">
      <c r="B44" t="str">
        <f t="shared" si="0"/>
        <v>ATP_main</v>
      </c>
      <c r="C44">
        <v>0</v>
      </c>
      <c r="D44">
        <v>0</v>
      </c>
      <c r="E44">
        <v>1</v>
      </c>
      <c r="I44" t="s">
        <v>254</v>
      </c>
      <c r="J44" t="s">
        <v>530</v>
      </c>
      <c r="R44" s="8">
        <f t="shared" si="8"/>
        <v>0</v>
      </c>
      <c r="T44" t="e">
        <f t="shared" si="12"/>
        <v>#DIV/0!</v>
      </c>
      <c r="U44" t="e">
        <f t="shared" si="13"/>
        <v>#DIV/0!</v>
      </c>
      <c r="V44" t="e">
        <f t="shared" si="14"/>
        <v>#DIV/0!</v>
      </c>
    </row>
    <row r="45" spans="2:22" ht="18.75" x14ac:dyDescent="0.25">
      <c r="B45" t="str">
        <f t="shared" si="0"/>
        <v>B-D-fructofuranose_1,6-bisphosphate</v>
      </c>
      <c r="C45">
        <v>0</v>
      </c>
      <c r="D45">
        <v>0</v>
      </c>
      <c r="E45">
        <v>0</v>
      </c>
      <c r="I45" t="s">
        <v>534</v>
      </c>
      <c r="J45" s="44" t="s">
        <v>535</v>
      </c>
      <c r="K45">
        <v>-4</v>
      </c>
      <c r="L45">
        <v>6</v>
      </c>
      <c r="M45">
        <v>10</v>
      </c>
      <c r="O45">
        <v>12</v>
      </c>
      <c r="P45">
        <v>2</v>
      </c>
      <c r="R45" s="8">
        <f t="shared" si="8"/>
        <v>24</v>
      </c>
      <c r="T45">
        <f t="shared" si="12"/>
        <v>4</v>
      </c>
      <c r="U45">
        <f t="shared" si="13"/>
        <v>4</v>
      </c>
      <c r="V45">
        <f t="shared" si="14"/>
        <v>4</v>
      </c>
    </row>
    <row r="46" spans="2:22" ht="18.75" x14ac:dyDescent="0.35">
      <c r="B46" t="str">
        <f t="shared" si="0"/>
        <v>B-D-fructofuranose_6-phosphate</v>
      </c>
      <c r="C46">
        <v>0</v>
      </c>
      <c r="D46">
        <v>0</v>
      </c>
      <c r="E46">
        <v>0</v>
      </c>
      <c r="I46" t="s">
        <v>539</v>
      </c>
      <c r="J46" t="s">
        <v>540</v>
      </c>
      <c r="K46">
        <v>-2</v>
      </c>
      <c r="L46">
        <v>6</v>
      </c>
      <c r="M46">
        <v>11</v>
      </c>
      <c r="O46">
        <v>9</v>
      </c>
      <c r="P46">
        <v>1</v>
      </c>
      <c r="R46" s="8">
        <f t="shared" si="8"/>
        <v>24</v>
      </c>
      <c r="T46">
        <f t="shared" si="12"/>
        <v>4</v>
      </c>
      <c r="U46">
        <f t="shared" si="13"/>
        <v>4</v>
      </c>
      <c r="V46">
        <f t="shared" si="14"/>
        <v>4</v>
      </c>
    </row>
    <row r="47" spans="2:22" ht="15.75" x14ac:dyDescent="0.25">
      <c r="B47" t="s">
        <v>257</v>
      </c>
      <c r="C47">
        <v>0</v>
      </c>
      <c r="D47">
        <v>0</v>
      </c>
      <c r="E47">
        <v>1</v>
      </c>
      <c r="I47" t="s">
        <v>257</v>
      </c>
      <c r="K47" s="11">
        <v>-3.2801700000000018</v>
      </c>
      <c r="L47" s="11">
        <v>1.0000300000000095</v>
      </c>
      <c r="M47" s="11">
        <v>-0.37217000000001121</v>
      </c>
      <c r="N47" s="11">
        <v>0.23901999999999646</v>
      </c>
      <c r="O47" s="11">
        <v>1.2126399999999862</v>
      </c>
      <c r="P47" s="11">
        <v>8.7320000000000064E-2</v>
      </c>
      <c r="Q47" s="11">
        <v>0</v>
      </c>
      <c r="R47" s="11">
        <v>4.2023799999999767</v>
      </c>
      <c r="T47">
        <f t="shared" si="12"/>
        <v>6.1143565693029016</v>
      </c>
      <c r="U47">
        <f t="shared" si="13"/>
        <v>4.2022539323820558</v>
      </c>
      <c r="V47">
        <f t="shared" si="14"/>
        <v>4.9192924212273734</v>
      </c>
    </row>
    <row r="48" spans="2:22" ht="15.75" x14ac:dyDescent="0.25">
      <c r="B48" t="str">
        <f t="shared" ref="B48:B111" si="15">I48</f>
        <v>biomass_2</v>
      </c>
      <c r="C48">
        <v>0</v>
      </c>
      <c r="D48">
        <v>0</v>
      </c>
      <c r="E48">
        <v>1</v>
      </c>
      <c r="I48" t="s">
        <v>258</v>
      </c>
      <c r="K48" s="11">
        <v>-0.90777999999999981</v>
      </c>
      <c r="L48" s="11">
        <v>0.99998999999999683</v>
      </c>
      <c r="M48" s="11">
        <v>2.004649999999998</v>
      </c>
      <c r="N48" s="11">
        <v>0.23934000000000033</v>
      </c>
      <c r="O48" s="11">
        <v>1.2146399999999957</v>
      </c>
      <c r="P48" s="11">
        <v>8.7429999999999453E-2</v>
      </c>
      <c r="Q48" s="11">
        <v>0</v>
      </c>
      <c r="R48" s="11">
        <v>4.2022400000000033</v>
      </c>
      <c r="T48">
        <f>((4*(L48))+(M48)+(5*N48)+(-2*O48)+(5*P48)+(6*Q48)+(-K48))/L48</f>
        <v>6.1170211702117143</v>
      </c>
      <c r="U48">
        <f>((4*(L48))+(M48)+(-3*N48)+(-2*O48)+(5*P48)+(6*Q48)+(-K48))/L48</f>
        <v>4.2022820228202313</v>
      </c>
      <c r="V48">
        <f>((4*(L48))+(M48)+(0*N48)+(-2*O48)+(5*P48)+(6*Q48)+(-K48))/L48</f>
        <v>4.9203092030920379</v>
      </c>
    </row>
    <row r="49" spans="2:22" ht="18.75" x14ac:dyDescent="0.25">
      <c r="B49" t="str">
        <f t="shared" si="15"/>
        <v>citrate</v>
      </c>
      <c r="C49">
        <v>0</v>
      </c>
      <c r="D49">
        <v>0</v>
      </c>
      <c r="E49">
        <v>0</v>
      </c>
      <c r="I49" t="s">
        <v>259</v>
      </c>
      <c r="J49" s="44" t="s">
        <v>550</v>
      </c>
      <c r="K49">
        <v>-3</v>
      </c>
      <c r="L49">
        <v>6</v>
      </c>
      <c r="M49">
        <v>5</v>
      </c>
      <c r="O49">
        <v>7</v>
      </c>
      <c r="R49" s="8">
        <f>(4*L49)+(M49)+(-3*N49)+(-2*O49)+(5*P49)+(-2*Q49)+(-1*K49)</f>
        <v>18</v>
      </c>
      <c r="T49">
        <f>((4*(L49))+(M49)+(5*N49)+(-2*O49)+(5*P49)+(6*Q49)+(-K49))/L49</f>
        <v>3</v>
      </c>
      <c r="U49">
        <f>((4*(L49))+(M49)+(-3*N49)+(-2*O49)+(5*P49)+(6*Q49)+(-K49))/L49</f>
        <v>3</v>
      </c>
      <c r="V49">
        <f>((4*(L49))+(M49)+(0*N49)+(-2*O49)+(5*P49)+(6*Q49)+(-K49))/L49</f>
        <v>3</v>
      </c>
    </row>
    <row r="50" spans="2:22" ht="18.75" x14ac:dyDescent="0.35">
      <c r="B50" t="str">
        <f t="shared" si="15"/>
        <v xml:space="preserve">CO2 </v>
      </c>
      <c r="C50">
        <v>0</v>
      </c>
      <c r="D50">
        <v>0</v>
      </c>
      <c r="E50">
        <v>0</v>
      </c>
      <c r="I50" t="s">
        <v>554</v>
      </c>
      <c r="J50" t="s">
        <v>555</v>
      </c>
      <c r="K50">
        <v>0</v>
      </c>
      <c r="L50">
        <v>1</v>
      </c>
      <c r="O50">
        <v>2</v>
      </c>
      <c r="R50" s="8">
        <f>(4*L50)+(M50)+(-3*N50)+(-2*O50)+(5*P50)+(-2*Q50)+(-1*K50)</f>
        <v>0</v>
      </c>
      <c r="T50">
        <f>((4*(L50))+(M50)+(5*N50)+(-2*O50)+(5*P50)+(6*Q50)+(-K50))/L50</f>
        <v>0</v>
      </c>
      <c r="U50">
        <f>((4*(L50))+(M50)+(-3*N50)+(-2*O50)+(5*P50)+(6*Q50)+(-K50))/L50</f>
        <v>0</v>
      </c>
      <c r="V50">
        <f>((4*(L50))+(M50)+(0*N50)+(-2*O50)+(5*P50)+(6*Q50)+(-K50))/L50</f>
        <v>0</v>
      </c>
    </row>
    <row r="51" spans="2:22" x14ac:dyDescent="0.25">
      <c r="B51" t="str">
        <f t="shared" si="15"/>
        <v>CO2_eq_100</v>
      </c>
      <c r="C51">
        <v>0</v>
      </c>
      <c r="D51">
        <v>0</v>
      </c>
      <c r="E51">
        <v>0</v>
      </c>
      <c r="I51" t="s">
        <v>260</v>
      </c>
    </row>
    <row r="52" spans="2:22" x14ac:dyDescent="0.25">
      <c r="B52" t="str">
        <f t="shared" si="15"/>
        <v>CO2_eq_20</v>
      </c>
      <c r="C52">
        <v>0</v>
      </c>
      <c r="D52">
        <v>0</v>
      </c>
      <c r="E52">
        <v>0</v>
      </c>
      <c r="I52" t="s">
        <v>261</v>
      </c>
    </row>
    <row r="53" spans="2:22" ht="18.75" x14ac:dyDescent="0.35">
      <c r="B53" t="str">
        <f t="shared" si="15"/>
        <v>CO2_ext</v>
      </c>
      <c r="C53">
        <v>0</v>
      </c>
      <c r="D53">
        <v>0</v>
      </c>
      <c r="E53">
        <v>1</v>
      </c>
      <c r="I53" t="s">
        <v>262</v>
      </c>
      <c r="J53" t="s">
        <v>555</v>
      </c>
      <c r="K53">
        <v>0</v>
      </c>
      <c r="L53">
        <v>1</v>
      </c>
      <c r="O53">
        <v>2</v>
      </c>
      <c r="R53" s="8">
        <f>(4*L53)+(M53)+(-3*N53)+(-2*O53)+(5*P53)+(-2*Q53)+(-1*K53)</f>
        <v>0</v>
      </c>
      <c r="T53">
        <f t="shared" ref="T53:T84" si="16">((4*(L53))+(M53)+(5*N53)+(-2*O53)+(5*P53)+(6*Q53)+(-K53))/L53</f>
        <v>0</v>
      </c>
      <c r="U53">
        <f t="shared" ref="U53:U84" si="17">((4*(L53))+(M53)+(-3*N53)+(-2*O53)+(5*P53)+(6*Q53)+(-K53))/L53</f>
        <v>0</v>
      </c>
      <c r="V53">
        <f t="shared" ref="V53:V84" si="18">((4*(L53))+(M53)+(0*N53)+(-2*O53)+(5*P53)+(6*Q53)+(-K53))/L53</f>
        <v>0</v>
      </c>
    </row>
    <row r="54" spans="2:22" ht="18.75" x14ac:dyDescent="0.35">
      <c r="B54" t="str">
        <f t="shared" si="15"/>
        <v>coenzyme_A</v>
      </c>
      <c r="C54">
        <v>0</v>
      </c>
      <c r="D54">
        <v>0</v>
      </c>
      <c r="E54">
        <v>0</v>
      </c>
      <c r="I54" t="s">
        <v>167</v>
      </c>
      <c r="J54" t="s">
        <v>137</v>
      </c>
      <c r="K54">
        <v>-4</v>
      </c>
      <c r="L54">
        <v>21</v>
      </c>
      <c r="M54">
        <v>32</v>
      </c>
      <c r="N54">
        <v>7</v>
      </c>
      <c r="O54">
        <v>16</v>
      </c>
      <c r="P54">
        <v>3</v>
      </c>
      <c r="Q54">
        <v>1</v>
      </c>
      <c r="R54" s="8">
        <v>80</v>
      </c>
      <c r="T54">
        <f t="shared" si="16"/>
        <v>6.8571428571428568</v>
      </c>
      <c r="U54">
        <f t="shared" si="17"/>
        <v>4.1904761904761907</v>
      </c>
      <c r="V54">
        <f t="shared" si="18"/>
        <v>5.1904761904761907</v>
      </c>
    </row>
    <row r="55" spans="2:22" ht="18.75" x14ac:dyDescent="0.35">
      <c r="B55" t="str">
        <f t="shared" si="15"/>
        <v>crotonyl-CoA</v>
      </c>
      <c r="C55">
        <v>0</v>
      </c>
      <c r="D55">
        <v>0</v>
      </c>
      <c r="E55">
        <v>0</v>
      </c>
      <c r="I55" t="s">
        <v>571</v>
      </c>
      <c r="J55" t="s">
        <v>572</v>
      </c>
      <c r="K55">
        <v>-4</v>
      </c>
      <c r="L55">
        <v>25</v>
      </c>
      <c r="M55">
        <v>36</v>
      </c>
      <c r="N55">
        <v>7</v>
      </c>
      <c r="O55">
        <v>17</v>
      </c>
      <c r="P55">
        <v>3</v>
      </c>
      <c r="Q55">
        <v>1</v>
      </c>
      <c r="R55" s="8">
        <f>(4*L55)+(M55)+(-3*N55)+(-2*O55)+(5*P55)+(-2*Q55)+(-1*K55)</f>
        <v>98</v>
      </c>
      <c r="T55">
        <f t="shared" si="16"/>
        <v>6.48</v>
      </c>
      <c r="U55">
        <f t="shared" si="17"/>
        <v>4.24</v>
      </c>
      <c r="V55">
        <f t="shared" si="18"/>
        <v>5.08</v>
      </c>
    </row>
    <row r="56" spans="2:22" x14ac:dyDescent="0.25">
      <c r="B56" t="str">
        <f t="shared" si="15"/>
        <v>cytc</v>
      </c>
      <c r="C56">
        <v>0</v>
      </c>
      <c r="D56">
        <v>0</v>
      </c>
      <c r="E56">
        <v>0</v>
      </c>
      <c r="I56" t="s">
        <v>264</v>
      </c>
      <c r="J56" t="s">
        <v>530</v>
      </c>
      <c r="K56">
        <v>3</v>
      </c>
      <c r="R56">
        <v>0</v>
      </c>
      <c r="T56" t="e">
        <f t="shared" si="16"/>
        <v>#DIV/0!</v>
      </c>
      <c r="U56" t="e">
        <f t="shared" si="17"/>
        <v>#DIV/0!</v>
      </c>
      <c r="V56" t="e">
        <f t="shared" si="18"/>
        <v>#DIV/0!</v>
      </c>
    </row>
    <row r="57" spans="2:22" x14ac:dyDescent="0.25">
      <c r="B57" t="str">
        <f t="shared" si="15"/>
        <v>cytcE</v>
      </c>
      <c r="C57">
        <v>0</v>
      </c>
      <c r="D57">
        <v>0</v>
      </c>
      <c r="E57">
        <v>0</v>
      </c>
      <c r="I57" t="s">
        <v>265</v>
      </c>
      <c r="K57">
        <v>2</v>
      </c>
      <c r="R57">
        <v>1</v>
      </c>
      <c r="T57" t="e">
        <f t="shared" si="16"/>
        <v>#DIV/0!</v>
      </c>
      <c r="U57" t="e">
        <f t="shared" si="17"/>
        <v>#DIV/0!</v>
      </c>
      <c r="V57" t="e">
        <f t="shared" si="18"/>
        <v>#DIV/0!</v>
      </c>
    </row>
    <row r="58" spans="2:22" x14ac:dyDescent="0.25">
      <c r="B58" t="str">
        <f t="shared" si="15"/>
        <v>D-erythrose_4-phosphate</v>
      </c>
      <c r="C58">
        <v>0</v>
      </c>
      <c r="D58">
        <v>0</v>
      </c>
      <c r="E58">
        <v>0</v>
      </c>
      <c r="I58" t="s">
        <v>159</v>
      </c>
      <c r="J58" t="s">
        <v>113</v>
      </c>
      <c r="K58">
        <v>-2</v>
      </c>
      <c r="L58">
        <v>4</v>
      </c>
      <c r="M58">
        <v>7</v>
      </c>
      <c r="O58">
        <v>7</v>
      </c>
      <c r="P58">
        <v>1</v>
      </c>
      <c r="R58" s="8">
        <f>(4*L58)+(M58)+(-3*N58)+(-2*O58)+(5*P58)+(-2*Q58)+(-1*K58)</f>
        <v>16</v>
      </c>
      <c r="T58">
        <f t="shared" si="16"/>
        <v>4</v>
      </c>
      <c r="U58">
        <f t="shared" si="17"/>
        <v>4</v>
      </c>
      <c r="V58">
        <f t="shared" si="18"/>
        <v>4</v>
      </c>
    </row>
    <row r="59" spans="2:22" ht="20.100000000000001" customHeight="1" x14ac:dyDescent="0.35">
      <c r="B59" t="str">
        <f t="shared" si="15"/>
        <v>D-gluconate_6-phosphate</v>
      </c>
      <c r="C59">
        <v>0</v>
      </c>
      <c r="D59">
        <v>0</v>
      </c>
      <c r="E59">
        <v>0</v>
      </c>
      <c r="I59" t="s">
        <v>586</v>
      </c>
      <c r="J59" t="s">
        <v>587</v>
      </c>
      <c r="K59">
        <v>-3</v>
      </c>
      <c r="L59">
        <v>6</v>
      </c>
      <c r="M59">
        <v>10</v>
      </c>
      <c r="O59">
        <v>10</v>
      </c>
      <c r="P59">
        <v>1</v>
      </c>
      <c r="R59" s="8">
        <f>(4*L59)+(M59)+(-3*N59)+(-2*O59)+(5*P59)+(-2*Q59)+(-1*K59)</f>
        <v>22</v>
      </c>
      <c r="T59">
        <f t="shared" si="16"/>
        <v>3.6666666666666665</v>
      </c>
      <c r="U59">
        <f t="shared" si="17"/>
        <v>3.6666666666666665</v>
      </c>
      <c r="V59">
        <f t="shared" si="18"/>
        <v>3.6666666666666665</v>
      </c>
    </row>
    <row r="60" spans="2:22" ht="18.75" x14ac:dyDescent="0.35">
      <c r="B60" t="str">
        <f t="shared" si="15"/>
        <v>D-glucopyranose_6-phosphate</v>
      </c>
      <c r="C60">
        <v>0</v>
      </c>
      <c r="D60">
        <v>0</v>
      </c>
      <c r="E60">
        <v>0</v>
      </c>
      <c r="I60" t="s">
        <v>157</v>
      </c>
      <c r="J60" t="s">
        <v>540</v>
      </c>
      <c r="K60">
        <v>-2</v>
      </c>
      <c r="L60">
        <v>6</v>
      </c>
      <c r="M60">
        <v>11</v>
      </c>
      <c r="O60">
        <v>9</v>
      </c>
      <c r="P60">
        <v>1</v>
      </c>
      <c r="R60" s="8">
        <f>(4*L60)+(M60)+(-3*N60)+(-2*O60)+(5*P60)+(-2*Q60)+(-1*K60)</f>
        <v>24</v>
      </c>
      <c r="T60">
        <f t="shared" si="16"/>
        <v>4</v>
      </c>
      <c r="U60">
        <f t="shared" si="17"/>
        <v>4</v>
      </c>
      <c r="V60">
        <f t="shared" si="18"/>
        <v>4</v>
      </c>
    </row>
    <row r="61" spans="2:22" ht="19.5" x14ac:dyDescent="0.35">
      <c r="B61" t="str">
        <f t="shared" si="15"/>
        <v>D-glyceraldehyde_3-phosphate</v>
      </c>
      <c r="C61">
        <v>0</v>
      </c>
      <c r="D61">
        <v>0</v>
      </c>
      <c r="E61">
        <v>0</v>
      </c>
      <c r="I61" t="s">
        <v>594</v>
      </c>
      <c r="J61" s="4" t="s">
        <v>595</v>
      </c>
      <c r="K61">
        <v>-2</v>
      </c>
      <c r="L61">
        <v>3</v>
      </c>
      <c r="M61">
        <v>5</v>
      </c>
      <c r="O61">
        <v>6</v>
      </c>
      <c r="P61">
        <v>1</v>
      </c>
      <c r="R61" s="8">
        <f>(4*L61)+(M61)+(-3*N61)+(-2*O61)+(5*P61)+(-2*Q61)+(-1*K61)</f>
        <v>12</v>
      </c>
      <c r="T61">
        <f t="shared" si="16"/>
        <v>4</v>
      </c>
      <c r="U61">
        <f t="shared" si="17"/>
        <v>4</v>
      </c>
      <c r="V61">
        <f t="shared" si="18"/>
        <v>4</v>
      </c>
    </row>
    <row r="62" spans="2:22" ht="18.75" x14ac:dyDescent="0.35">
      <c r="B62" t="str">
        <f t="shared" si="15"/>
        <v>D-glycerate</v>
      </c>
      <c r="C62">
        <v>0</v>
      </c>
      <c r="D62">
        <v>0</v>
      </c>
      <c r="E62">
        <v>0</v>
      </c>
      <c r="I62" t="s">
        <v>599</v>
      </c>
      <c r="J62" t="s">
        <v>600</v>
      </c>
      <c r="K62">
        <v>-1</v>
      </c>
      <c r="L62">
        <v>3</v>
      </c>
      <c r="M62">
        <v>5</v>
      </c>
      <c r="O62">
        <v>4</v>
      </c>
      <c r="R62" s="8">
        <v>10</v>
      </c>
      <c r="T62">
        <f t="shared" si="16"/>
        <v>3.3333333333333335</v>
      </c>
      <c r="U62">
        <f t="shared" si="17"/>
        <v>3.3333333333333335</v>
      </c>
      <c r="V62">
        <f t="shared" si="18"/>
        <v>3.3333333333333335</v>
      </c>
    </row>
    <row r="63" spans="2:22" ht="19.5" x14ac:dyDescent="0.35">
      <c r="B63" t="str">
        <f t="shared" si="15"/>
        <v>diphosphate</v>
      </c>
      <c r="C63">
        <v>0</v>
      </c>
      <c r="D63">
        <v>0</v>
      </c>
      <c r="E63">
        <v>0</v>
      </c>
      <c r="I63" t="s">
        <v>271</v>
      </c>
      <c r="J63" s="4" t="s">
        <v>604</v>
      </c>
      <c r="K63">
        <v>-3</v>
      </c>
      <c r="M63">
        <v>1</v>
      </c>
      <c r="O63">
        <v>7</v>
      </c>
      <c r="P63">
        <v>2</v>
      </c>
      <c r="R63" s="8">
        <f t="shared" ref="R63:R71" si="19">(4*L63)+(M63)+(-3*N63)+(-2*O63)+(5*P63)+(-2*Q63)+(-1*K63)</f>
        <v>0</v>
      </c>
      <c r="T63" t="e">
        <f t="shared" si="16"/>
        <v>#DIV/0!</v>
      </c>
      <c r="U63" t="e">
        <f t="shared" si="17"/>
        <v>#DIV/0!</v>
      </c>
      <c r="V63" t="e">
        <f t="shared" si="18"/>
        <v>#DIV/0!</v>
      </c>
    </row>
    <row r="64" spans="2:22" ht="18" x14ac:dyDescent="0.35">
      <c r="B64" t="str">
        <f t="shared" si="15"/>
        <v>D-ribose_5-phosphate</v>
      </c>
      <c r="C64">
        <v>0</v>
      </c>
      <c r="D64">
        <v>0</v>
      </c>
      <c r="E64">
        <v>0</v>
      </c>
      <c r="I64" t="s">
        <v>158</v>
      </c>
      <c r="J64" t="s">
        <v>608</v>
      </c>
      <c r="K64">
        <v>-2</v>
      </c>
      <c r="L64">
        <v>5</v>
      </c>
      <c r="M64">
        <v>9</v>
      </c>
      <c r="O64">
        <v>8</v>
      </c>
      <c r="P64">
        <v>1</v>
      </c>
      <c r="R64" s="8">
        <f t="shared" si="19"/>
        <v>20</v>
      </c>
      <c r="T64">
        <f t="shared" si="16"/>
        <v>4</v>
      </c>
      <c r="U64">
        <f t="shared" si="17"/>
        <v>4</v>
      </c>
      <c r="V64">
        <f t="shared" si="18"/>
        <v>4</v>
      </c>
    </row>
    <row r="65" spans="2:22" ht="18" x14ac:dyDescent="0.35">
      <c r="B65" t="str">
        <f t="shared" si="15"/>
        <v>D-ribulose_5-phosphate</v>
      </c>
      <c r="C65">
        <v>0</v>
      </c>
      <c r="D65">
        <v>0</v>
      </c>
      <c r="E65">
        <v>0</v>
      </c>
      <c r="I65" t="s">
        <v>612</v>
      </c>
      <c r="J65" t="s">
        <v>608</v>
      </c>
      <c r="K65">
        <v>-2</v>
      </c>
      <c r="L65">
        <v>5</v>
      </c>
      <c r="M65">
        <v>9</v>
      </c>
      <c r="O65">
        <v>8</v>
      </c>
      <c r="P65">
        <v>1</v>
      </c>
      <c r="R65" s="8">
        <f t="shared" si="19"/>
        <v>20</v>
      </c>
      <c r="T65">
        <f t="shared" si="16"/>
        <v>4</v>
      </c>
      <c r="U65">
        <f t="shared" si="17"/>
        <v>4</v>
      </c>
      <c r="V65">
        <f t="shared" si="18"/>
        <v>4</v>
      </c>
    </row>
    <row r="66" spans="2:22" ht="18.75" x14ac:dyDescent="0.35">
      <c r="B66" t="str">
        <f t="shared" si="15"/>
        <v>D-sedoheptulose_7-phosphate</v>
      </c>
      <c r="C66">
        <v>0</v>
      </c>
      <c r="D66">
        <v>0</v>
      </c>
      <c r="E66">
        <v>0</v>
      </c>
      <c r="I66" t="s">
        <v>616</v>
      </c>
      <c r="J66" t="s">
        <v>617</v>
      </c>
      <c r="K66">
        <v>-2</v>
      </c>
      <c r="L66">
        <v>7</v>
      </c>
      <c r="M66">
        <v>13</v>
      </c>
      <c r="O66">
        <v>10</v>
      </c>
      <c r="P66">
        <v>1</v>
      </c>
      <c r="R66" s="8">
        <f t="shared" si="19"/>
        <v>28</v>
      </c>
      <c r="T66">
        <f t="shared" si="16"/>
        <v>4</v>
      </c>
      <c r="U66">
        <f t="shared" si="17"/>
        <v>4</v>
      </c>
      <c r="V66">
        <f t="shared" si="18"/>
        <v>4</v>
      </c>
    </row>
    <row r="67" spans="2:22" ht="18" x14ac:dyDescent="0.35">
      <c r="B67" t="str">
        <f t="shared" si="15"/>
        <v>D-threo-isocitrate</v>
      </c>
      <c r="C67">
        <v>0</v>
      </c>
      <c r="D67">
        <v>0</v>
      </c>
      <c r="E67">
        <v>0</v>
      </c>
      <c r="I67" t="s">
        <v>621</v>
      </c>
      <c r="J67" t="s">
        <v>622</v>
      </c>
      <c r="K67">
        <v>-3</v>
      </c>
      <c r="L67">
        <v>6</v>
      </c>
      <c r="M67">
        <v>5</v>
      </c>
      <c r="O67">
        <v>7</v>
      </c>
      <c r="R67" s="8">
        <f t="shared" si="19"/>
        <v>18</v>
      </c>
      <c r="T67">
        <f t="shared" si="16"/>
        <v>3</v>
      </c>
      <c r="U67">
        <f t="shared" si="17"/>
        <v>3</v>
      </c>
      <c r="V67">
        <f t="shared" si="18"/>
        <v>3</v>
      </c>
    </row>
    <row r="68" spans="2:22" x14ac:dyDescent="0.25">
      <c r="B68" t="str">
        <f t="shared" si="15"/>
        <v>D-xylulose_5-phosphate</v>
      </c>
      <c r="C68">
        <v>0</v>
      </c>
      <c r="D68">
        <v>0</v>
      </c>
      <c r="E68">
        <v>0</v>
      </c>
      <c r="I68" t="s">
        <v>626</v>
      </c>
      <c r="J68" t="s">
        <v>929</v>
      </c>
      <c r="K68">
        <v>-2</v>
      </c>
      <c r="L68">
        <v>5</v>
      </c>
      <c r="M68">
        <v>9</v>
      </c>
      <c r="O68">
        <v>8</v>
      </c>
      <c r="P68">
        <v>1</v>
      </c>
      <c r="R68" s="8">
        <f t="shared" si="19"/>
        <v>20</v>
      </c>
      <c r="T68">
        <f t="shared" si="16"/>
        <v>4</v>
      </c>
      <c r="U68">
        <f t="shared" si="17"/>
        <v>4</v>
      </c>
      <c r="V68">
        <f t="shared" si="18"/>
        <v>4</v>
      </c>
    </row>
    <row r="69" spans="2:22" ht="18" x14ac:dyDescent="0.35">
      <c r="B69" t="str">
        <f t="shared" si="15"/>
        <v>ethanol</v>
      </c>
      <c r="C69">
        <v>0</v>
      </c>
      <c r="D69">
        <v>0</v>
      </c>
      <c r="E69">
        <v>0</v>
      </c>
      <c r="I69" t="s">
        <v>277</v>
      </c>
      <c r="J69" t="s">
        <v>630</v>
      </c>
      <c r="K69">
        <v>0</v>
      </c>
      <c r="L69">
        <v>2</v>
      </c>
      <c r="M69">
        <v>6</v>
      </c>
      <c r="O69">
        <v>1</v>
      </c>
      <c r="R69" s="8">
        <f t="shared" si="19"/>
        <v>12</v>
      </c>
      <c r="T69">
        <f t="shared" si="16"/>
        <v>6</v>
      </c>
      <c r="U69">
        <f t="shared" si="17"/>
        <v>6</v>
      </c>
      <c r="V69">
        <f t="shared" si="18"/>
        <v>6</v>
      </c>
    </row>
    <row r="70" spans="2:22" ht="18" x14ac:dyDescent="0.35">
      <c r="B70" t="str">
        <f t="shared" si="15"/>
        <v>ethanol_ext</v>
      </c>
      <c r="C70">
        <v>0</v>
      </c>
      <c r="D70">
        <v>0</v>
      </c>
      <c r="E70">
        <v>1</v>
      </c>
      <c r="I70" t="s">
        <v>278</v>
      </c>
      <c r="J70" t="s">
        <v>630</v>
      </c>
      <c r="K70">
        <v>0</v>
      </c>
      <c r="L70">
        <v>2</v>
      </c>
      <c r="M70">
        <v>6</v>
      </c>
      <c r="O70">
        <v>1</v>
      </c>
      <c r="R70" s="8">
        <f t="shared" si="19"/>
        <v>12</v>
      </c>
      <c r="T70">
        <f t="shared" si="16"/>
        <v>6</v>
      </c>
      <c r="U70">
        <f t="shared" si="17"/>
        <v>6</v>
      </c>
      <c r="V70">
        <f t="shared" si="18"/>
        <v>6</v>
      </c>
    </row>
    <row r="71" spans="2:22" x14ac:dyDescent="0.25">
      <c r="B71" t="str">
        <f t="shared" si="15"/>
        <v>ferredoxin_oxidized</v>
      </c>
      <c r="C71">
        <v>0</v>
      </c>
      <c r="D71">
        <v>0</v>
      </c>
      <c r="E71">
        <v>0</v>
      </c>
      <c r="I71" t="s">
        <v>279</v>
      </c>
      <c r="K71">
        <v>0</v>
      </c>
      <c r="R71" s="8">
        <f t="shared" si="19"/>
        <v>0</v>
      </c>
      <c r="T71" t="e">
        <f t="shared" si="16"/>
        <v>#DIV/0!</v>
      </c>
      <c r="U71" t="e">
        <f t="shared" si="17"/>
        <v>#DIV/0!</v>
      </c>
      <c r="V71" t="e">
        <f t="shared" si="18"/>
        <v>#DIV/0!</v>
      </c>
    </row>
    <row r="72" spans="2:22" x14ac:dyDescent="0.25">
      <c r="B72" t="str">
        <f t="shared" si="15"/>
        <v>ferredoxin_reduced</v>
      </c>
      <c r="C72">
        <v>0</v>
      </c>
      <c r="D72">
        <v>0</v>
      </c>
      <c r="E72">
        <v>0</v>
      </c>
      <c r="I72" t="s">
        <v>280</v>
      </c>
      <c r="K72">
        <v>-1</v>
      </c>
      <c r="Q72" s="36"/>
      <c r="R72" s="8">
        <v>1</v>
      </c>
      <c r="T72" t="e">
        <f t="shared" si="16"/>
        <v>#DIV/0!</v>
      </c>
      <c r="U72" t="e">
        <f t="shared" si="17"/>
        <v>#DIV/0!</v>
      </c>
      <c r="V72" t="e">
        <f t="shared" si="18"/>
        <v>#DIV/0!</v>
      </c>
    </row>
    <row r="73" spans="2:22" ht="18.75" x14ac:dyDescent="0.35">
      <c r="B73" t="str">
        <f t="shared" si="15"/>
        <v>formaldehyde</v>
      </c>
      <c r="C73">
        <v>0</v>
      </c>
      <c r="D73">
        <v>0</v>
      </c>
      <c r="E73">
        <v>0</v>
      </c>
      <c r="I73" t="s">
        <v>281</v>
      </c>
      <c r="J73" t="s">
        <v>643</v>
      </c>
      <c r="K73">
        <v>0</v>
      </c>
      <c r="L73">
        <v>1</v>
      </c>
      <c r="M73">
        <v>2</v>
      </c>
      <c r="O73">
        <v>1</v>
      </c>
      <c r="R73" s="8">
        <f t="shared" ref="R73:R84" si="20">(4*L73)+(M73)+(-3*N73)+(-2*O73)+(5*P73)+(-2*Q73)+(-1*K73)</f>
        <v>4</v>
      </c>
      <c r="T73">
        <f t="shared" si="16"/>
        <v>4</v>
      </c>
      <c r="U73">
        <f t="shared" si="17"/>
        <v>4</v>
      </c>
      <c r="V73">
        <f t="shared" si="18"/>
        <v>4</v>
      </c>
    </row>
    <row r="74" spans="2:22" ht="18.75" x14ac:dyDescent="0.35">
      <c r="B74" t="str">
        <f t="shared" si="15"/>
        <v>formaldehyde_ext</v>
      </c>
      <c r="C74">
        <v>0</v>
      </c>
      <c r="D74">
        <v>0</v>
      </c>
      <c r="E74">
        <v>1</v>
      </c>
      <c r="I74" t="s">
        <v>282</v>
      </c>
      <c r="J74" t="s">
        <v>643</v>
      </c>
      <c r="K74">
        <v>0</v>
      </c>
      <c r="L74">
        <v>1</v>
      </c>
      <c r="M74">
        <v>2</v>
      </c>
      <c r="O74">
        <v>1</v>
      </c>
      <c r="R74" s="8">
        <f t="shared" si="20"/>
        <v>4</v>
      </c>
      <c r="T74">
        <f t="shared" si="16"/>
        <v>4</v>
      </c>
      <c r="U74">
        <f t="shared" si="17"/>
        <v>4</v>
      </c>
      <c r="V74">
        <f t="shared" si="18"/>
        <v>4</v>
      </c>
    </row>
    <row r="75" spans="2:22" x14ac:dyDescent="0.25">
      <c r="B75" t="str">
        <f t="shared" si="15"/>
        <v>formate</v>
      </c>
      <c r="C75">
        <v>0</v>
      </c>
      <c r="D75">
        <v>0</v>
      </c>
      <c r="E75">
        <v>0</v>
      </c>
      <c r="I75" t="s">
        <v>283</v>
      </c>
      <c r="J75" t="s">
        <v>650</v>
      </c>
      <c r="K75">
        <v>-1</v>
      </c>
      <c r="L75">
        <v>1</v>
      </c>
      <c r="M75">
        <v>1</v>
      </c>
      <c r="O75">
        <v>2</v>
      </c>
      <c r="R75" s="8">
        <f t="shared" si="20"/>
        <v>2</v>
      </c>
      <c r="T75">
        <f t="shared" si="16"/>
        <v>2</v>
      </c>
      <c r="U75">
        <f t="shared" si="17"/>
        <v>2</v>
      </c>
      <c r="V75">
        <f t="shared" si="18"/>
        <v>2</v>
      </c>
    </row>
    <row r="76" spans="2:22" x14ac:dyDescent="0.25">
      <c r="B76" t="str">
        <f t="shared" si="15"/>
        <v>formate_ext</v>
      </c>
      <c r="C76">
        <v>0</v>
      </c>
      <c r="D76">
        <v>0</v>
      </c>
      <c r="E76">
        <v>1</v>
      </c>
      <c r="I76" t="s">
        <v>284</v>
      </c>
      <c r="J76" t="s">
        <v>650</v>
      </c>
      <c r="K76">
        <v>-1</v>
      </c>
      <c r="L76">
        <v>1</v>
      </c>
      <c r="M76">
        <v>1</v>
      </c>
      <c r="O76">
        <v>2</v>
      </c>
      <c r="R76" s="8">
        <f t="shared" si="20"/>
        <v>2</v>
      </c>
      <c r="T76">
        <f t="shared" si="16"/>
        <v>2</v>
      </c>
      <c r="U76">
        <f t="shared" si="17"/>
        <v>2</v>
      </c>
      <c r="V76">
        <f t="shared" si="18"/>
        <v>2</v>
      </c>
    </row>
    <row r="77" spans="2:22" ht="18.75" x14ac:dyDescent="0.35">
      <c r="B77" t="str">
        <f t="shared" si="15"/>
        <v>fumarate</v>
      </c>
      <c r="C77">
        <v>0</v>
      </c>
      <c r="D77">
        <v>0</v>
      </c>
      <c r="E77">
        <v>0</v>
      </c>
      <c r="I77" t="s">
        <v>285</v>
      </c>
      <c r="J77" t="s">
        <v>657</v>
      </c>
      <c r="K77">
        <v>-2</v>
      </c>
      <c r="L77">
        <v>4</v>
      </c>
      <c r="M77">
        <v>2</v>
      </c>
      <c r="O77">
        <v>4</v>
      </c>
      <c r="R77" s="8">
        <f t="shared" si="20"/>
        <v>12</v>
      </c>
      <c r="T77">
        <f t="shared" si="16"/>
        <v>3</v>
      </c>
      <c r="U77">
        <f t="shared" si="17"/>
        <v>3</v>
      </c>
      <c r="V77">
        <f t="shared" si="18"/>
        <v>3</v>
      </c>
    </row>
    <row r="78" spans="2:22" ht="18" x14ac:dyDescent="0.35">
      <c r="B78" t="str">
        <f t="shared" si="15"/>
        <v>g-L-glutamyl_5-phosphate</v>
      </c>
      <c r="C78">
        <v>0</v>
      </c>
      <c r="D78">
        <v>0</v>
      </c>
      <c r="E78">
        <v>0</v>
      </c>
      <c r="I78" t="s">
        <v>661</v>
      </c>
      <c r="J78" s="46" t="s">
        <v>662</v>
      </c>
      <c r="K78">
        <v>-2</v>
      </c>
      <c r="L78">
        <v>5</v>
      </c>
      <c r="M78">
        <v>8</v>
      </c>
      <c r="N78">
        <v>1</v>
      </c>
      <c r="O78">
        <v>7</v>
      </c>
      <c r="P78">
        <v>1</v>
      </c>
      <c r="R78" s="8">
        <f t="shared" si="20"/>
        <v>18</v>
      </c>
      <c r="T78">
        <f t="shared" si="16"/>
        <v>5.2</v>
      </c>
      <c r="U78">
        <f t="shared" si="17"/>
        <v>3.6</v>
      </c>
      <c r="V78">
        <f t="shared" si="18"/>
        <v>4.2</v>
      </c>
    </row>
    <row r="79" spans="2:22" ht="19.5" x14ac:dyDescent="0.35">
      <c r="B79" t="str">
        <f t="shared" si="15"/>
        <v>glycerone_phosphate</v>
      </c>
      <c r="C79">
        <v>0</v>
      </c>
      <c r="D79">
        <v>0</v>
      </c>
      <c r="E79">
        <v>0</v>
      </c>
      <c r="I79" t="s">
        <v>287</v>
      </c>
      <c r="J79" s="4" t="s">
        <v>595</v>
      </c>
      <c r="K79">
        <v>-2</v>
      </c>
      <c r="L79">
        <v>3</v>
      </c>
      <c r="M79">
        <v>5</v>
      </c>
      <c r="O79">
        <v>6</v>
      </c>
      <c r="P79">
        <v>1</v>
      </c>
      <c r="R79" s="8">
        <f t="shared" si="20"/>
        <v>12</v>
      </c>
      <c r="T79">
        <f t="shared" si="16"/>
        <v>4</v>
      </c>
      <c r="U79">
        <f t="shared" si="17"/>
        <v>4</v>
      </c>
      <c r="V79">
        <f t="shared" si="18"/>
        <v>4</v>
      </c>
    </row>
    <row r="80" spans="2:22" ht="18.75" x14ac:dyDescent="0.35">
      <c r="B80" t="str">
        <f t="shared" si="15"/>
        <v>glycine</v>
      </c>
      <c r="C80">
        <v>0</v>
      </c>
      <c r="D80">
        <v>0</v>
      </c>
      <c r="E80">
        <v>0</v>
      </c>
      <c r="I80" t="s">
        <v>33</v>
      </c>
      <c r="J80" t="s">
        <v>669</v>
      </c>
      <c r="K80">
        <v>0</v>
      </c>
      <c r="L80">
        <v>2</v>
      </c>
      <c r="M80">
        <v>5</v>
      </c>
      <c r="N80">
        <v>1</v>
      </c>
      <c r="O80">
        <v>2</v>
      </c>
      <c r="R80" s="8">
        <f t="shared" si="20"/>
        <v>6</v>
      </c>
      <c r="T80">
        <f t="shared" si="16"/>
        <v>7</v>
      </c>
      <c r="U80">
        <f t="shared" si="17"/>
        <v>3</v>
      </c>
      <c r="V80">
        <f t="shared" si="18"/>
        <v>4.5</v>
      </c>
    </row>
    <row r="81" spans="2:22" x14ac:dyDescent="0.25">
      <c r="B81" t="str">
        <f t="shared" si="15"/>
        <v>glycogen_consumed</v>
      </c>
      <c r="C81">
        <v>0</v>
      </c>
      <c r="D81">
        <v>0</v>
      </c>
      <c r="E81">
        <v>0</v>
      </c>
      <c r="I81" t="s">
        <v>288</v>
      </c>
      <c r="J81" t="s">
        <v>181</v>
      </c>
      <c r="K81">
        <v>0</v>
      </c>
      <c r="L81">
        <v>6</v>
      </c>
      <c r="M81">
        <v>8</v>
      </c>
      <c r="O81">
        <v>4</v>
      </c>
      <c r="R81" s="8">
        <f t="shared" si="20"/>
        <v>24</v>
      </c>
      <c r="T81">
        <f t="shared" si="16"/>
        <v>4</v>
      </c>
      <c r="U81">
        <f t="shared" si="17"/>
        <v>4</v>
      </c>
      <c r="V81">
        <f t="shared" si="18"/>
        <v>4</v>
      </c>
    </row>
    <row r="82" spans="2:22" x14ac:dyDescent="0.25">
      <c r="B82" t="str">
        <f t="shared" si="15"/>
        <v>glycogen_consumed_ext</v>
      </c>
      <c r="C82">
        <v>0</v>
      </c>
      <c r="D82">
        <v>0</v>
      </c>
      <c r="E82">
        <v>1</v>
      </c>
      <c r="I82" t="s">
        <v>289</v>
      </c>
      <c r="J82" t="s">
        <v>181</v>
      </c>
      <c r="K82">
        <v>0</v>
      </c>
      <c r="L82">
        <v>6</v>
      </c>
      <c r="M82">
        <v>8</v>
      </c>
      <c r="O82">
        <v>4</v>
      </c>
      <c r="R82" s="8">
        <f t="shared" si="20"/>
        <v>24</v>
      </c>
      <c r="T82">
        <f t="shared" si="16"/>
        <v>4</v>
      </c>
      <c r="U82">
        <f t="shared" si="17"/>
        <v>4</v>
      </c>
      <c r="V82">
        <f t="shared" si="18"/>
        <v>4</v>
      </c>
    </row>
    <row r="83" spans="2:22" x14ac:dyDescent="0.25">
      <c r="B83" t="str">
        <f t="shared" si="15"/>
        <v>glycogen_produced</v>
      </c>
      <c r="C83">
        <v>0</v>
      </c>
      <c r="D83">
        <v>0</v>
      </c>
      <c r="E83">
        <v>0</v>
      </c>
      <c r="I83" t="s">
        <v>175</v>
      </c>
      <c r="J83" t="s">
        <v>181</v>
      </c>
      <c r="K83">
        <v>0</v>
      </c>
      <c r="L83">
        <v>6</v>
      </c>
      <c r="M83">
        <v>8</v>
      </c>
      <c r="O83">
        <v>4</v>
      </c>
      <c r="R83" s="8">
        <f t="shared" si="20"/>
        <v>24</v>
      </c>
      <c r="T83">
        <f t="shared" si="16"/>
        <v>4</v>
      </c>
      <c r="U83">
        <f t="shared" si="17"/>
        <v>4</v>
      </c>
      <c r="V83">
        <f t="shared" si="18"/>
        <v>4</v>
      </c>
    </row>
    <row r="84" spans="2:22" x14ac:dyDescent="0.25">
      <c r="B84" t="str">
        <f t="shared" si="15"/>
        <v>glycogen_produced_ext</v>
      </c>
      <c r="C84">
        <v>0</v>
      </c>
      <c r="D84">
        <v>0</v>
      </c>
      <c r="E84">
        <v>1</v>
      </c>
      <c r="I84" t="s">
        <v>290</v>
      </c>
      <c r="J84" t="s">
        <v>181</v>
      </c>
      <c r="K84">
        <v>0</v>
      </c>
      <c r="L84">
        <v>6</v>
      </c>
      <c r="M84">
        <v>8</v>
      </c>
      <c r="O84">
        <v>4</v>
      </c>
      <c r="R84" s="8">
        <f t="shared" si="20"/>
        <v>24</v>
      </c>
      <c r="T84">
        <f t="shared" si="16"/>
        <v>4</v>
      </c>
      <c r="U84">
        <f t="shared" si="17"/>
        <v>4</v>
      </c>
      <c r="V84">
        <f t="shared" si="18"/>
        <v>4</v>
      </c>
    </row>
    <row r="85" spans="2:22" ht="18.75" x14ac:dyDescent="0.35">
      <c r="B85" t="str">
        <f t="shared" si="15"/>
        <v>glyoxylate</v>
      </c>
      <c r="C85">
        <v>0</v>
      </c>
      <c r="D85">
        <v>0</v>
      </c>
      <c r="E85">
        <v>0</v>
      </c>
      <c r="I85" t="s">
        <v>291</v>
      </c>
      <c r="J85" t="s">
        <v>686</v>
      </c>
      <c r="K85">
        <v>-1</v>
      </c>
      <c r="L85">
        <v>2</v>
      </c>
      <c r="M85">
        <v>1</v>
      </c>
      <c r="O85">
        <v>3</v>
      </c>
      <c r="R85" s="8">
        <v>4</v>
      </c>
      <c r="T85">
        <f>((4*(L85))+(M85)+(5*N85)+(-2*O85)+(5*P85)+(6*Q85)+(-K85))/L85</f>
        <v>2</v>
      </c>
      <c r="U85">
        <f>((4*(L85))+(M85)+(-3*N85)+(-2*O85)+(5*P85)+(6*Q85)+(-K85))/L85</f>
        <v>2</v>
      </c>
      <c r="V85">
        <f>((4*(L85))+(M85)+(0*N85)+(-2*O85)+(5*P85)+(6*Q85)+(-K85))/L85</f>
        <v>2</v>
      </c>
    </row>
    <row r="86" spans="2:22" x14ac:dyDescent="0.25">
      <c r="B86" t="str">
        <f t="shared" si="15"/>
        <v>GWP100</v>
      </c>
      <c r="C86">
        <v>0</v>
      </c>
      <c r="D86">
        <v>0</v>
      </c>
      <c r="E86">
        <v>1</v>
      </c>
      <c r="I86" t="s">
        <v>292</v>
      </c>
      <c r="T86" t="e">
        <f t="shared" ref="T86:T145" si="21">((4*(L86))+(M86)+(5*N86)+(-2*O86)+(5*P86)+(6*Q86)+(-K86))/L86</f>
        <v>#DIV/0!</v>
      </c>
      <c r="U86" t="e">
        <f t="shared" ref="U86:U145" si="22">((4*(L86))+(M86)+(-3*N86)+(-2*O86)+(5*P86)+(6*Q86)+(-K86))/L86</f>
        <v>#DIV/0!</v>
      </c>
      <c r="V86" t="e">
        <f t="shared" ref="V86:V145" si="23">((4*(L86))+(M86)+(0*N86)+(-2*O86)+(5*P86)+(6*Q86)+(-K86))/L86</f>
        <v>#DIV/0!</v>
      </c>
    </row>
    <row r="87" spans="2:22" x14ac:dyDescent="0.25">
      <c r="B87" t="str">
        <f t="shared" si="15"/>
        <v>GWP20</v>
      </c>
      <c r="C87">
        <v>0</v>
      </c>
      <c r="D87">
        <v>0</v>
      </c>
      <c r="E87">
        <v>1</v>
      </c>
      <c r="I87" t="s">
        <v>293</v>
      </c>
      <c r="T87" t="e">
        <f t="shared" si="21"/>
        <v>#DIV/0!</v>
      </c>
      <c r="U87" t="e">
        <f t="shared" si="22"/>
        <v>#DIV/0!</v>
      </c>
      <c r="V87" t="e">
        <f t="shared" si="23"/>
        <v>#DIV/0!</v>
      </c>
    </row>
    <row r="88" spans="2:22" x14ac:dyDescent="0.25">
      <c r="B88" t="str">
        <f t="shared" si="15"/>
        <v>H_pmf</v>
      </c>
      <c r="C88">
        <v>0</v>
      </c>
      <c r="D88">
        <v>0</v>
      </c>
      <c r="E88">
        <v>0</v>
      </c>
      <c r="I88" t="s">
        <v>294</v>
      </c>
      <c r="J88" t="s">
        <v>101</v>
      </c>
      <c r="K88">
        <v>1</v>
      </c>
      <c r="M88">
        <v>1</v>
      </c>
      <c r="R88" s="8">
        <f t="shared" ref="R88:R97" si="24">(4*L88)+(M88)+(-3*N88)+(-2*O88)+(5*P88)+(-2*Q88)+(-1*K88)</f>
        <v>0</v>
      </c>
      <c r="T88" t="e">
        <f t="shared" si="21"/>
        <v>#DIV/0!</v>
      </c>
      <c r="U88" t="e">
        <f t="shared" si="22"/>
        <v>#DIV/0!</v>
      </c>
      <c r="V88" t="e">
        <f t="shared" si="23"/>
        <v>#DIV/0!</v>
      </c>
    </row>
    <row r="89" spans="2:22" x14ac:dyDescent="0.25">
      <c r="B89" t="str">
        <f t="shared" si="15"/>
        <v>H+</v>
      </c>
      <c r="C89">
        <v>0</v>
      </c>
      <c r="D89">
        <v>0</v>
      </c>
      <c r="E89">
        <v>0</v>
      </c>
      <c r="I89" t="s">
        <v>132</v>
      </c>
      <c r="J89" t="s">
        <v>101</v>
      </c>
      <c r="K89">
        <v>1</v>
      </c>
      <c r="M89">
        <v>1</v>
      </c>
      <c r="R89" s="8">
        <f t="shared" si="24"/>
        <v>0</v>
      </c>
      <c r="T89" t="e">
        <f t="shared" si="21"/>
        <v>#DIV/0!</v>
      </c>
      <c r="U89" t="e">
        <f t="shared" si="22"/>
        <v>#DIV/0!</v>
      </c>
      <c r="V89" t="e">
        <f t="shared" si="23"/>
        <v>#DIV/0!</v>
      </c>
    </row>
    <row r="90" spans="2:22" x14ac:dyDescent="0.25">
      <c r="B90" t="str">
        <f t="shared" si="15"/>
        <v>H+_ext</v>
      </c>
      <c r="C90">
        <v>0</v>
      </c>
      <c r="D90">
        <v>0</v>
      </c>
      <c r="E90">
        <v>1</v>
      </c>
      <c r="I90" t="s">
        <v>702</v>
      </c>
      <c r="J90" t="s">
        <v>101</v>
      </c>
      <c r="K90">
        <v>1</v>
      </c>
      <c r="M90">
        <v>1</v>
      </c>
      <c r="R90" s="8">
        <f t="shared" si="24"/>
        <v>0</v>
      </c>
      <c r="T90" t="e">
        <f t="shared" si="21"/>
        <v>#DIV/0!</v>
      </c>
      <c r="U90" t="e">
        <f t="shared" si="22"/>
        <v>#DIV/0!</v>
      </c>
      <c r="V90" t="e">
        <f t="shared" si="23"/>
        <v>#DIV/0!</v>
      </c>
    </row>
    <row r="91" spans="2:22" x14ac:dyDescent="0.25">
      <c r="B91" t="str">
        <f t="shared" si="15"/>
        <v>H2</v>
      </c>
      <c r="C91">
        <v>0</v>
      </c>
      <c r="D91">
        <v>0</v>
      </c>
      <c r="E91">
        <v>0</v>
      </c>
      <c r="I91" t="s">
        <v>297</v>
      </c>
      <c r="J91" t="s">
        <v>297</v>
      </c>
      <c r="K91">
        <v>0</v>
      </c>
      <c r="M91">
        <v>2</v>
      </c>
      <c r="R91" s="8">
        <f t="shared" si="24"/>
        <v>2</v>
      </c>
      <c r="T91" t="e">
        <f t="shared" si="21"/>
        <v>#DIV/0!</v>
      </c>
      <c r="U91" t="e">
        <f t="shared" si="22"/>
        <v>#DIV/0!</v>
      </c>
      <c r="V91" t="e">
        <f t="shared" si="23"/>
        <v>#DIV/0!</v>
      </c>
    </row>
    <row r="92" spans="2:22" x14ac:dyDescent="0.25">
      <c r="B92" t="str">
        <f t="shared" si="15"/>
        <v>H2_ext</v>
      </c>
      <c r="C92">
        <v>0</v>
      </c>
      <c r="D92">
        <v>0</v>
      </c>
      <c r="E92">
        <v>1</v>
      </c>
      <c r="I92" t="s">
        <v>298</v>
      </c>
      <c r="J92" t="s">
        <v>297</v>
      </c>
      <c r="K92">
        <v>0</v>
      </c>
      <c r="M92">
        <v>2</v>
      </c>
      <c r="R92" s="8">
        <f t="shared" si="24"/>
        <v>2</v>
      </c>
      <c r="T92" t="e">
        <f t="shared" si="21"/>
        <v>#DIV/0!</v>
      </c>
      <c r="U92" t="e">
        <f t="shared" si="22"/>
        <v>#DIV/0!</v>
      </c>
      <c r="V92" t="e">
        <f t="shared" si="23"/>
        <v>#DIV/0!</v>
      </c>
    </row>
    <row r="93" spans="2:22" x14ac:dyDescent="0.25">
      <c r="B93" t="str">
        <f t="shared" si="15"/>
        <v>H2O</v>
      </c>
      <c r="C93">
        <v>0</v>
      </c>
      <c r="D93">
        <v>0</v>
      </c>
      <c r="E93">
        <v>0</v>
      </c>
      <c r="I93" t="s">
        <v>141</v>
      </c>
      <c r="J93" t="s">
        <v>141</v>
      </c>
      <c r="K93">
        <v>0</v>
      </c>
      <c r="M93">
        <v>2</v>
      </c>
      <c r="O93">
        <v>1</v>
      </c>
      <c r="R93" s="8">
        <f t="shared" si="24"/>
        <v>0</v>
      </c>
      <c r="T93" t="e">
        <f t="shared" si="21"/>
        <v>#DIV/0!</v>
      </c>
      <c r="U93" t="e">
        <f t="shared" si="22"/>
        <v>#DIV/0!</v>
      </c>
      <c r="V93" t="e">
        <f t="shared" si="23"/>
        <v>#DIV/0!</v>
      </c>
    </row>
    <row r="94" spans="2:22" x14ac:dyDescent="0.25">
      <c r="B94" t="str">
        <f t="shared" si="15"/>
        <v>H2O_ext</v>
      </c>
      <c r="C94">
        <v>0</v>
      </c>
      <c r="D94">
        <v>0</v>
      </c>
      <c r="E94">
        <v>1</v>
      </c>
      <c r="I94" t="s">
        <v>299</v>
      </c>
      <c r="J94" t="s">
        <v>141</v>
      </c>
      <c r="K94">
        <v>0</v>
      </c>
      <c r="M94">
        <v>2</v>
      </c>
      <c r="O94">
        <v>1</v>
      </c>
      <c r="R94" s="8">
        <f t="shared" si="24"/>
        <v>0</v>
      </c>
      <c r="T94" t="e">
        <f t="shared" si="21"/>
        <v>#DIV/0!</v>
      </c>
      <c r="U94" t="e">
        <f t="shared" si="22"/>
        <v>#DIV/0!</v>
      </c>
      <c r="V94" t="e">
        <f t="shared" si="23"/>
        <v>#DIV/0!</v>
      </c>
    </row>
    <row r="95" spans="2:22" ht="18" x14ac:dyDescent="0.35">
      <c r="B95" t="str">
        <f t="shared" si="15"/>
        <v>hexulose_6-phosphate</v>
      </c>
      <c r="C95">
        <v>0</v>
      </c>
      <c r="D95">
        <v>0</v>
      </c>
      <c r="E95">
        <v>0</v>
      </c>
      <c r="I95" t="s">
        <v>719</v>
      </c>
      <c r="J95" t="s">
        <v>499</v>
      </c>
      <c r="K95">
        <v>-2</v>
      </c>
      <c r="L95">
        <v>6</v>
      </c>
      <c r="M95">
        <v>11</v>
      </c>
      <c r="O95">
        <v>9</v>
      </c>
      <c r="P95">
        <v>1</v>
      </c>
      <c r="R95" s="8">
        <f t="shared" si="24"/>
        <v>24</v>
      </c>
      <c r="T95">
        <f t="shared" si="21"/>
        <v>4</v>
      </c>
      <c r="U95">
        <f t="shared" si="22"/>
        <v>4</v>
      </c>
      <c r="V95">
        <f t="shared" si="23"/>
        <v>4</v>
      </c>
    </row>
    <row r="96" spans="2:22" ht="18" x14ac:dyDescent="0.35">
      <c r="B96" t="str">
        <f t="shared" si="15"/>
        <v>hydrogen_peroxide</v>
      </c>
      <c r="C96">
        <v>0</v>
      </c>
      <c r="D96">
        <v>0</v>
      </c>
      <c r="E96">
        <v>0</v>
      </c>
      <c r="I96" t="s">
        <v>301</v>
      </c>
      <c r="J96" t="s">
        <v>723</v>
      </c>
      <c r="K96">
        <v>0</v>
      </c>
      <c r="M96">
        <v>2</v>
      </c>
      <c r="O96">
        <v>2</v>
      </c>
      <c r="R96" s="8">
        <f t="shared" si="24"/>
        <v>-2</v>
      </c>
      <c r="T96" t="e">
        <f t="shared" si="21"/>
        <v>#DIV/0!</v>
      </c>
      <c r="U96" t="e">
        <f t="shared" si="22"/>
        <v>#DIV/0!</v>
      </c>
      <c r="V96" t="e">
        <f t="shared" si="23"/>
        <v>#DIV/0!</v>
      </c>
    </row>
    <row r="97" spans="2:22" ht="18" x14ac:dyDescent="0.35">
      <c r="B97" t="str">
        <f t="shared" si="15"/>
        <v>hydrogen_peroxide_ext</v>
      </c>
      <c r="C97">
        <v>0</v>
      </c>
      <c r="D97">
        <v>0</v>
      </c>
      <c r="E97">
        <v>1</v>
      </c>
      <c r="I97" t="s">
        <v>302</v>
      </c>
      <c r="J97" t="s">
        <v>723</v>
      </c>
      <c r="K97">
        <v>0</v>
      </c>
      <c r="M97">
        <v>2</v>
      </c>
      <c r="O97">
        <v>2</v>
      </c>
      <c r="R97" s="8">
        <f t="shared" si="24"/>
        <v>-2</v>
      </c>
      <c r="T97" t="e">
        <f t="shared" si="21"/>
        <v>#DIV/0!</v>
      </c>
      <c r="U97" t="e">
        <f t="shared" si="22"/>
        <v>#DIV/0!</v>
      </c>
      <c r="V97" t="e">
        <f t="shared" si="23"/>
        <v>#DIV/0!</v>
      </c>
    </row>
    <row r="98" spans="2:22" ht="18.75" x14ac:dyDescent="0.35">
      <c r="B98" t="str">
        <f t="shared" si="15"/>
        <v>hydrogencarbonate</v>
      </c>
      <c r="C98">
        <v>0</v>
      </c>
      <c r="D98">
        <v>0</v>
      </c>
      <c r="E98">
        <v>0</v>
      </c>
      <c r="I98" t="s">
        <v>303</v>
      </c>
      <c r="J98" t="s">
        <v>730</v>
      </c>
      <c r="K98">
        <v>-1</v>
      </c>
      <c r="L98">
        <v>1</v>
      </c>
      <c r="M98">
        <v>1</v>
      </c>
      <c r="O98">
        <v>3</v>
      </c>
      <c r="R98" s="8">
        <v>0</v>
      </c>
      <c r="T98">
        <f t="shared" si="21"/>
        <v>0</v>
      </c>
      <c r="U98">
        <f t="shared" si="22"/>
        <v>0</v>
      </c>
      <c r="V98">
        <f t="shared" si="23"/>
        <v>0</v>
      </c>
    </row>
    <row r="99" spans="2:22" ht="18" x14ac:dyDescent="0.35">
      <c r="B99" t="str">
        <f t="shared" si="15"/>
        <v>hydroxylamine</v>
      </c>
      <c r="C99">
        <v>0</v>
      </c>
      <c r="D99">
        <v>0</v>
      </c>
      <c r="E99">
        <v>0</v>
      </c>
      <c r="I99" t="s">
        <v>304</v>
      </c>
      <c r="J99" t="s">
        <v>734</v>
      </c>
      <c r="K99">
        <v>0</v>
      </c>
      <c r="L99">
        <v>0</v>
      </c>
      <c r="M99">
        <v>3</v>
      </c>
      <c r="N99">
        <v>1</v>
      </c>
      <c r="O99">
        <v>1</v>
      </c>
      <c r="R99" s="8">
        <f>(4*L99)+(M99)+(-3*N99)+(-2*O99)+(5*P99)+(-2*Q99)+(-1*K99)</f>
        <v>-2</v>
      </c>
      <c r="T99" t="e">
        <f t="shared" si="21"/>
        <v>#DIV/0!</v>
      </c>
      <c r="U99" t="e">
        <f t="shared" si="22"/>
        <v>#DIV/0!</v>
      </c>
      <c r="V99" t="e">
        <f t="shared" si="23"/>
        <v>#DIV/0!</v>
      </c>
    </row>
    <row r="100" spans="2:22" ht="18.75" x14ac:dyDescent="0.35">
      <c r="B100" t="str">
        <f t="shared" si="15"/>
        <v>hydroxypyruvate</v>
      </c>
      <c r="C100">
        <v>0</v>
      </c>
      <c r="D100">
        <v>0</v>
      </c>
      <c r="E100">
        <v>0</v>
      </c>
      <c r="I100" t="s">
        <v>305</v>
      </c>
      <c r="J100" t="s">
        <v>738</v>
      </c>
      <c r="K100">
        <v>-1</v>
      </c>
      <c r="L100">
        <v>3</v>
      </c>
      <c r="M100">
        <v>3</v>
      </c>
      <c r="O100">
        <v>4</v>
      </c>
      <c r="R100" s="8">
        <v>8</v>
      </c>
      <c r="T100">
        <f t="shared" si="21"/>
        <v>2.6666666666666665</v>
      </c>
      <c r="U100">
        <f t="shared" si="22"/>
        <v>2.6666666666666665</v>
      </c>
      <c r="V100">
        <f t="shared" si="23"/>
        <v>2.6666666666666665</v>
      </c>
    </row>
    <row r="101" spans="2:22" ht="18" x14ac:dyDescent="0.35">
      <c r="B101" t="str">
        <f t="shared" si="15"/>
        <v>L-glutamate</v>
      </c>
      <c r="C101">
        <v>0</v>
      </c>
      <c r="D101">
        <v>0</v>
      </c>
      <c r="E101">
        <v>0</v>
      </c>
      <c r="I101" t="s">
        <v>742</v>
      </c>
      <c r="J101" t="s">
        <v>743</v>
      </c>
      <c r="K101">
        <v>-1</v>
      </c>
      <c r="L101">
        <v>5</v>
      </c>
      <c r="M101">
        <v>8</v>
      </c>
      <c r="N101">
        <v>1</v>
      </c>
      <c r="O101">
        <v>4</v>
      </c>
      <c r="R101" s="8">
        <f>(4*L101)+(M101)+(-3*N101)+(-2*O101)+(5*P101)+(-2*Q101)+(-1*K101)</f>
        <v>18</v>
      </c>
      <c r="T101">
        <f t="shared" si="21"/>
        <v>5.2</v>
      </c>
      <c r="U101">
        <f t="shared" si="22"/>
        <v>3.6</v>
      </c>
      <c r="V101">
        <f t="shared" si="23"/>
        <v>4.2</v>
      </c>
    </row>
    <row r="102" spans="2:22" ht="18" x14ac:dyDescent="0.35">
      <c r="B102" t="str">
        <f t="shared" si="15"/>
        <v>L-glutamate-5-semialdehyde</v>
      </c>
      <c r="C102">
        <v>0</v>
      </c>
      <c r="D102">
        <v>0</v>
      </c>
      <c r="E102">
        <v>0</v>
      </c>
      <c r="I102" t="s">
        <v>747</v>
      </c>
      <c r="J102" s="46" t="s">
        <v>748</v>
      </c>
      <c r="K102">
        <v>0</v>
      </c>
      <c r="L102">
        <v>5</v>
      </c>
      <c r="M102">
        <v>9</v>
      </c>
      <c r="N102">
        <v>1</v>
      </c>
      <c r="O102">
        <v>3</v>
      </c>
      <c r="R102" s="8">
        <f>(4*L102)+(M102)+(-3*N102)+(-2*O102)+(5*P102)+(-2*Q102)+(-1*K102)</f>
        <v>20</v>
      </c>
      <c r="T102">
        <f t="shared" si="21"/>
        <v>5.6</v>
      </c>
      <c r="U102">
        <f t="shared" si="22"/>
        <v>4</v>
      </c>
      <c r="V102">
        <f t="shared" si="23"/>
        <v>4.5999999999999996</v>
      </c>
    </row>
    <row r="103" spans="2:22" ht="18" x14ac:dyDescent="0.35">
      <c r="B103" t="str">
        <f t="shared" si="15"/>
        <v>L-glutamine</v>
      </c>
      <c r="C103">
        <v>0</v>
      </c>
      <c r="D103">
        <v>0</v>
      </c>
      <c r="E103">
        <v>0</v>
      </c>
      <c r="I103" t="s">
        <v>752</v>
      </c>
      <c r="J103" t="s">
        <v>753</v>
      </c>
      <c r="K103">
        <v>0</v>
      </c>
      <c r="L103">
        <v>5</v>
      </c>
      <c r="M103">
        <v>10</v>
      </c>
      <c r="N103">
        <v>2</v>
      </c>
      <c r="O103">
        <v>3</v>
      </c>
      <c r="R103" s="8">
        <f>(4*L103)+(M103)+(-3*N103)+(-2*O103)+(5*P103)+(-2*Q103)+(-1*K103)</f>
        <v>18</v>
      </c>
      <c r="T103">
        <f t="shared" si="21"/>
        <v>6.8</v>
      </c>
      <c r="U103">
        <f t="shared" si="22"/>
        <v>3.6</v>
      </c>
      <c r="V103">
        <f t="shared" si="23"/>
        <v>4.8</v>
      </c>
    </row>
    <row r="104" spans="2:22" ht="18" x14ac:dyDescent="0.35">
      <c r="B104" t="str">
        <f t="shared" si="15"/>
        <v>L-ornithine</v>
      </c>
      <c r="C104">
        <v>0</v>
      </c>
      <c r="D104">
        <v>0</v>
      </c>
      <c r="E104">
        <v>0</v>
      </c>
      <c r="I104" t="s">
        <v>85</v>
      </c>
      <c r="J104" s="46" t="s">
        <v>757</v>
      </c>
      <c r="K104">
        <v>1</v>
      </c>
      <c r="L104">
        <v>5</v>
      </c>
      <c r="M104">
        <v>13</v>
      </c>
      <c r="N104">
        <v>2</v>
      </c>
      <c r="O104">
        <v>2</v>
      </c>
      <c r="R104" s="8">
        <f>(4*L104)+(M104)+(-3*N104)+(-2*O104)+(5*P104)+(-2*Q104)+(-1*K104)</f>
        <v>22</v>
      </c>
      <c r="T104">
        <f t="shared" si="21"/>
        <v>7.6</v>
      </c>
      <c r="U104">
        <f t="shared" si="22"/>
        <v>4.4000000000000004</v>
      </c>
      <c r="V104">
        <f t="shared" si="23"/>
        <v>5.6</v>
      </c>
    </row>
    <row r="105" spans="2:22" ht="18.75" x14ac:dyDescent="0.35">
      <c r="B105" t="str">
        <f t="shared" si="15"/>
        <v>L-serine</v>
      </c>
      <c r="C105">
        <v>0</v>
      </c>
      <c r="D105">
        <v>0</v>
      </c>
      <c r="E105">
        <v>0</v>
      </c>
      <c r="I105" t="s">
        <v>761</v>
      </c>
      <c r="J105" t="s">
        <v>762</v>
      </c>
      <c r="K105">
        <v>0</v>
      </c>
      <c r="L105">
        <v>3</v>
      </c>
      <c r="M105">
        <v>7</v>
      </c>
      <c r="N105">
        <v>1</v>
      </c>
      <c r="O105">
        <v>3</v>
      </c>
      <c r="R105" s="8">
        <v>10</v>
      </c>
      <c r="T105">
        <f t="shared" si="21"/>
        <v>6</v>
      </c>
      <c r="U105">
        <f t="shared" si="22"/>
        <v>3.3333333333333335</v>
      </c>
      <c r="V105">
        <f t="shared" si="23"/>
        <v>4.333333333333333</v>
      </c>
    </row>
    <row r="106" spans="2:22" x14ac:dyDescent="0.25">
      <c r="B106" t="str">
        <f t="shared" si="15"/>
        <v xml:space="preserve">methane </v>
      </c>
      <c r="C106">
        <v>0</v>
      </c>
      <c r="D106">
        <v>0</v>
      </c>
      <c r="E106">
        <v>0</v>
      </c>
      <c r="I106" t="s">
        <v>766</v>
      </c>
      <c r="J106" t="s">
        <v>930</v>
      </c>
      <c r="K106">
        <v>0</v>
      </c>
      <c r="L106">
        <v>1</v>
      </c>
      <c r="M106">
        <v>4</v>
      </c>
      <c r="R106" s="8">
        <f>(4*L106)+(M106)+(-3*N106)+(-2*O106)+(5*P106)+(-2*Q106)+(-1*K106)</f>
        <v>8</v>
      </c>
      <c r="T106">
        <f t="shared" si="21"/>
        <v>8</v>
      </c>
      <c r="U106">
        <f t="shared" si="22"/>
        <v>8</v>
      </c>
      <c r="V106">
        <f t="shared" si="23"/>
        <v>8</v>
      </c>
    </row>
    <row r="107" spans="2:22" x14ac:dyDescent="0.25">
      <c r="B107" t="str">
        <f t="shared" si="15"/>
        <v>methane_ext</v>
      </c>
      <c r="C107">
        <v>0</v>
      </c>
      <c r="D107">
        <v>0</v>
      </c>
      <c r="E107">
        <v>1</v>
      </c>
      <c r="I107" t="s">
        <v>312</v>
      </c>
      <c r="J107" t="s">
        <v>930</v>
      </c>
      <c r="K107">
        <v>0</v>
      </c>
      <c r="L107">
        <v>1</v>
      </c>
      <c r="M107">
        <v>4</v>
      </c>
      <c r="R107" s="8">
        <f>(4*L107)+(M107)+(-3*N107)+(-2*O107)+(5*P107)+(-2*Q107)+(-1*K107)</f>
        <v>8</v>
      </c>
      <c r="T107">
        <f t="shared" si="21"/>
        <v>8</v>
      </c>
      <c r="U107">
        <f t="shared" si="22"/>
        <v>8</v>
      </c>
      <c r="V107">
        <f t="shared" si="23"/>
        <v>8</v>
      </c>
    </row>
    <row r="108" spans="2:22" x14ac:dyDescent="0.25">
      <c r="B108" t="str">
        <f t="shared" si="15"/>
        <v>methanol</v>
      </c>
      <c r="C108">
        <v>0</v>
      </c>
      <c r="D108">
        <v>0</v>
      </c>
      <c r="E108">
        <v>0</v>
      </c>
      <c r="I108" t="s">
        <v>313</v>
      </c>
      <c r="J108" t="s">
        <v>931</v>
      </c>
      <c r="K108">
        <v>0</v>
      </c>
      <c r="L108">
        <v>1</v>
      </c>
      <c r="M108">
        <v>4</v>
      </c>
      <c r="O108">
        <v>1</v>
      </c>
      <c r="R108" s="8">
        <f>(4*L108)+(M108)+(-3*N108)+(-2*O108)+(5*P108)+(-2*Q108)+(-1*K108)</f>
        <v>6</v>
      </c>
      <c r="T108">
        <f t="shared" si="21"/>
        <v>6</v>
      </c>
      <c r="U108">
        <f t="shared" si="22"/>
        <v>6</v>
      </c>
      <c r="V108">
        <f t="shared" si="23"/>
        <v>6</v>
      </c>
    </row>
    <row r="109" spans="2:22" x14ac:dyDescent="0.25">
      <c r="B109" t="str">
        <f t="shared" si="15"/>
        <v>methanol_ext</v>
      </c>
      <c r="C109">
        <v>0</v>
      </c>
      <c r="D109">
        <v>0</v>
      </c>
      <c r="E109">
        <v>1</v>
      </c>
      <c r="I109" t="s">
        <v>314</v>
      </c>
      <c r="J109" t="s">
        <v>931</v>
      </c>
      <c r="K109">
        <v>0</v>
      </c>
      <c r="L109">
        <v>1</v>
      </c>
      <c r="M109">
        <v>4</v>
      </c>
      <c r="O109">
        <v>1</v>
      </c>
      <c r="R109" s="8">
        <f>(4*L109)+(M109)+(-3*N109)+(-2*O109)+(5*P109)+(-2*Q109)+(-1*K109)</f>
        <v>6</v>
      </c>
      <c r="T109">
        <f t="shared" si="21"/>
        <v>6</v>
      </c>
      <c r="U109">
        <f t="shared" si="22"/>
        <v>6</v>
      </c>
      <c r="V109">
        <f t="shared" si="23"/>
        <v>6</v>
      </c>
    </row>
    <row r="110" spans="2:22" x14ac:dyDescent="0.25">
      <c r="B110" t="str">
        <f t="shared" si="15"/>
        <v>N_GLN</v>
      </c>
      <c r="C110">
        <v>0</v>
      </c>
      <c r="D110">
        <v>0</v>
      </c>
      <c r="E110">
        <v>0</v>
      </c>
      <c r="I110" t="s">
        <v>96</v>
      </c>
      <c r="J110" t="s">
        <v>114</v>
      </c>
      <c r="K110">
        <f>1</f>
        <v>1</v>
      </c>
      <c r="M110">
        <v>4</v>
      </c>
      <c r="N110">
        <v>1</v>
      </c>
      <c r="T110" t="e">
        <f t="shared" si="21"/>
        <v>#DIV/0!</v>
      </c>
      <c r="U110" t="e">
        <f t="shared" si="22"/>
        <v>#DIV/0!</v>
      </c>
      <c r="V110" t="e">
        <f t="shared" si="23"/>
        <v>#DIV/0!</v>
      </c>
    </row>
    <row r="111" spans="2:22" x14ac:dyDescent="0.25">
      <c r="B111" t="str">
        <f t="shared" si="15"/>
        <v>N_GLU</v>
      </c>
      <c r="C111">
        <v>0</v>
      </c>
      <c r="D111">
        <v>0</v>
      </c>
      <c r="E111">
        <v>0</v>
      </c>
      <c r="I111" t="s">
        <v>97</v>
      </c>
      <c r="J111" t="s">
        <v>114</v>
      </c>
      <c r="K111">
        <f>1</f>
        <v>1</v>
      </c>
      <c r="M111">
        <v>4</v>
      </c>
      <c r="N111">
        <v>1</v>
      </c>
      <c r="T111" t="e">
        <f t="shared" si="21"/>
        <v>#DIV/0!</v>
      </c>
      <c r="U111" t="e">
        <f t="shared" si="22"/>
        <v>#DIV/0!</v>
      </c>
      <c r="V111" t="e">
        <f t="shared" si="23"/>
        <v>#DIV/0!</v>
      </c>
    </row>
    <row r="112" spans="2:22" x14ac:dyDescent="0.25">
      <c r="B112" t="str">
        <f t="shared" ref="B112:B145" si="25">I112</f>
        <v>N2</v>
      </c>
      <c r="C112">
        <v>0</v>
      </c>
      <c r="D112">
        <v>0</v>
      </c>
      <c r="E112">
        <v>0</v>
      </c>
      <c r="I112" t="s">
        <v>315</v>
      </c>
      <c r="J112" t="s">
        <v>315</v>
      </c>
      <c r="K112">
        <v>0</v>
      </c>
      <c r="N112">
        <v>2</v>
      </c>
      <c r="R112" s="8">
        <f t="shared" ref="R112:R119" si="26">(4*L112)+(M112)+(-3*N112)+(-2*O112)+(5*P112)+(-2*Q112)+(-1*K112)</f>
        <v>-6</v>
      </c>
      <c r="T112" t="e">
        <f t="shared" si="21"/>
        <v>#DIV/0!</v>
      </c>
      <c r="U112" t="e">
        <f t="shared" si="22"/>
        <v>#DIV/0!</v>
      </c>
      <c r="V112" t="e">
        <f t="shared" si="23"/>
        <v>#DIV/0!</v>
      </c>
    </row>
    <row r="113" spans="2:22" x14ac:dyDescent="0.25">
      <c r="B113" t="str">
        <f t="shared" si="25"/>
        <v>N2_ext</v>
      </c>
      <c r="C113">
        <v>0</v>
      </c>
      <c r="D113">
        <v>0</v>
      </c>
      <c r="E113">
        <v>1</v>
      </c>
      <c r="I113" t="s">
        <v>316</v>
      </c>
      <c r="J113" t="s">
        <v>315</v>
      </c>
      <c r="K113">
        <v>0</v>
      </c>
      <c r="N113">
        <v>2</v>
      </c>
      <c r="R113" s="8">
        <f t="shared" si="26"/>
        <v>-6</v>
      </c>
      <c r="T113" t="e">
        <f t="shared" si="21"/>
        <v>#DIV/0!</v>
      </c>
      <c r="U113" t="e">
        <f t="shared" si="22"/>
        <v>#DIV/0!</v>
      </c>
      <c r="V113" t="e">
        <f t="shared" si="23"/>
        <v>#DIV/0!</v>
      </c>
    </row>
    <row r="114" spans="2:22" ht="19.5" x14ac:dyDescent="0.35">
      <c r="B114" t="str">
        <f t="shared" si="25"/>
        <v>NAD+</v>
      </c>
      <c r="C114">
        <v>0</v>
      </c>
      <c r="D114">
        <v>0</v>
      </c>
      <c r="E114">
        <v>0</v>
      </c>
      <c r="I114" t="s">
        <v>133</v>
      </c>
      <c r="J114" s="4" t="s">
        <v>140</v>
      </c>
      <c r="K114">
        <v>-1</v>
      </c>
      <c r="L114">
        <v>21</v>
      </c>
      <c r="M114">
        <v>26</v>
      </c>
      <c r="N114">
        <v>7</v>
      </c>
      <c r="O114">
        <v>14</v>
      </c>
      <c r="P114">
        <v>2</v>
      </c>
      <c r="R114" s="8">
        <f t="shared" si="26"/>
        <v>72</v>
      </c>
      <c r="T114">
        <f t="shared" si="21"/>
        <v>6.0952380952380949</v>
      </c>
      <c r="U114">
        <f t="shared" si="22"/>
        <v>3.4285714285714284</v>
      </c>
      <c r="V114">
        <f t="shared" si="23"/>
        <v>4.4285714285714288</v>
      </c>
    </row>
    <row r="115" spans="2:22" ht="15.75" x14ac:dyDescent="0.25">
      <c r="B115" t="str">
        <f t="shared" si="25"/>
        <v>NADH</v>
      </c>
      <c r="C115">
        <v>0</v>
      </c>
      <c r="D115">
        <v>0</v>
      </c>
      <c r="E115">
        <v>0</v>
      </c>
      <c r="I115" t="s">
        <v>166</v>
      </c>
      <c r="J115" s="31" t="s">
        <v>799</v>
      </c>
      <c r="K115">
        <v>-2</v>
      </c>
      <c r="L115">
        <v>21</v>
      </c>
      <c r="M115">
        <v>27</v>
      </c>
      <c r="N115">
        <v>7</v>
      </c>
      <c r="O115">
        <v>14</v>
      </c>
      <c r="P115">
        <v>2</v>
      </c>
      <c r="R115" s="8">
        <f t="shared" si="26"/>
        <v>74</v>
      </c>
      <c r="T115">
        <f t="shared" si="21"/>
        <v>6.1904761904761907</v>
      </c>
      <c r="U115">
        <f t="shared" si="22"/>
        <v>3.5238095238095237</v>
      </c>
      <c r="V115">
        <f t="shared" si="23"/>
        <v>4.5238095238095237</v>
      </c>
    </row>
    <row r="116" spans="2:22" ht="18.75" x14ac:dyDescent="0.35">
      <c r="B116" t="str">
        <f t="shared" si="25"/>
        <v>NADP+</v>
      </c>
      <c r="C116">
        <v>0</v>
      </c>
      <c r="D116">
        <v>0</v>
      </c>
      <c r="E116">
        <v>0</v>
      </c>
      <c r="I116" t="s">
        <v>134</v>
      </c>
      <c r="J116" t="s">
        <v>138</v>
      </c>
      <c r="K116">
        <v>-3</v>
      </c>
      <c r="L116">
        <v>21</v>
      </c>
      <c r="M116">
        <v>25</v>
      </c>
      <c r="N116">
        <v>7</v>
      </c>
      <c r="O116">
        <v>17</v>
      </c>
      <c r="P116">
        <v>3</v>
      </c>
      <c r="R116" s="8">
        <f t="shared" si="26"/>
        <v>72</v>
      </c>
      <c r="T116">
        <f t="shared" si="21"/>
        <v>6.0952380952380949</v>
      </c>
      <c r="U116">
        <f t="shared" si="22"/>
        <v>3.4285714285714284</v>
      </c>
      <c r="V116">
        <f t="shared" si="23"/>
        <v>4.4285714285714288</v>
      </c>
    </row>
    <row r="117" spans="2:22" ht="18.75" x14ac:dyDescent="0.35">
      <c r="B117" t="str">
        <f t="shared" si="25"/>
        <v>NADPH</v>
      </c>
      <c r="C117">
        <v>0</v>
      </c>
      <c r="D117">
        <v>0</v>
      </c>
      <c r="E117">
        <v>0</v>
      </c>
      <c r="I117" t="s">
        <v>165</v>
      </c>
      <c r="J117" t="s">
        <v>806</v>
      </c>
      <c r="K117">
        <v>-4</v>
      </c>
      <c r="L117">
        <v>21</v>
      </c>
      <c r="M117">
        <v>26</v>
      </c>
      <c r="N117">
        <v>7</v>
      </c>
      <c r="O117">
        <v>17</v>
      </c>
      <c r="P117">
        <v>3</v>
      </c>
      <c r="R117" s="8">
        <f t="shared" si="26"/>
        <v>74</v>
      </c>
      <c r="T117">
        <f t="shared" si="21"/>
        <v>6.1904761904761907</v>
      </c>
      <c r="U117">
        <f t="shared" si="22"/>
        <v>3.5238095238095237</v>
      </c>
      <c r="V117">
        <f t="shared" si="23"/>
        <v>4.5238095238095237</v>
      </c>
    </row>
    <row r="118" spans="2:22" ht="18" x14ac:dyDescent="0.35">
      <c r="B118" t="str">
        <f t="shared" si="25"/>
        <v>nitrate</v>
      </c>
      <c r="C118">
        <v>0</v>
      </c>
      <c r="D118">
        <v>0</v>
      </c>
      <c r="E118">
        <v>0</v>
      </c>
      <c r="I118" t="s">
        <v>319</v>
      </c>
      <c r="J118" t="s">
        <v>810</v>
      </c>
      <c r="K118">
        <v>-1</v>
      </c>
      <c r="N118">
        <v>1</v>
      </c>
      <c r="O118">
        <v>3</v>
      </c>
      <c r="R118" s="8">
        <f t="shared" si="26"/>
        <v>-8</v>
      </c>
      <c r="T118" t="e">
        <f t="shared" si="21"/>
        <v>#DIV/0!</v>
      </c>
      <c r="U118" t="e">
        <f t="shared" si="22"/>
        <v>#DIV/0!</v>
      </c>
      <c r="V118" t="e">
        <f t="shared" si="23"/>
        <v>#DIV/0!</v>
      </c>
    </row>
    <row r="119" spans="2:22" ht="18" x14ac:dyDescent="0.35">
      <c r="B119" t="str">
        <f t="shared" si="25"/>
        <v>nitrate_ext</v>
      </c>
      <c r="C119">
        <v>0</v>
      </c>
      <c r="D119">
        <v>0</v>
      </c>
      <c r="E119">
        <v>1</v>
      </c>
      <c r="I119" t="s">
        <v>320</v>
      </c>
      <c r="J119" t="s">
        <v>810</v>
      </c>
      <c r="K119">
        <v>-1</v>
      </c>
      <c r="N119">
        <v>1</v>
      </c>
      <c r="O119">
        <v>3</v>
      </c>
      <c r="R119" s="8">
        <f t="shared" si="26"/>
        <v>-8</v>
      </c>
      <c r="T119" t="e">
        <f t="shared" si="21"/>
        <v>#DIV/0!</v>
      </c>
      <c r="U119" t="e">
        <f t="shared" si="22"/>
        <v>#DIV/0!</v>
      </c>
      <c r="V119" t="e">
        <f t="shared" si="23"/>
        <v>#DIV/0!</v>
      </c>
    </row>
    <row r="120" spans="2:22" x14ac:dyDescent="0.25">
      <c r="B120" t="str">
        <f t="shared" si="25"/>
        <v>nitric_oxide</v>
      </c>
      <c r="C120">
        <v>0</v>
      </c>
      <c r="D120">
        <v>0</v>
      </c>
      <c r="E120">
        <v>0</v>
      </c>
      <c r="I120" t="s">
        <v>321</v>
      </c>
      <c r="J120" t="s">
        <v>817</v>
      </c>
      <c r="K120">
        <v>0</v>
      </c>
      <c r="L120">
        <v>0</v>
      </c>
      <c r="M120">
        <v>0</v>
      </c>
      <c r="N120">
        <v>1</v>
      </c>
      <c r="O120">
        <v>1</v>
      </c>
      <c r="R120" s="8">
        <v>-5</v>
      </c>
      <c r="T120" t="e">
        <f t="shared" si="21"/>
        <v>#DIV/0!</v>
      </c>
      <c r="U120" t="e">
        <f t="shared" si="22"/>
        <v>#DIV/0!</v>
      </c>
      <c r="V120" t="e">
        <f t="shared" si="23"/>
        <v>#DIV/0!</v>
      </c>
    </row>
    <row r="121" spans="2:22" ht="18" x14ac:dyDescent="0.35">
      <c r="B121" t="str">
        <f t="shared" si="25"/>
        <v xml:space="preserve">nitrite </v>
      </c>
      <c r="C121">
        <v>0</v>
      </c>
      <c r="D121">
        <v>0</v>
      </c>
      <c r="E121">
        <v>0</v>
      </c>
      <c r="I121" t="s">
        <v>821</v>
      </c>
      <c r="J121" t="s">
        <v>822</v>
      </c>
      <c r="K121">
        <v>-1</v>
      </c>
      <c r="N121">
        <v>1</v>
      </c>
      <c r="O121">
        <v>2</v>
      </c>
      <c r="R121" s="8">
        <f>(4*L121)+(M121)+(-3*N121)+(-2*O121)+(5*P121)+(-2*Q121)+(-1*K121)</f>
        <v>-6</v>
      </c>
      <c r="T121" t="e">
        <f t="shared" si="21"/>
        <v>#DIV/0!</v>
      </c>
      <c r="U121" t="e">
        <f t="shared" si="22"/>
        <v>#DIV/0!</v>
      </c>
      <c r="V121" t="e">
        <f t="shared" si="23"/>
        <v>#DIV/0!</v>
      </c>
    </row>
    <row r="122" spans="2:22" x14ac:dyDescent="0.25">
      <c r="B122" t="str">
        <f t="shared" si="25"/>
        <v>nitrous_oxide</v>
      </c>
      <c r="C122">
        <v>0</v>
      </c>
      <c r="D122">
        <v>0</v>
      </c>
      <c r="E122">
        <v>0</v>
      </c>
      <c r="I122" t="s">
        <v>323</v>
      </c>
      <c r="J122" t="s">
        <v>932</v>
      </c>
      <c r="K122">
        <v>0</v>
      </c>
      <c r="L122">
        <v>0</v>
      </c>
      <c r="M122">
        <v>0</v>
      </c>
      <c r="N122">
        <v>2</v>
      </c>
      <c r="O122">
        <v>1</v>
      </c>
      <c r="R122" s="8">
        <f>(4*L122)+(M122)+(-3*N122)+(-2*O122)+(5*P122)+(-2*Q122)+(-1*K122)</f>
        <v>-8</v>
      </c>
      <c r="T122" t="e">
        <f t="shared" si="21"/>
        <v>#DIV/0!</v>
      </c>
      <c r="U122" t="e">
        <f t="shared" si="22"/>
        <v>#DIV/0!</v>
      </c>
      <c r="V122" t="e">
        <f t="shared" si="23"/>
        <v>#DIV/0!</v>
      </c>
    </row>
    <row r="123" spans="2:22" x14ac:dyDescent="0.25">
      <c r="B123" t="str">
        <f t="shared" si="25"/>
        <v>nitrous_oxide_ext</v>
      </c>
      <c r="C123">
        <v>0</v>
      </c>
      <c r="D123">
        <v>0</v>
      </c>
      <c r="E123">
        <v>1</v>
      </c>
      <c r="I123" t="s">
        <v>324</v>
      </c>
      <c r="J123" t="s">
        <v>932</v>
      </c>
      <c r="K123">
        <v>0</v>
      </c>
      <c r="L123">
        <v>0</v>
      </c>
      <c r="M123">
        <v>0</v>
      </c>
      <c r="N123">
        <v>2</v>
      </c>
      <c r="O123">
        <v>1</v>
      </c>
      <c r="R123" s="8">
        <f>(4*L123)+(M123)+(-3*N123)+(-2*O123)+(5*P123)+(-2*Q123)+(-1*K123)</f>
        <v>-8</v>
      </c>
      <c r="T123" t="e">
        <f t="shared" si="21"/>
        <v>#DIV/0!</v>
      </c>
      <c r="U123" t="e">
        <f t="shared" si="22"/>
        <v>#DIV/0!</v>
      </c>
      <c r="V123" t="e">
        <f t="shared" si="23"/>
        <v>#DIV/0!</v>
      </c>
    </row>
    <row r="124" spans="2:22" x14ac:dyDescent="0.25">
      <c r="B124" t="str">
        <f t="shared" si="25"/>
        <v xml:space="preserve">O2 </v>
      </c>
      <c r="C124">
        <v>0</v>
      </c>
      <c r="D124">
        <v>0</v>
      </c>
      <c r="E124">
        <v>0</v>
      </c>
      <c r="I124" t="s">
        <v>833</v>
      </c>
      <c r="J124" t="s">
        <v>325</v>
      </c>
      <c r="K124">
        <v>0</v>
      </c>
      <c r="O124">
        <v>2</v>
      </c>
      <c r="R124" s="8">
        <f>(4*L124)+(M124)+(-3*N124)+(-2*O124)+(5*P124)+(-2*Q124)+(-1*K124)</f>
        <v>-4</v>
      </c>
      <c r="T124" t="e">
        <f t="shared" si="21"/>
        <v>#DIV/0!</v>
      </c>
      <c r="U124" t="e">
        <f t="shared" si="22"/>
        <v>#DIV/0!</v>
      </c>
      <c r="V124" t="e">
        <f t="shared" si="23"/>
        <v>#DIV/0!</v>
      </c>
    </row>
    <row r="125" spans="2:22" x14ac:dyDescent="0.25">
      <c r="B125" t="str">
        <f t="shared" si="25"/>
        <v>O2_ext</v>
      </c>
      <c r="C125">
        <v>0</v>
      </c>
      <c r="D125">
        <v>0</v>
      </c>
      <c r="E125">
        <v>1</v>
      </c>
      <c r="I125" t="s">
        <v>326</v>
      </c>
      <c r="J125" t="s">
        <v>325</v>
      </c>
      <c r="K125">
        <v>0</v>
      </c>
      <c r="O125">
        <v>2</v>
      </c>
      <c r="R125" s="8">
        <f>(4*L125)+(M125)+(-3*N125)+(-2*O125)+(5*P125)+(-2*Q125)+(-1*K125)</f>
        <v>-4</v>
      </c>
      <c r="T125" t="e">
        <f t="shared" si="21"/>
        <v>#DIV/0!</v>
      </c>
      <c r="U125" t="e">
        <f t="shared" si="22"/>
        <v>#DIV/0!</v>
      </c>
      <c r="V125" t="e">
        <f t="shared" si="23"/>
        <v>#DIV/0!</v>
      </c>
    </row>
    <row r="126" spans="2:22" ht="18.75" x14ac:dyDescent="0.35">
      <c r="B126" t="str">
        <f t="shared" si="25"/>
        <v>oxaloacetate</v>
      </c>
      <c r="C126">
        <v>0</v>
      </c>
      <c r="D126">
        <v>0</v>
      </c>
      <c r="E126">
        <v>0</v>
      </c>
      <c r="I126" t="s">
        <v>164</v>
      </c>
      <c r="J126" t="s">
        <v>841</v>
      </c>
      <c r="K126">
        <v>-2</v>
      </c>
      <c r="L126">
        <v>4</v>
      </c>
      <c r="M126">
        <v>2</v>
      </c>
      <c r="O126">
        <v>5</v>
      </c>
      <c r="R126" s="8">
        <v>10</v>
      </c>
      <c r="T126">
        <f t="shared" si="21"/>
        <v>2.5</v>
      </c>
      <c r="U126">
        <f t="shared" si="22"/>
        <v>2.5</v>
      </c>
      <c r="V126">
        <f t="shared" si="23"/>
        <v>2.5</v>
      </c>
    </row>
    <row r="127" spans="2:22" ht="15.75" x14ac:dyDescent="0.25">
      <c r="B127" t="str">
        <f t="shared" si="25"/>
        <v>phosphate</v>
      </c>
      <c r="C127">
        <v>0</v>
      </c>
      <c r="D127">
        <v>0</v>
      </c>
      <c r="E127">
        <v>0</v>
      </c>
      <c r="I127" t="s">
        <v>127</v>
      </c>
      <c r="J127" s="31" t="s">
        <v>135</v>
      </c>
      <c r="K127">
        <v>-2</v>
      </c>
      <c r="M127">
        <v>1</v>
      </c>
      <c r="O127">
        <v>4</v>
      </c>
      <c r="P127">
        <v>1</v>
      </c>
      <c r="R127" s="8">
        <f>(4*L127)+(M127)+(-3*N127)+(-2*O127)+(5*P127)+(-2*Q127)+(-1*K127)</f>
        <v>0</v>
      </c>
      <c r="T127" t="e">
        <f t="shared" si="21"/>
        <v>#DIV/0!</v>
      </c>
      <c r="U127" t="e">
        <f t="shared" si="22"/>
        <v>#DIV/0!</v>
      </c>
      <c r="V127" t="e">
        <f t="shared" si="23"/>
        <v>#DIV/0!</v>
      </c>
    </row>
    <row r="128" spans="2:22" ht="15.75" x14ac:dyDescent="0.25">
      <c r="B128" t="str">
        <f t="shared" si="25"/>
        <v>phosphate_ext</v>
      </c>
      <c r="C128">
        <v>0</v>
      </c>
      <c r="D128">
        <v>0</v>
      </c>
      <c r="E128">
        <v>1</v>
      </c>
      <c r="I128" t="s">
        <v>327</v>
      </c>
      <c r="J128" s="31" t="s">
        <v>135</v>
      </c>
      <c r="K128">
        <v>-2</v>
      </c>
      <c r="M128">
        <v>1</v>
      </c>
      <c r="O128">
        <v>4</v>
      </c>
      <c r="P128">
        <v>1</v>
      </c>
      <c r="R128" s="8">
        <f>(4*L128)+(M128)+(-3*N128)+(-2*O128)+(5*P128)+(-2*Q128)+(-1*K128)</f>
        <v>0</v>
      </c>
      <c r="T128" t="e">
        <f t="shared" si="21"/>
        <v>#DIV/0!</v>
      </c>
      <c r="U128" t="e">
        <f t="shared" si="22"/>
        <v>#DIV/0!</v>
      </c>
      <c r="V128" t="e">
        <f t="shared" si="23"/>
        <v>#DIV/0!</v>
      </c>
    </row>
    <row r="129" spans="2:22" ht="19.5" x14ac:dyDescent="0.35">
      <c r="B129" t="str">
        <f t="shared" si="25"/>
        <v>phosphoenolpyruvate</v>
      </c>
      <c r="C129">
        <v>0</v>
      </c>
      <c r="D129">
        <v>0</v>
      </c>
      <c r="E129">
        <v>0</v>
      </c>
      <c r="I129" t="s">
        <v>160</v>
      </c>
      <c r="J129" s="4" t="s">
        <v>851</v>
      </c>
      <c r="K129">
        <v>-3</v>
      </c>
      <c r="L129">
        <v>3</v>
      </c>
      <c r="M129">
        <v>2</v>
      </c>
      <c r="O129">
        <v>6</v>
      </c>
      <c r="P129">
        <v>1</v>
      </c>
      <c r="R129" s="8">
        <v>10</v>
      </c>
      <c r="T129">
        <f t="shared" si="21"/>
        <v>3.3333333333333335</v>
      </c>
      <c r="U129">
        <f t="shared" si="22"/>
        <v>3.3333333333333335</v>
      </c>
      <c r="V129">
        <f t="shared" si="23"/>
        <v>3.3333333333333335</v>
      </c>
    </row>
    <row r="130" spans="2:22" x14ac:dyDescent="0.25">
      <c r="B130" t="str">
        <f t="shared" si="25"/>
        <v>polyhydroxybutyrate_consumed</v>
      </c>
      <c r="C130">
        <v>0</v>
      </c>
      <c r="D130">
        <v>0</v>
      </c>
      <c r="E130">
        <v>0</v>
      </c>
      <c r="I130" t="s">
        <v>328</v>
      </c>
      <c r="J130" s="26" t="s">
        <v>178</v>
      </c>
      <c r="K130" s="26">
        <v>-1</v>
      </c>
      <c r="L130" s="26">
        <v>4</v>
      </c>
      <c r="M130" s="26">
        <v>7</v>
      </c>
      <c r="N130" s="26"/>
      <c r="O130" s="26">
        <v>3</v>
      </c>
      <c r="P130" s="26"/>
      <c r="Q130" s="26"/>
      <c r="R130" s="27">
        <v>18</v>
      </c>
      <c r="T130">
        <f t="shared" si="21"/>
        <v>4.5</v>
      </c>
      <c r="U130">
        <f t="shared" si="22"/>
        <v>4.5</v>
      </c>
      <c r="V130">
        <f t="shared" si="23"/>
        <v>4.5</v>
      </c>
    </row>
    <row r="131" spans="2:22" x14ac:dyDescent="0.25">
      <c r="B131" t="str">
        <f t="shared" si="25"/>
        <v>polyhydroxybutyrate_consumed_ext</v>
      </c>
      <c r="C131">
        <v>0</v>
      </c>
      <c r="D131">
        <v>0</v>
      </c>
      <c r="E131">
        <v>1</v>
      </c>
      <c r="I131" t="s">
        <v>329</v>
      </c>
      <c r="J131" s="26" t="s">
        <v>178</v>
      </c>
      <c r="K131" s="26">
        <v>-1</v>
      </c>
      <c r="L131" s="26">
        <v>4</v>
      </c>
      <c r="M131" s="26">
        <v>7</v>
      </c>
      <c r="N131" s="26"/>
      <c r="O131" s="26">
        <v>3</v>
      </c>
      <c r="P131" s="26"/>
      <c r="Q131" s="26"/>
      <c r="R131" s="27">
        <v>18</v>
      </c>
      <c r="T131">
        <f t="shared" si="21"/>
        <v>4.5</v>
      </c>
      <c r="U131">
        <f t="shared" si="22"/>
        <v>4.5</v>
      </c>
      <c r="V131">
        <f t="shared" si="23"/>
        <v>4.5</v>
      </c>
    </row>
    <row r="132" spans="2:22" x14ac:dyDescent="0.25">
      <c r="B132" t="str">
        <f t="shared" si="25"/>
        <v>polyhydroxybutyrate_produced</v>
      </c>
      <c r="C132">
        <v>0</v>
      </c>
      <c r="D132">
        <v>0</v>
      </c>
      <c r="E132">
        <v>0</v>
      </c>
      <c r="I132" t="s">
        <v>168</v>
      </c>
      <c r="J132" s="26" t="s">
        <v>178</v>
      </c>
      <c r="K132" s="26">
        <v>-1</v>
      </c>
      <c r="L132" s="26">
        <v>4</v>
      </c>
      <c r="M132" s="26">
        <v>7</v>
      </c>
      <c r="N132" s="26"/>
      <c r="O132" s="26">
        <v>3</v>
      </c>
      <c r="P132" s="26"/>
      <c r="Q132" s="26"/>
      <c r="R132" s="27">
        <v>18</v>
      </c>
      <c r="T132">
        <f t="shared" si="21"/>
        <v>4.5</v>
      </c>
      <c r="U132">
        <f t="shared" si="22"/>
        <v>4.5</v>
      </c>
      <c r="V132">
        <f t="shared" si="23"/>
        <v>4.5</v>
      </c>
    </row>
    <row r="133" spans="2:22" x14ac:dyDescent="0.25">
      <c r="B133" t="str">
        <f t="shared" si="25"/>
        <v>polyhydroxybutyrate_produced_ext</v>
      </c>
      <c r="C133">
        <v>0</v>
      </c>
      <c r="D133">
        <v>0</v>
      </c>
      <c r="E133">
        <v>1</v>
      </c>
      <c r="I133" t="s">
        <v>84</v>
      </c>
      <c r="J133" s="26" t="s">
        <v>178</v>
      </c>
      <c r="K133" s="26">
        <v>-1</v>
      </c>
      <c r="L133" s="26">
        <v>4</v>
      </c>
      <c r="M133" s="26">
        <v>7</v>
      </c>
      <c r="N133" s="26"/>
      <c r="O133" s="26">
        <v>3</v>
      </c>
      <c r="P133" s="26"/>
      <c r="Q133" s="26"/>
      <c r="R133" s="27">
        <v>18</v>
      </c>
      <c r="T133">
        <f t="shared" si="21"/>
        <v>4.5</v>
      </c>
      <c r="U133">
        <f t="shared" si="22"/>
        <v>4.5</v>
      </c>
      <c r="V133">
        <f t="shared" si="23"/>
        <v>4.5</v>
      </c>
    </row>
    <row r="134" spans="2:22" ht="18.75" x14ac:dyDescent="0.35">
      <c r="B134" t="str">
        <f t="shared" si="25"/>
        <v>propanoyl-CoA</v>
      </c>
      <c r="C134">
        <v>0</v>
      </c>
      <c r="D134">
        <v>0</v>
      </c>
      <c r="E134">
        <v>0</v>
      </c>
      <c r="I134" t="s">
        <v>861</v>
      </c>
      <c r="J134" t="s">
        <v>862</v>
      </c>
      <c r="K134">
        <v>-4</v>
      </c>
      <c r="L134">
        <v>24</v>
      </c>
      <c r="M134">
        <v>36</v>
      </c>
      <c r="N134">
        <v>7</v>
      </c>
      <c r="O134">
        <v>17</v>
      </c>
      <c r="P134">
        <v>3</v>
      </c>
      <c r="Q134">
        <v>1</v>
      </c>
      <c r="R134" s="8">
        <f t="shared" ref="R134:R143" si="27">(4*L134)+(M134)+(-3*N134)+(-2*O134)+(5*P134)+(-2*Q134)+(-1*K134)</f>
        <v>94</v>
      </c>
      <c r="T134">
        <f t="shared" si="21"/>
        <v>6.583333333333333</v>
      </c>
      <c r="U134">
        <f t="shared" si="22"/>
        <v>4.25</v>
      </c>
      <c r="V134">
        <f t="shared" si="23"/>
        <v>5.125</v>
      </c>
    </row>
    <row r="135" spans="2:22" ht="18" x14ac:dyDescent="0.35">
      <c r="B135" t="str">
        <f t="shared" si="25"/>
        <v>putrescine</v>
      </c>
      <c r="C135">
        <v>0</v>
      </c>
      <c r="D135">
        <v>0</v>
      </c>
      <c r="E135">
        <v>0</v>
      </c>
      <c r="I135" t="s">
        <v>331</v>
      </c>
      <c r="J135" s="46" t="s">
        <v>863</v>
      </c>
      <c r="K135">
        <v>2</v>
      </c>
      <c r="L135">
        <v>4</v>
      </c>
      <c r="M135">
        <v>14</v>
      </c>
      <c r="N135">
        <v>2</v>
      </c>
      <c r="R135" s="8">
        <f t="shared" si="27"/>
        <v>22</v>
      </c>
      <c r="T135">
        <f t="shared" si="21"/>
        <v>9.5</v>
      </c>
      <c r="U135">
        <f t="shared" si="22"/>
        <v>5.5</v>
      </c>
      <c r="V135">
        <f t="shared" si="23"/>
        <v>7</v>
      </c>
    </row>
    <row r="136" spans="2:22" ht="18" x14ac:dyDescent="0.35">
      <c r="B136" t="str">
        <f t="shared" si="25"/>
        <v>putrescine_ext</v>
      </c>
      <c r="C136">
        <v>0</v>
      </c>
      <c r="D136">
        <v>0</v>
      </c>
      <c r="E136">
        <v>1</v>
      </c>
      <c r="I136" t="s">
        <v>332</v>
      </c>
      <c r="J136" s="46" t="s">
        <v>863</v>
      </c>
      <c r="K136">
        <v>2</v>
      </c>
      <c r="L136">
        <v>4</v>
      </c>
      <c r="M136">
        <v>14</v>
      </c>
      <c r="N136">
        <v>2</v>
      </c>
      <c r="R136" s="8">
        <f t="shared" si="27"/>
        <v>22</v>
      </c>
      <c r="T136">
        <f t="shared" si="21"/>
        <v>9.5</v>
      </c>
      <c r="U136">
        <f t="shared" si="22"/>
        <v>5.5</v>
      </c>
      <c r="V136">
        <f t="shared" si="23"/>
        <v>7</v>
      </c>
    </row>
    <row r="137" spans="2:22" ht="19.5" x14ac:dyDescent="0.35">
      <c r="B137" t="str">
        <f t="shared" si="25"/>
        <v>pyruvate</v>
      </c>
      <c r="C137">
        <v>0</v>
      </c>
      <c r="D137">
        <v>0</v>
      </c>
      <c r="E137">
        <v>0</v>
      </c>
      <c r="I137" t="s">
        <v>161</v>
      </c>
      <c r="J137" s="4" t="s">
        <v>864</v>
      </c>
      <c r="K137">
        <v>-1</v>
      </c>
      <c r="L137">
        <v>3</v>
      </c>
      <c r="M137">
        <v>3</v>
      </c>
      <c r="O137">
        <v>3</v>
      </c>
      <c r="R137" s="8">
        <f t="shared" si="27"/>
        <v>10</v>
      </c>
      <c r="T137">
        <f t="shared" si="21"/>
        <v>3.3333333333333335</v>
      </c>
      <c r="U137">
        <f t="shared" si="22"/>
        <v>3.3333333333333335</v>
      </c>
      <c r="V137">
        <f t="shared" si="23"/>
        <v>3.3333333333333335</v>
      </c>
    </row>
    <row r="138" spans="2:22" ht="19.5" x14ac:dyDescent="0.35">
      <c r="B138" t="str">
        <f t="shared" si="25"/>
        <v>pyruvate_ext</v>
      </c>
      <c r="C138">
        <v>0</v>
      </c>
      <c r="D138">
        <v>0</v>
      </c>
      <c r="E138">
        <v>1</v>
      </c>
      <c r="I138" t="s">
        <v>333</v>
      </c>
      <c r="J138" s="4" t="s">
        <v>864</v>
      </c>
      <c r="K138">
        <v>-1</v>
      </c>
      <c r="L138">
        <v>3</v>
      </c>
      <c r="M138">
        <v>3</v>
      </c>
      <c r="O138">
        <v>3</v>
      </c>
      <c r="R138" s="8">
        <f t="shared" si="27"/>
        <v>10</v>
      </c>
      <c r="T138">
        <f t="shared" si="21"/>
        <v>3.3333333333333335</v>
      </c>
      <c r="U138">
        <f t="shared" si="22"/>
        <v>3.3333333333333335</v>
      </c>
      <c r="V138">
        <f t="shared" si="23"/>
        <v>3.3333333333333335</v>
      </c>
    </row>
    <row r="139" spans="2:22" x14ac:dyDescent="0.25">
      <c r="B139" t="str">
        <f t="shared" si="25"/>
        <v>Q</v>
      </c>
      <c r="C139">
        <v>0</v>
      </c>
      <c r="D139">
        <v>0</v>
      </c>
      <c r="E139">
        <v>0</v>
      </c>
      <c r="I139" t="s">
        <v>334</v>
      </c>
      <c r="J139" t="s">
        <v>530</v>
      </c>
      <c r="M139">
        <v>0</v>
      </c>
      <c r="R139" s="8">
        <f t="shared" si="27"/>
        <v>0</v>
      </c>
      <c r="T139" t="e">
        <f t="shared" si="21"/>
        <v>#DIV/0!</v>
      </c>
      <c r="U139" t="e">
        <f t="shared" si="22"/>
        <v>#DIV/0!</v>
      </c>
      <c r="V139" t="e">
        <f t="shared" si="23"/>
        <v>#DIV/0!</v>
      </c>
    </row>
    <row r="140" spans="2:22" x14ac:dyDescent="0.25">
      <c r="B140" t="str">
        <f t="shared" si="25"/>
        <v>QH2</v>
      </c>
      <c r="C140">
        <v>0</v>
      </c>
      <c r="D140">
        <v>0</v>
      </c>
      <c r="E140">
        <v>0</v>
      </c>
      <c r="I140" t="s">
        <v>335</v>
      </c>
      <c r="J140" t="s">
        <v>297</v>
      </c>
      <c r="M140">
        <v>2</v>
      </c>
      <c r="R140" s="8">
        <f t="shared" si="27"/>
        <v>2</v>
      </c>
      <c r="T140" t="e">
        <f t="shared" si="21"/>
        <v>#DIV/0!</v>
      </c>
      <c r="U140" t="e">
        <f t="shared" si="22"/>
        <v>#DIV/0!</v>
      </c>
      <c r="V140" t="e">
        <f t="shared" si="23"/>
        <v>#DIV/0!</v>
      </c>
    </row>
    <row r="141" spans="2:22" ht="18.75" x14ac:dyDescent="0.35">
      <c r="B141" t="str">
        <f t="shared" si="25"/>
        <v>succinate</v>
      </c>
      <c r="C141">
        <v>0</v>
      </c>
      <c r="D141">
        <v>0</v>
      </c>
      <c r="E141">
        <v>0</v>
      </c>
      <c r="I141" t="s">
        <v>336</v>
      </c>
      <c r="J141" t="s">
        <v>865</v>
      </c>
      <c r="K141">
        <v>-2</v>
      </c>
      <c r="L141">
        <v>4</v>
      </c>
      <c r="M141">
        <v>4</v>
      </c>
      <c r="O141">
        <v>4</v>
      </c>
      <c r="R141" s="8">
        <f t="shared" si="27"/>
        <v>14</v>
      </c>
      <c r="T141">
        <f t="shared" si="21"/>
        <v>3.5</v>
      </c>
      <c r="U141">
        <f t="shared" si="22"/>
        <v>3.5</v>
      </c>
      <c r="V141">
        <f t="shared" si="23"/>
        <v>3.5</v>
      </c>
    </row>
    <row r="142" spans="2:22" ht="18.75" x14ac:dyDescent="0.35">
      <c r="B142" t="str">
        <f t="shared" si="25"/>
        <v>succinate_ext</v>
      </c>
      <c r="C142">
        <v>0</v>
      </c>
      <c r="D142">
        <v>0</v>
      </c>
      <c r="E142">
        <v>1</v>
      </c>
      <c r="I142" t="s">
        <v>337</v>
      </c>
      <c r="J142" t="s">
        <v>865</v>
      </c>
      <c r="K142">
        <v>-2</v>
      </c>
      <c r="L142">
        <v>4</v>
      </c>
      <c r="M142">
        <v>4</v>
      </c>
      <c r="O142">
        <v>4</v>
      </c>
      <c r="R142" s="8">
        <f t="shared" si="27"/>
        <v>14</v>
      </c>
      <c r="T142">
        <f t="shared" si="21"/>
        <v>3.5</v>
      </c>
      <c r="U142">
        <f t="shared" si="22"/>
        <v>3.5</v>
      </c>
      <c r="V142">
        <f t="shared" si="23"/>
        <v>3.5</v>
      </c>
    </row>
    <row r="143" spans="2:22" ht="18.75" x14ac:dyDescent="0.35">
      <c r="B143" t="str">
        <f t="shared" si="25"/>
        <v>succinyl-CoA</v>
      </c>
      <c r="C143">
        <v>0</v>
      </c>
      <c r="D143">
        <v>0</v>
      </c>
      <c r="E143">
        <v>0</v>
      </c>
      <c r="I143" t="s">
        <v>866</v>
      </c>
      <c r="J143" t="s">
        <v>377</v>
      </c>
      <c r="K143">
        <v>-5</v>
      </c>
      <c r="L143">
        <v>25</v>
      </c>
      <c r="M143">
        <v>35</v>
      </c>
      <c r="N143">
        <v>7</v>
      </c>
      <c r="O143">
        <v>19</v>
      </c>
      <c r="P143">
        <v>3</v>
      </c>
      <c r="Q143">
        <v>1</v>
      </c>
      <c r="R143" s="8">
        <f t="shared" si="27"/>
        <v>94</v>
      </c>
      <c r="T143">
        <f t="shared" si="21"/>
        <v>6.32</v>
      </c>
      <c r="U143">
        <f t="shared" si="22"/>
        <v>4.08</v>
      </c>
      <c r="V143">
        <f t="shared" si="23"/>
        <v>4.92</v>
      </c>
    </row>
    <row r="144" spans="2:22" ht="18.75" x14ac:dyDescent="0.35">
      <c r="B144" t="str">
        <f t="shared" si="25"/>
        <v xml:space="preserve">tetrahydrofolate </v>
      </c>
      <c r="C144">
        <v>0</v>
      </c>
      <c r="D144">
        <v>0</v>
      </c>
      <c r="E144">
        <v>0</v>
      </c>
      <c r="I144" t="s">
        <v>867</v>
      </c>
      <c r="J144" t="s">
        <v>868</v>
      </c>
      <c r="K144">
        <v>-2</v>
      </c>
      <c r="L144">
        <v>19</v>
      </c>
      <c r="M144">
        <v>21</v>
      </c>
      <c r="N144">
        <v>7</v>
      </c>
      <c r="O144">
        <v>6</v>
      </c>
      <c r="R144" s="8">
        <v>66</v>
      </c>
      <c r="T144">
        <f t="shared" si="21"/>
        <v>6.4210526315789478</v>
      </c>
      <c r="U144">
        <f t="shared" si="22"/>
        <v>3.4736842105263159</v>
      </c>
      <c r="V144">
        <f t="shared" si="23"/>
        <v>4.5789473684210522</v>
      </c>
    </row>
    <row r="145" spans="1:22" ht="18.75" x14ac:dyDescent="0.35">
      <c r="B145" t="str">
        <f t="shared" si="25"/>
        <v>tetrahydromethanopterin</v>
      </c>
      <c r="C145">
        <v>0</v>
      </c>
      <c r="D145">
        <v>0</v>
      </c>
      <c r="E145">
        <v>0</v>
      </c>
      <c r="I145" t="s">
        <v>340</v>
      </c>
      <c r="J145" t="s">
        <v>869</v>
      </c>
      <c r="K145">
        <v>-3</v>
      </c>
      <c r="L145">
        <v>30</v>
      </c>
      <c r="M145">
        <v>42</v>
      </c>
      <c r="N145">
        <v>6</v>
      </c>
      <c r="O145">
        <v>16</v>
      </c>
      <c r="P145">
        <v>1</v>
      </c>
      <c r="R145" s="8">
        <f>(4*L145)+(M145)+(-3*N145)+(-2*O145)+(5*P145)+(-2*Q145)+(-1*K145)</f>
        <v>120</v>
      </c>
      <c r="T145">
        <f t="shared" si="21"/>
        <v>5.6</v>
      </c>
      <c r="U145">
        <f t="shared" si="22"/>
        <v>4</v>
      </c>
      <c r="V145">
        <f t="shared" si="23"/>
        <v>4.5999999999999996</v>
      </c>
    </row>
    <row r="151" spans="1:22" x14ac:dyDescent="0.25">
      <c r="A151" t="s">
        <v>933</v>
      </c>
      <c r="B151" t="s">
        <v>145</v>
      </c>
    </row>
    <row r="152" spans="1:22" x14ac:dyDescent="0.25">
      <c r="A152" t="s">
        <v>145</v>
      </c>
      <c r="B152" t="s">
        <v>145</v>
      </c>
    </row>
    <row r="153" spans="1:22" x14ac:dyDescent="0.25">
      <c r="A153" t="s">
        <v>612</v>
      </c>
      <c r="B153" t="s">
        <v>934</v>
      </c>
    </row>
    <row r="154" spans="1:22" x14ac:dyDescent="0.25">
      <c r="A154" t="s">
        <v>626</v>
      </c>
      <c r="B154" t="s">
        <v>935</v>
      </c>
    </row>
    <row r="155" spans="1:22" x14ac:dyDescent="0.25">
      <c r="A155" t="s">
        <v>616</v>
      </c>
      <c r="B155" t="s">
        <v>936</v>
      </c>
    </row>
    <row r="156" spans="1:22" x14ac:dyDescent="0.25">
      <c r="A156" t="s">
        <v>158</v>
      </c>
      <c r="B156" t="s">
        <v>937</v>
      </c>
    </row>
    <row r="157" spans="1:22" x14ac:dyDescent="0.25">
      <c r="A157" t="s">
        <v>250</v>
      </c>
      <c r="B157" t="s">
        <v>928</v>
      </c>
    </row>
    <row r="158" spans="1:22" x14ac:dyDescent="0.25">
      <c r="A158" t="s">
        <v>163</v>
      </c>
      <c r="B158" t="s">
        <v>938</v>
      </c>
    </row>
    <row r="159" spans="1:22" x14ac:dyDescent="0.25">
      <c r="A159" t="s">
        <v>167</v>
      </c>
      <c r="B159" t="s">
        <v>131</v>
      </c>
    </row>
    <row r="160" spans="1:22" x14ac:dyDescent="0.25">
      <c r="A160" t="s">
        <v>386</v>
      </c>
      <c r="B160" t="s">
        <v>939</v>
      </c>
    </row>
    <row r="161" spans="1:2" x14ac:dyDescent="0.25">
      <c r="A161" t="s">
        <v>251</v>
      </c>
      <c r="B161" t="s">
        <v>17</v>
      </c>
    </row>
    <row r="162" spans="1:2" x14ac:dyDescent="0.25">
      <c r="A162" t="s">
        <v>250</v>
      </c>
      <c r="B162" t="s">
        <v>928</v>
      </c>
    </row>
    <row r="163" spans="1:2" x14ac:dyDescent="0.25">
      <c r="A163" t="s">
        <v>362</v>
      </c>
      <c r="B163" t="s">
        <v>940</v>
      </c>
    </row>
    <row r="164" spans="1:2" x14ac:dyDescent="0.25">
      <c r="A164" t="s">
        <v>478</v>
      </c>
      <c r="B164" t="s">
        <v>941</v>
      </c>
    </row>
    <row r="165" spans="1:2" x14ac:dyDescent="0.25">
      <c r="A165" t="s">
        <v>162</v>
      </c>
      <c r="B165" t="s">
        <v>942</v>
      </c>
    </row>
    <row r="166" spans="1:2" x14ac:dyDescent="0.25">
      <c r="A166" t="s">
        <v>354</v>
      </c>
      <c r="B166" t="s">
        <v>943</v>
      </c>
    </row>
    <row r="167" spans="1:2" x14ac:dyDescent="0.25">
      <c r="A167" t="s">
        <v>391</v>
      </c>
      <c r="B167" t="s">
        <v>944</v>
      </c>
    </row>
    <row r="168" spans="1:2" x14ac:dyDescent="0.25">
      <c r="A168" t="s">
        <v>376</v>
      </c>
      <c r="B168" t="s">
        <v>945</v>
      </c>
    </row>
    <row r="169" spans="1:2" x14ac:dyDescent="0.25">
      <c r="A169" t="s">
        <v>344</v>
      </c>
      <c r="B169" t="s">
        <v>946</v>
      </c>
    </row>
    <row r="170" spans="1:2" x14ac:dyDescent="0.25">
      <c r="A170" t="s">
        <v>866</v>
      </c>
      <c r="B170" t="s">
        <v>947</v>
      </c>
    </row>
    <row r="171" spans="1:2" x14ac:dyDescent="0.25">
      <c r="A171" t="s">
        <v>861</v>
      </c>
      <c r="B171" t="s">
        <v>948</v>
      </c>
    </row>
    <row r="172" spans="1:2" x14ac:dyDescent="0.25">
      <c r="A172" t="s">
        <v>405</v>
      </c>
      <c r="B172" t="s">
        <v>949</v>
      </c>
    </row>
    <row r="173" spans="1:2" x14ac:dyDescent="0.25">
      <c r="A173" t="s">
        <v>349</v>
      </c>
      <c r="B173" t="s">
        <v>950</v>
      </c>
    </row>
    <row r="174" spans="1:2" x14ac:dyDescent="0.25">
      <c r="A174" t="s">
        <v>358</v>
      </c>
      <c r="B174" t="s">
        <v>951</v>
      </c>
    </row>
    <row r="175" spans="1:2" x14ac:dyDescent="0.25">
      <c r="A175" t="s">
        <v>303</v>
      </c>
      <c r="B175" t="s">
        <v>952</v>
      </c>
    </row>
    <row r="176" spans="1:2" x14ac:dyDescent="0.25">
      <c r="A176" t="s">
        <v>534</v>
      </c>
      <c r="B176" t="s">
        <v>953</v>
      </c>
    </row>
    <row r="177" spans="1:2" x14ac:dyDescent="0.25">
      <c r="A177" t="s">
        <v>539</v>
      </c>
      <c r="B177" t="s">
        <v>954</v>
      </c>
    </row>
    <row r="178" spans="1:2" x14ac:dyDescent="0.25">
      <c r="A178" t="s">
        <v>157</v>
      </c>
      <c r="B178" t="s">
        <v>955</v>
      </c>
    </row>
    <row r="179" spans="1:2" x14ac:dyDescent="0.25">
      <c r="A179" t="s">
        <v>594</v>
      </c>
      <c r="B179" t="s">
        <v>956</v>
      </c>
    </row>
    <row r="180" spans="1:2" x14ac:dyDescent="0.25">
      <c r="A180" t="s">
        <v>159</v>
      </c>
      <c r="B180" t="s">
        <v>957</v>
      </c>
    </row>
    <row r="181" spans="1:2" x14ac:dyDescent="0.25">
      <c r="A181" t="s">
        <v>381</v>
      </c>
      <c r="B181" t="s">
        <v>958</v>
      </c>
    </row>
    <row r="182" spans="1:2" x14ac:dyDescent="0.25">
      <c r="A182" t="s">
        <v>395</v>
      </c>
      <c r="B182" t="s">
        <v>959</v>
      </c>
    </row>
    <row r="183" spans="1:2" x14ac:dyDescent="0.25">
      <c r="A183" t="s">
        <v>414</v>
      </c>
      <c r="B183" t="s">
        <v>960</v>
      </c>
    </row>
    <row r="184" spans="1:2" x14ac:dyDescent="0.25">
      <c r="A184" t="s">
        <v>424</v>
      </c>
      <c r="B184" t="s">
        <v>961</v>
      </c>
    </row>
    <row r="185" spans="1:2" x14ac:dyDescent="0.25">
      <c r="A185" t="s">
        <v>433</v>
      </c>
      <c r="B185" t="s">
        <v>962</v>
      </c>
    </row>
    <row r="186" spans="1:2" x14ac:dyDescent="0.25">
      <c r="A186" t="s">
        <v>438</v>
      </c>
      <c r="B186" t="s">
        <v>963</v>
      </c>
    </row>
    <row r="187" spans="1:2" x14ac:dyDescent="0.25">
      <c r="A187" t="s">
        <v>443</v>
      </c>
      <c r="B187" t="s">
        <v>964</v>
      </c>
    </row>
    <row r="188" spans="1:2" x14ac:dyDescent="0.25">
      <c r="A188" t="s">
        <v>448</v>
      </c>
      <c r="B188" t="s">
        <v>965</v>
      </c>
    </row>
    <row r="189" spans="1:2" x14ac:dyDescent="0.25">
      <c r="A189" t="s">
        <v>599</v>
      </c>
      <c r="B189" t="s">
        <v>966</v>
      </c>
    </row>
    <row r="190" spans="1:2" x14ac:dyDescent="0.25">
      <c r="A190" t="s">
        <v>621</v>
      </c>
      <c r="B190" t="s">
        <v>967</v>
      </c>
    </row>
    <row r="191" spans="1:2" x14ac:dyDescent="0.25">
      <c r="A191" t="s">
        <v>742</v>
      </c>
      <c r="B191" t="s">
        <v>29</v>
      </c>
    </row>
    <row r="192" spans="1:2" x14ac:dyDescent="0.25">
      <c r="A192" t="s">
        <v>752</v>
      </c>
      <c r="B192" t="s">
        <v>31</v>
      </c>
    </row>
    <row r="193" spans="1:2" x14ac:dyDescent="0.25">
      <c r="A193" t="s">
        <v>761</v>
      </c>
      <c r="B193" t="s">
        <v>46</v>
      </c>
    </row>
    <row r="194" spans="1:2" x14ac:dyDescent="0.25">
      <c r="A194" t="s">
        <v>571</v>
      </c>
      <c r="B194" t="s">
        <v>968</v>
      </c>
    </row>
    <row r="195" spans="1:2" x14ac:dyDescent="0.25">
      <c r="A195" t="s">
        <v>271</v>
      </c>
      <c r="B195" t="s">
        <v>969</v>
      </c>
    </row>
    <row r="196" spans="1:2" x14ac:dyDescent="0.25">
      <c r="A196" t="s">
        <v>970</v>
      </c>
      <c r="B196" t="s">
        <v>294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F3C1-72A2-42FC-A860-0382FE633911}">
  <sheetPr codeName="Sheet14"/>
  <dimension ref="A1:FW145"/>
  <sheetViews>
    <sheetView workbookViewId="0"/>
  </sheetViews>
  <sheetFormatPr defaultRowHeight="15" x14ac:dyDescent="0.25"/>
  <cols>
    <col min="1" max="1" width="42.7109375" bestFit="1" customWidth="1"/>
    <col min="2" max="146" width="8.7109375" style="36" customWidth="1"/>
    <col min="150" max="150" width="44.42578125" customWidth="1"/>
    <col min="151" max="151" width="22.42578125" customWidth="1"/>
    <col min="178" max="178" width="47.28515625" customWidth="1"/>
  </cols>
  <sheetData>
    <row r="1" spans="1:179" ht="19.5" customHeight="1" x14ac:dyDescent="0.25">
      <c r="A1" t="s">
        <v>212</v>
      </c>
      <c r="B1" s="36" t="s">
        <v>213</v>
      </c>
      <c r="C1" s="36" t="s">
        <v>214</v>
      </c>
      <c r="D1" s="36" t="s">
        <v>215</v>
      </c>
      <c r="E1" s="36" t="s">
        <v>216</v>
      </c>
      <c r="F1" s="36" t="s">
        <v>217</v>
      </c>
      <c r="G1" s="36" t="s">
        <v>218</v>
      </c>
      <c r="H1" s="36" t="s">
        <v>219</v>
      </c>
      <c r="I1" s="36" t="s">
        <v>220</v>
      </c>
      <c r="J1" s="36" t="s">
        <v>221</v>
      </c>
      <c r="K1" s="36" t="s">
        <v>222</v>
      </c>
      <c r="L1" s="36" t="s">
        <v>223</v>
      </c>
      <c r="M1" s="36" t="s">
        <v>224</v>
      </c>
      <c r="N1" s="36" t="s">
        <v>225</v>
      </c>
      <c r="O1" s="36" t="s">
        <v>226</v>
      </c>
      <c r="P1" s="36" t="s">
        <v>227</v>
      </c>
      <c r="Q1" s="36" t="s">
        <v>228</v>
      </c>
      <c r="R1" s="36" t="s">
        <v>229</v>
      </c>
      <c r="S1" s="36" t="s">
        <v>230</v>
      </c>
      <c r="T1" s="36" t="s">
        <v>231</v>
      </c>
      <c r="U1" s="36" t="s">
        <v>232</v>
      </c>
      <c r="V1" s="36" t="s">
        <v>233</v>
      </c>
      <c r="W1" s="36" t="s">
        <v>234</v>
      </c>
      <c r="X1" s="36" t="s">
        <v>235</v>
      </c>
      <c r="Y1" s="36" t="s">
        <v>236</v>
      </c>
      <c r="Z1" s="36" t="s">
        <v>237</v>
      </c>
      <c r="AA1" s="36" t="s">
        <v>238</v>
      </c>
      <c r="AB1" s="36" t="s">
        <v>239</v>
      </c>
      <c r="AC1" s="36" t="s">
        <v>240</v>
      </c>
      <c r="AD1" s="36" t="s">
        <v>241</v>
      </c>
      <c r="AE1" s="36" t="s">
        <v>242</v>
      </c>
      <c r="AF1" s="36" t="s">
        <v>243</v>
      </c>
      <c r="AG1" s="36" t="s">
        <v>244</v>
      </c>
      <c r="AH1" s="36" t="s">
        <v>245</v>
      </c>
      <c r="AI1" s="36" t="s">
        <v>246</v>
      </c>
      <c r="AJ1" s="36" t="s">
        <v>247</v>
      </c>
      <c r="AK1" s="36" t="s">
        <v>248</v>
      </c>
      <c r="AL1" s="36" t="s">
        <v>130</v>
      </c>
      <c r="AM1" s="36" t="s">
        <v>249</v>
      </c>
      <c r="AN1" s="36" t="s">
        <v>250</v>
      </c>
      <c r="AO1" s="36" t="s">
        <v>251</v>
      </c>
      <c r="AP1" s="36" t="s">
        <v>252</v>
      </c>
      <c r="AQ1" s="36" t="s">
        <v>253</v>
      </c>
      <c r="AR1" s="36" t="s">
        <v>52</v>
      </c>
      <c r="AS1" s="36" t="s">
        <v>254</v>
      </c>
      <c r="AT1" s="36" t="s">
        <v>255</v>
      </c>
      <c r="AU1" s="36" t="s">
        <v>256</v>
      </c>
      <c r="AV1" s="36" t="s">
        <v>257</v>
      </c>
      <c r="AW1" s="36" t="s">
        <v>258</v>
      </c>
      <c r="AX1" s="36" t="s">
        <v>259</v>
      </c>
      <c r="AY1" s="36" t="s">
        <v>12</v>
      </c>
      <c r="AZ1" s="36" t="s">
        <v>260</v>
      </c>
      <c r="BA1" s="36" t="s">
        <v>261</v>
      </c>
      <c r="BB1" s="36" t="s">
        <v>262</v>
      </c>
      <c r="BC1" s="36" t="s">
        <v>167</v>
      </c>
      <c r="BD1" s="36" t="s">
        <v>263</v>
      </c>
      <c r="BE1" s="36" t="s">
        <v>264</v>
      </c>
      <c r="BF1" s="36" t="s">
        <v>265</v>
      </c>
      <c r="BG1" s="36" t="s">
        <v>266</v>
      </c>
      <c r="BH1" s="36" t="s">
        <v>267</v>
      </c>
      <c r="BI1" s="36" t="s">
        <v>268</v>
      </c>
      <c r="BJ1" s="36" t="s">
        <v>269</v>
      </c>
      <c r="BK1" s="36" t="s">
        <v>270</v>
      </c>
      <c r="BL1" s="36" t="s">
        <v>271</v>
      </c>
      <c r="BM1" s="36" t="s">
        <v>272</v>
      </c>
      <c r="BN1" s="36" t="s">
        <v>273</v>
      </c>
      <c r="BO1" s="36" t="s">
        <v>274</v>
      </c>
      <c r="BP1" s="36" t="s">
        <v>275</v>
      </c>
      <c r="BQ1" s="36" t="s">
        <v>276</v>
      </c>
      <c r="BR1" s="36" t="s">
        <v>277</v>
      </c>
      <c r="BS1" s="36" t="s">
        <v>278</v>
      </c>
      <c r="BT1" s="36" t="s">
        <v>279</v>
      </c>
      <c r="BU1" s="36" t="s">
        <v>280</v>
      </c>
      <c r="BV1" s="36" t="s">
        <v>281</v>
      </c>
      <c r="BW1" s="36" t="s">
        <v>282</v>
      </c>
      <c r="BX1" s="36" t="s">
        <v>283</v>
      </c>
      <c r="BY1" s="36" t="s">
        <v>284</v>
      </c>
      <c r="BZ1" s="36" t="s">
        <v>285</v>
      </c>
      <c r="CA1" s="36" t="s">
        <v>286</v>
      </c>
      <c r="CB1" s="36" t="s">
        <v>287</v>
      </c>
      <c r="CC1" s="36" t="s">
        <v>33</v>
      </c>
      <c r="CD1" s="36" t="s">
        <v>288</v>
      </c>
      <c r="CE1" s="36" t="s">
        <v>289</v>
      </c>
      <c r="CF1" s="36" t="s">
        <v>175</v>
      </c>
      <c r="CG1" s="36" t="s">
        <v>290</v>
      </c>
      <c r="CH1" s="36" t="s">
        <v>291</v>
      </c>
      <c r="CI1" s="36" t="s">
        <v>292</v>
      </c>
      <c r="CJ1" s="36" t="s">
        <v>293</v>
      </c>
      <c r="CK1" s="36" t="s">
        <v>294</v>
      </c>
      <c r="CL1" s="36" t="s">
        <v>295</v>
      </c>
      <c r="CM1" s="36" t="s">
        <v>296</v>
      </c>
      <c r="CN1" s="36" t="s">
        <v>297</v>
      </c>
      <c r="CO1" s="36" t="s">
        <v>298</v>
      </c>
      <c r="CP1" s="36" t="s">
        <v>141</v>
      </c>
      <c r="CQ1" s="36" t="s">
        <v>299</v>
      </c>
      <c r="CR1" s="36" t="s">
        <v>300</v>
      </c>
      <c r="CS1" s="36" t="s">
        <v>301</v>
      </c>
      <c r="CT1" s="36" t="s">
        <v>302</v>
      </c>
      <c r="CU1" s="36" t="s">
        <v>303</v>
      </c>
      <c r="CV1" s="36" t="s">
        <v>304</v>
      </c>
      <c r="CW1" s="36" t="s">
        <v>305</v>
      </c>
      <c r="CX1" s="36" t="s">
        <v>306</v>
      </c>
      <c r="CY1" s="36" t="s">
        <v>307</v>
      </c>
      <c r="CZ1" s="36" t="s">
        <v>308</v>
      </c>
      <c r="DA1" s="36" t="s">
        <v>309</v>
      </c>
      <c r="DB1" s="36" t="s">
        <v>310</v>
      </c>
      <c r="DC1" s="36" t="s">
        <v>311</v>
      </c>
      <c r="DD1" s="36" t="s">
        <v>312</v>
      </c>
      <c r="DE1" s="36" t="s">
        <v>313</v>
      </c>
      <c r="DF1" s="36" t="s">
        <v>314</v>
      </c>
      <c r="DG1" s="36" t="s">
        <v>96</v>
      </c>
      <c r="DH1" s="36" t="s">
        <v>97</v>
      </c>
      <c r="DI1" s="36" t="s">
        <v>315</v>
      </c>
      <c r="DJ1" s="36" t="s">
        <v>316</v>
      </c>
      <c r="DK1" s="36" t="s">
        <v>317</v>
      </c>
      <c r="DL1" s="36" t="s">
        <v>166</v>
      </c>
      <c r="DM1" s="36" t="s">
        <v>318</v>
      </c>
      <c r="DN1" s="36" t="s">
        <v>165</v>
      </c>
      <c r="DO1" s="36" t="s">
        <v>319</v>
      </c>
      <c r="DP1" s="36" t="s">
        <v>320</v>
      </c>
      <c r="DQ1" s="36" t="s">
        <v>321</v>
      </c>
      <c r="DR1" s="36" t="s">
        <v>322</v>
      </c>
      <c r="DS1" s="36" t="s">
        <v>323</v>
      </c>
      <c r="DT1" s="36" t="s">
        <v>324</v>
      </c>
      <c r="DU1" s="36" t="s">
        <v>325</v>
      </c>
      <c r="DV1" s="36" t="s">
        <v>326</v>
      </c>
      <c r="DW1" s="36" t="s">
        <v>164</v>
      </c>
      <c r="DX1" s="36" t="s">
        <v>127</v>
      </c>
      <c r="DY1" s="36" t="s">
        <v>327</v>
      </c>
      <c r="DZ1" s="36" t="s">
        <v>160</v>
      </c>
      <c r="EA1" s="36" t="s">
        <v>328</v>
      </c>
      <c r="EB1" s="36" t="s">
        <v>329</v>
      </c>
      <c r="EC1" s="36" t="s">
        <v>168</v>
      </c>
      <c r="ED1" s="36" t="s">
        <v>84</v>
      </c>
      <c r="EE1" s="36" t="s">
        <v>330</v>
      </c>
      <c r="EF1" s="36" t="s">
        <v>331</v>
      </c>
      <c r="EG1" s="36" t="s">
        <v>332</v>
      </c>
      <c r="EH1" s="36" t="s">
        <v>161</v>
      </c>
      <c r="EI1" s="36" t="s">
        <v>333</v>
      </c>
      <c r="EJ1" s="36" t="s">
        <v>334</v>
      </c>
      <c r="EK1" s="36" t="s">
        <v>335</v>
      </c>
      <c r="EL1" s="36" t="s">
        <v>336</v>
      </c>
      <c r="EM1" s="36" t="s">
        <v>337</v>
      </c>
      <c r="EN1" s="36" t="s">
        <v>338</v>
      </c>
      <c r="EO1" s="36" t="s">
        <v>339</v>
      </c>
      <c r="EP1" s="36" t="s">
        <v>340</v>
      </c>
      <c r="ET1" s="6" t="s">
        <v>341</v>
      </c>
      <c r="EU1" s="39" t="s">
        <v>98</v>
      </c>
      <c r="EV1" s="40" t="s">
        <v>99</v>
      </c>
      <c r="EW1" s="40" t="s">
        <v>100</v>
      </c>
      <c r="EX1" s="40" t="s">
        <v>101</v>
      </c>
      <c r="EY1" s="40" t="s">
        <v>102</v>
      </c>
      <c r="EZ1" s="40" t="s">
        <v>103</v>
      </c>
      <c r="FA1" s="40" t="s">
        <v>104</v>
      </c>
      <c r="FB1" s="40" t="s">
        <v>105</v>
      </c>
      <c r="FC1" s="40" t="s">
        <v>106</v>
      </c>
      <c r="FE1" s="41" t="s">
        <v>107</v>
      </c>
      <c r="FF1" s="41" t="s">
        <v>139</v>
      </c>
      <c r="FG1" s="41" t="s">
        <v>108</v>
      </c>
      <c r="FM1" s="40" t="s">
        <v>100</v>
      </c>
      <c r="FN1" s="40" t="s">
        <v>101</v>
      </c>
      <c r="FO1" s="40" t="s">
        <v>102</v>
      </c>
      <c r="FP1" s="40" t="s">
        <v>103</v>
      </c>
      <c r="FQ1" s="40" t="s">
        <v>104</v>
      </c>
      <c r="FR1" s="40" t="s">
        <v>105</v>
      </c>
      <c r="FS1" s="40" t="s">
        <v>342</v>
      </c>
    </row>
    <row r="2" spans="1:179" ht="19.5" customHeight="1" x14ac:dyDescent="0.35">
      <c r="A2" t="s">
        <v>343</v>
      </c>
      <c r="B2" s="36">
        <v>0</v>
      </c>
      <c r="C2" s="36">
        <v>0</v>
      </c>
      <c r="D2" s="36">
        <v>0</v>
      </c>
      <c r="E2" s="36">
        <v>0</v>
      </c>
      <c r="F2" s="36">
        <v>0</v>
      </c>
      <c r="G2" s="36">
        <v>0</v>
      </c>
      <c r="H2" s="36">
        <v>0</v>
      </c>
      <c r="I2" s="36">
        <v>0</v>
      </c>
      <c r="J2" s="36">
        <v>0</v>
      </c>
      <c r="K2" s="36">
        <v>0</v>
      </c>
      <c r="L2" s="36">
        <v>0</v>
      </c>
      <c r="M2" s="36">
        <v>0</v>
      </c>
      <c r="N2" s="36">
        <v>0</v>
      </c>
      <c r="O2" s="36">
        <v>0</v>
      </c>
      <c r="P2" s="36">
        <v>0</v>
      </c>
      <c r="Q2" s="36">
        <v>0</v>
      </c>
      <c r="R2" s="36">
        <v>0</v>
      </c>
      <c r="S2" s="36">
        <v>0</v>
      </c>
      <c r="T2" s="36">
        <v>0</v>
      </c>
      <c r="U2" s="36">
        <v>0</v>
      </c>
      <c r="V2" s="36">
        <v>0</v>
      </c>
      <c r="W2" s="36">
        <v>0</v>
      </c>
      <c r="X2" s="36">
        <v>0</v>
      </c>
      <c r="Y2" s="36">
        <v>0</v>
      </c>
      <c r="Z2" s="36">
        <v>0</v>
      </c>
      <c r="AA2" s="36">
        <v>0</v>
      </c>
      <c r="AB2" s="36">
        <v>0</v>
      </c>
      <c r="AC2" s="36">
        <v>0</v>
      </c>
      <c r="AD2" s="36">
        <v>0</v>
      </c>
      <c r="AE2" s="36">
        <v>0</v>
      </c>
      <c r="AF2" s="36">
        <v>0</v>
      </c>
      <c r="AG2" s="36">
        <v>0</v>
      </c>
      <c r="AH2" s="36">
        <v>0</v>
      </c>
      <c r="AI2" s="36">
        <v>0</v>
      </c>
      <c r="AJ2" s="36">
        <v>0</v>
      </c>
      <c r="AK2" s="36">
        <v>0</v>
      </c>
      <c r="AL2" s="36">
        <v>0</v>
      </c>
      <c r="AM2" s="36">
        <v>0</v>
      </c>
      <c r="AN2" s="36">
        <v>0</v>
      </c>
      <c r="AO2" s="36">
        <v>0</v>
      </c>
      <c r="AP2" s="36">
        <v>0</v>
      </c>
      <c r="AQ2" s="36">
        <v>0</v>
      </c>
      <c r="AR2" s="36">
        <v>0</v>
      </c>
      <c r="AS2" s="36">
        <v>0</v>
      </c>
      <c r="AT2" s="36">
        <v>0</v>
      </c>
      <c r="AU2" s="36">
        <v>0</v>
      </c>
      <c r="AV2" s="36">
        <v>0</v>
      </c>
      <c r="AW2" s="36">
        <v>0</v>
      </c>
      <c r="AX2" s="36">
        <v>0</v>
      </c>
      <c r="AY2" s="36">
        <v>0</v>
      </c>
      <c r="AZ2" s="36">
        <v>0</v>
      </c>
      <c r="BA2" s="36">
        <v>0</v>
      </c>
      <c r="BB2" s="36">
        <v>0</v>
      </c>
      <c r="BC2" s="36">
        <v>0</v>
      </c>
      <c r="BD2" s="36">
        <v>0</v>
      </c>
      <c r="BE2" s="36">
        <v>0</v>
      </c>
      <c r="BF2" s="36">
        <v>0</v>
      </c>
      <c r="BG2" s="36">
        <v>0</v>
      </c>
      <c r="BH2" s="36">
        <v>0</v>
      </c>
      <c r="BI2" s="36">
        <v>0</v>
      </c>
      <c r="BJ2" s="36">
        <v>0</v>
      </c>
      <c r="BK2" s="36">
        <v>0</v>
      </c>
      <c r="BL2" s="36">
        <v>0</v>
      </c>
      <c r="BM2" s="36">
        <v>0</v>
      </c>
      <c r="BN2" s="36">
        <v>0</v>
      </c>
      <c r="BO2" s="36">
        <v>0</v>
      </c>
      <c r="BP2" s="36">
        <v>0</v>
      </c>
      <c r="BQ2" s="36">
        <v>0</v>
      </c>
      <c r="BR2" s="36">
        <v>0</v>
      </c>
      <c r="BS2" s="36">
        <v>0</v>
      </c>
      <c r="BT2" s="36">
        <v>0</v>
      </c>
      <c r="BU2" s="36">
        <v>0</v>
      </c>
      <c r="BV2" s="36">
        <v>0</v>
      </c>
      <c r="BW2" s="36">
        <v>0</v>
      </c>
      <c r="BX2" s="36">
        <v>0</v>
      </c>
      <c r="BY2" s="36">
        <v>0</v>
      </c>
      <c r="BZ2" s="36">
        <v>0</v>
      </c>
      <c r="CA2" s="36">
        <v>0</v>
      </c>
      <c r="CB2" s="36">
        <v>0</v>
      </c>
      <c r="CC2" s="36">
        <v>0</v>
      </c>
      <c r="CD2" s="36">
        <v>0</v>
      </c>
      <c r="CE2" s="36">
        <v>0</v>
      </c>
      <c r="CF2" s="36">
        <v>0</v>
      </c>
      <c r="CG2" s="36">
        <v>0</v>
      </c>
      <c r="CH2" s="36">
        <v>0</v>
      </c>
      <c r="CI2" s="36">
        <v>0</v>
      </c>
      <c r="CJ2" s="36">
        <v>0</v>
      </c>
      <c r="CK2" s="36">
        <v>0</v>
      </c>
      <c r="CL2" s="36">
        <v>0</v>
      </c>
      <c r="CM2" s="36">
        <v>0</v>
      </c>
      <c r="CN2" s="36">
        <v>0</v>
      </c>
      <c r="CO2" s="36">
        <v>0</v>
      </c>
      <c r="CP2" s="36">
        <v>1</v>
      </c>
      <c r="CQ2" s="36">
        <v>0</v>
      </c>
      <c r="CR2" s="36">
        <v>0</v>
      </c>
      <c r="CS2" s="36">
        <v>0</v>
      </c>
      <c r="CT2" s="36">
        <v>0</v>
      </c>
      <c r="CU2" s="36">
        <v>0</v>
      </c>
      <c r="CV2" s="36">
        <v>0</v>
      </c>
      <c r="CW2" s="36">
        <v>0</v>
      </c>
      <c r="CX2" s="36">
        <v>0</v>
      </c>
      <c r="CY2" s="36">
        <v>0</v>
      </c>
      <c r="CZ2" s="36">
        <v>0</v>
      </c>
      <c r="DA2" s="36">
        <v>0</v>
      </c>
      <c r="DB2" s="36">
        <v>0</v>
      </c>
      <c r="DC2" s="36">
        <v>-1</v>
      </c>
      <c r="DD2" s="36">
        <v>0</v>
      </c>
      <c r="DE2" s="36">
        <v>1</v>
      </c>
      <c r="DF2" s="36">
        <v>0</v>
      </c>
      <c r="DG2" s="36">
        <v>0</v>
      </c>
      <c r="DH2" s="36">
        <v>0</v>
      </c>
      <c r="DI2" s="36">
        <v>0</v>
      </c>
      <c r="DJ2" s="36">
        <v>0</v>
      </c>
      <c r="DK2" s="36">
        <v>0</v>
      </c>
      <c r="DL2" s="36">
        <v>0</v>
      </c>
      <c r="DM2" s="36">
        <v>0</v>
      </c>
      <c r="DN2" s="36">
        <v>0</v>
      </c>
      <c r="DO2" s="36">
        <v>0</v>
      </c>
      <c r="DP2" s="36">
        <v>0</v>
      </c>
      <c r="DQ2" s="36">
        <v>0</v>
      </c>
      <c r="DR2" s="36">
        <v>0</v>
      </c>
      <c r="DS2" s="36">
        <v>0</v>
      </c>
      <c r="DT2" s="36">
        <v>0</v>
      </c>
      <c r="DU2" s="36">
        <v>-1</v>
      </c>
      <c r="DV2" s="36">
        <v>0</v>
      </c>
      <c r="DW2" s="36">
        <v>0</v>
      </c>
      <c r="DX2" s="36">
        <v>0</v>
      </c>
      <c r="DY2" s="36">
        <v>0</v>
      </c>
      <c r="DZ2" s="36">
        <v>0</v>
      </c>
      <c r="EA2" s="36">
        <v>0</v>
      </c>
      <c r="EB2" s="36">
        <v>0</v>
      </c>
      <c r="EC2" s="36">
        <v>0</v>
      </c>
      <c r="ED2" s="36">
        <v>0</v>
      </c>
      <c r="EE2" s="36">
        <v>0</v>
      </c>
      <c r="EF2" s="36">
        <v>0</v>
      </c>
      <c r="EG2" s="36">
        <v>0</v>
      </c>
      <c r="EH2" s="36">
        <v>0</v>
      </c>
      <c r="EI2" s="36">
        <v>0</v>
      </c>
      <c r="EJ2" s="36">
        <v>1</v>
      </c>
      <c r="EK2" s="36">
        <v>-1</v>
      </c>
      <c r="EL2" s="36">
        <v>0</v>
      </c>
      <c r="EM2" s="36">
        <v>0</v>
      </c>
      <c r="EN2" s="36">
        <v>0</v>
      </c>
      <c r="EO2" s="36">
        <v>0</v>
      </c>
      <c r="EP2" s="36">
        <v>0</v>
      </c>
      <c r="ET2" t="s">
        <v>344</v>
      </c>
      <c r="EU2" t="s">
        <v>345</v>
      </c>
      <c r="EV2" s="36">
        <v>-5</v>
      </c>
      <c r="EW2" s="36">
        <v>26</v>
      </c>
      <c r="EX2" s="36">
        <v>37</v>
      </c>
      <c r="EY2" s="36">
        <v>7</v>
      </c>
      <c r="EZ2" s="36">
        <v>19</v>
      </c>
      <c r="FA2" s="36">
        <v>3</v>
      </c>
      <c r="FB2" s="36">
        <v>1</v>
      </c>
      <c r="FC2" s="42">
        <f t="shared" ref="FC2:FC9" si="0">(4*EW2)+(EX2)+(-3*EY2)+(-2*EZ2)+(5*FA2)+(-2*FB2)+(-1*EV2)</f>
        <v>100</v>
      </c>
      <c r="FE2">
        <f t="shared" ref="FE2:FE47" si="1">((4*(EW2))+(EX2)+(5*EY2)+(-2*EZ2)+(5*FA2)+(6*FB2)+(-EV2))/EW2</f>
        <v>6.3076923076923075</v>
      </c>
      <c r="FF2">
        <f t="shared" ref="FF2:FF47" si="2">((4*(EW2))+(EX2)+(-3*EY2)+(-2*EZ2)+(5*FA2)+(6*FB2)+(-EV2))/EW2</f>
        <v>4.1538461538461542</v>
      </c>
      <c r="FG2">
        <f t="shared" ref="FG2:FG47" si="3">((4*(EW2))+(EX2)+(0*EY2)+(-2*EZ2)+(5*FA2)+(6*FB2)+(-EV2))/EW2</f>
        <v>4.9615384615384617</v>
      </c>
      <c r="FM2" s="43">
        <f t="shared" ref="FM2:FS17" si="4">MMULT($C2:$EP2,EW$2:EW$145)</f>
        <v>0</v>
      </c>
      <c r="FN2" s="43">
        <f t="shared" si="4"/>
        <v>0</v>
      </c>
      <c r="FO2" s="43">
        <f t="shared" si="4"/>
        <v>0</v>
      </c>
      <c r="FP2" s="43">
        <f t="shared" si="4"/>
        <v>0</v>
      </c>
      <c r="FQ2" s="43">
        <f t="shared" si="4"/>
        <v>0</v>
      </c>
      <c r="FR2" s="43">
        <f t="shared" si="4"/>
        <v>0</v>
      </c>
      <c r="FS2" s="43">
        <f t="shared" si="4"/>
        <v>0</v>
      </c>
      <c r="FV2" t="s">
        <v>346</v>
      </c>
      <c r="FW2" t="s">
        <v>347</v>
      </c>
    </row>
    <row r="3" spans="1:179" ht="19.5" customHeight="1" x14ac:dyDescent="0.35">
      <c r="A3" t="s">
        <v>348</v>
      </c>
      <c r="B3" s="36">
        <v>0</v>
      </c>
      <c r="C3" s="36">
        <v>0</v>
      </c>
      <c r="D3" s="36">
        <v>0</v>
      </c>
      <c r="E3" s="36">
        <v>0</v>
      </c>
      <c r="F3" s="36">
        <v>0</v>
      </c>
      <c r="G3" s="36">
        <v>0</v>
      </c>
      <c r="H3" s="36">
        <v>0</v>
      </c>
      <c r="I3" s="36">
        <v>0</v>
      </c>
      <c r="J3" s="36">
        <v>0</v>
      </c>
      <c r="K3" s="36">
        <v>0</v>
      </c>
      <c r="L3" s="36">
        <v>0</v>
      </c>
      <c r="M3" s="36">
        <v>0</v>
      </c>
      <c r="N3" s="36">
        <v>0</v>
      </c>
      <c r="O3" s="36">
        <v>0</v>
      </c>
      <c r="P3" s="36">
        <v>0</v>
      </c>
      <c r="Q3" s="36">
        <v>0</v>
      </c>
      <c r="R3" s="36">
        <v>0</v>
      </c>
      <c r="S3" s="36">
        <v>0</v>
      </c>
      <c r="T3" s="36">
        <v>0</v>
      </c>
      <c r="U3" s="36">
        <v>0</v>
      </c>
      <c r="V3" s="36">
        <v>0</v>
      </c>
      <c r="W3" s="36">
        <v>0</v>
      </c>
      <c r="X3" s="36">
        <v>0</v>
      </c>
      <c r="Y3" s="36">
        <v>0</v>
      </c>
      <c r="Z3" s="36">
        <v>0</v>
      </c>
      <c r="AA3" s="36">
        <v>0</v>
      </c>
      <c r="AB3" s="36">
        <v>0</v>
      </c>
      <c r="AC3" s="36">
        <v>0</v>
      </c>
      <c r="AD3" s="36">
        <v>0</v>
      </c>
      <c r="AE3" s="36">
        <v>0</v>
      </c>
      <c r="AF3" s="36">
        <v>0</v>
      </c>
      <c r="AG3" s="36">
        <v>0</v>
      </c>
      <c r="AH3" s="36">
        <v>0</v>
      </c>
      <c r="AI3" s="36">
        <v>0</v>
      </c>
      <c r="AJ3" s="36">
        <v>0</v>
      </c>
      <c r="AK3" s="36">
        <v>0</v>
      </c>
      <c r="AL3" s="36">
        <v>0</v>
      </c>
      <c r="AM3" s="36">
        <v>0</v>
      </c>
      <c r="AN3" s="36">
        <v>0</v>
      </c>
      <c r="AO3" s="36">
        <v>0</v>
      </c>
      <c r="AP3" s="36">
        <v>0</v>
      </c>
      <c r="AQ3" s="36">
        <v>0</v>
      </c>
      <c r="AR3" s="36">
        <v>0</v>
      </c>
      <c r="AS3" s="36">
        <v>0</v>
      </c>
      <c r="AT3" s="36">
        <v>0</v>
      </c>
      <c r="AU3" s="36">
        <v>0</v>
      </c>
      <c r="AV3" s="36">
        <v>0</v>
      </c>
      <c r="AW3" s="36">
        <v>0</v>
      </c>
      <c r="AX3" s="36">
        <v>0</v>
      </c>
      <c r="AY3" s="36">
        <v>0</v>
      </c>
      <c r="AZ3" s="36">
        <v>0</v>
      </c>
      <c r="BA3" s="36">
        <v>0</v>
      </c>
      <c r="BB3" s="36">
        <v>0</v>
      </c>
      <c r="BC3" s="36">
        <v>0</v>
      </c>
      <c r="BD3" s="36">
        <v>0</v>
      </c>
      <c r="BE3" s="36">
        <v>0</v>
      </c>
      <c r="BF3" s="36">
        <v>0</v>
      </c>
      <c r="BG3" s="36">
        <v>0</v>
      </c>
      <c r="BH3" s="36">
        <v>0</v>
      </c>
      <c r="BI3" s="36">
        <v>0</v>
      </c>
      <c r="BJ3" s="36">
        <v>0</v>
      </c>
      <c r="BK3" s="36">
        <v>0</v>
      </c>
      <c r="BL3" s="36">
        <v>0</v>
      </c>
      <c r="BM3" s="36">
        <v>0</v>
      </c>
      <c r="BN3" s="36">
        <v>0</v>
      </c>
      <c r="BO3" s="36">
        <v>0</v>
      </c>
      <c r="BP3" s="36">
        <v>0</v>
      </c>
      <c r="BQ3" s="36">
        <v>0</v>
      </c>
      <c r="BR3" s="36">
        <v>0</v>
      </c>
      <c r="BS3" s="36">
        <v>0</v>
      </c>
      <c r="BT3" s="36">
        <v>0</v>
      </c>
      <c r="BU3" s="36">
        <v>0</v>
      </c>
      <c r="BV3" s="36">
        <v>0</v>
      </c>
      <c r="BW3" s="36">
        <v>0</v>
      </c>
      <c r="BX3" s="36">
        <v>0</v>
      </c>
      <c r="BY3" s="36">
        <v>0</v>
      </c>
      <c r="BZ3" s="36">
        <v>0</v>
      </c>
      <c r="CA3" s="36">
        <v>0</v>
      </c>
      <c r="CB3" s="36">
        <v>0</v>
      </c>
      <c r="CC3" s="36">
        <v>0</v>
      </c>
      <c r="CD3" s="36">
        <v>0</v>
      </c>
      <c r="CE3" s="36">
        <v>0</v>
      </c>
      <c r="CF3" s="36">
        <v>0</v>
      </c>
      <c r="CG3" s="36">
        <v>0</v>
      </c>
      <c r="CH3" s="36">
        <v>0</v>
      </c>
      <c r="CI3" s="36">
        <v>0</v>
      </c>
      <c r="CJ3" s="36">
        <v>0</v>
      </c>
      <c r="CK3" s="36">
        <v>0</v>
      </c>
      <c r="CL3" s="36">
        <v>-1</v>
      </c>
      <c r="CM3" s="36">
        <v>0</v>
      </c>
      <c r="CN3" s="36">
        <v>0</v>
      </c>
      <c r="CO3" s="36">
        <v>0</v>
      </c>
      <c r="CP3" s="36">
        <v>1</v>
      </c>
      <c r="CQ3" s="36">
        <v>0</v>
      </c>
      <c r="CR3" s="36">
        <v>0</v>
      </c>
      <c r="CS3" s="36">
        <v>0</v>
      </c>
      <c r="CT3" s="36">
        <v>0</v>
      </c>
      <c r="CU3" s="36">
        <v>0</v>
      </c>
      <c r="CV3" s="36">
        <v>0</v>
      </c>
      <c r="CW3" s="36">
        <v>0</v>
      </c>
      <c r="CX3" s="36">
        <v>0</v>
      </c>
      <c r="CY3" s="36">
        <v>0</v>
      </c>
      <c r="CZ3" s="36">
        <v>0</v>
      </c>
      <c r="DA3" s="36">
        <v>0</v>
      </c>
      <c r="DB3" s="36">
        <v>0</v>
      </c>
      <c r="DC3" s="36">
        <v>-1</v>
      </c>
      <c r="DD3" s="36">
        <v>0</v>
      </c>
      <c r="DE3" s="36">
        <v>1</v>
      </c>
      <c r="DF3" s="36">
        <v>0</v>
      </c>
      <c r="DG3" s="36">
        <v>0</v>
      </c>
      <c r="DH3" s="36">
        <v>0</v>
      </c>
      <c r="DI3" s="36">
        <v>0</v>
      </c>
      <c r="DJ3" s="36">
        <v>0</v>
      </c>
      <c r="DK3" s="36">
        <v>1</v>
      </c>
      <c r="DL3" s="36">
        <v>-1</v>
      </c>
      <c r="DM3" s="36">
        <v>0</v>
      </c>
      <c r="DN3" s="36">
        <v>0</v>
      </c>
      <c r="DO3" s="36">
        <v>0</v>
      </c>
      <c r="DP3" s="36">
        <v>0</v>
      </c>
      <c r="DQ3" s="36">
        <v>0</v>
      </c>
      <c r="DR3" s="36">
        <v>0</v>
      </c>
      <c r="DS3" s="36">
        <v>0</v>
      </c>
      <c r="DT3" s="36">
        <v>0</v>
      </c>
      <c r="DU3" s="36">
        <v>-1</v>
      </c>
      <c r="DV3" s="36">
        <v>0</v>
      </c>
      <c r="DW3" s="36">
        <v>0</v>
      </c>
      <c r="DX3" s="36">
        <v>0</v>
      </c>
      <c r="DY3" s="36">
        <v>0</v>
      </c>
      <c r="DZ3" s="36">
        <v>0</v>
      </c>
      <c r="EA3" s="36">
        <v>0</v>
      </c>
      <c r="EB3" s="36">
        <v>0</v>
      </c>
      <c r="EC3" s="36">
        <v>0</v>
      </c>
      <c r="ED3" s="36">
        <v>0</v>
      </c>
      <c r="EE3" s="36">
        <v>0</v>
      </c>
      <c r="EF3" s="36">
        <v>0</v>
      </c>
      <c r="EG3" s="36">
        <v>0</v>
      </c>
      <c r="EH3" s="36">
        <v>0</v>
      </c>
      <c r="EI3" s="36">
        <v>0</v>
      </c>
      <c r="EJ3" s="36">
        <v>0</v>
      </c>
      <c r="EK3" s="36">
        <v>0</v>
      </c>
      <c r="EL3" s="36">
        <v>0</v>
      </c>
      <c r="EM3" s="36">
        <v>0</v>
      </c>
      <c r="EN3" s="36">
        <v>0</v>
      </c>
      <c r="EO3" s="36">
        <v>0</v>
      </c>
      <c r="EP3" s="36">
        <v>0</v>
      </c>
      <c r="ET3" t="s">
        <v>349</v>
      </c>
      <c r="EU3" t="s">
        <v>350</v>
      </c>
      <c r="EV3" s="36">
        <v>-5</v>
      </c>
      <c r="EW3" s="36">
        <v>26</v>
      </c>
      <c r="EX3" s="36">
        <v>37</v>
      </c>
      <c r="EY3" s="36">
        <v>7</v>
      </c>
      <c r="EZ3" s="36">
        <v>20</v>
      </c>
      <c r="FA3" s="36">
        <v>3</v>
      </c>
      <c r="FB3" s="36">
        <v>1</v>
      </c>
      <c r="FC3" s="42">
        <f t="shared" si="0"/>
        <v>98</v>
      </c>
      <c r="FE3">
        <f t="shared" si="1"/>
        <v>6.2307692307692308</v>
      </c>
      <c r="FF3">
        <f t="shared" si="2"/>
        <v>4.0769230769230766</v>
      </c>
      <c r="FG3">
        <f t="shared" si="3"/>
        <v>4.884615384615385</v>
      </c>
      <c r="FM3" s="43">
        <f t="shared" si="4"/>
        <v>0</v>
      </c>
      <c r="FN3" s="43">
        <f t="shared" si="4"/>
        <v>0</v>
      </c>
      <c r="FO3" s="43">
        <f t="shared" si="4"/>
        <v>0</v>
      </c>
      <c r="FP3" s="43">
        <f t="shared" si="4"/>
        <v>0</v>
      </c>
      <c r="FQ3" s="43">
        <f t="shared" si="4"/>
        <v>0</v>
      </c>
      <c r="FR3" s="43">
        <f t="shared" si="4"/>
        <v>0</v>
      </c>
      <c r="FS3" s="43">
        <f t="shared" si="4"/>
        <v>0</v>
      </c>
      <c r="FV3" t="s">
        <v>351</v>
      </c>
      <c r="FW3" t="s">
        <v>352</v>
      </c>
    </row>
    <row r="4" spans="1:179" ht="19.5" customHeight="1" x14ac:dyDescent="0.35">
      <c r="A4" t="s">
        <v>353</v>
      </c>
      <c r="B4" s="36">
        <v>0</v>
      </c>
      <c r="C4" s="36">
        <v>0</v>
      </c>
      <c r="D4" s="36">
        <v>0</v>
      </c>
      <c r="E4" s="36">
        <v>0</v>
      </c>
      <c r="F4" s="36">
        <v>0</v>
      </c>
      <c r="G4" s="36">
        <v>0</v>
      </c>
      <c r="H4" s="36">
        <v>0</v>
      </c>
      <c r="I4" s="36">
        <v>0</v>
      </c>
      <c r="J4" s="36">
        <v>0</v>
      </c>
      <c r="K4" s="36">
        <v>0</v>
      </c>
      <c r="L4" s="36">
        <v>0</v>
      </c>
      <c r="M4" s="36">
        <v>0</v>
      </c>
      <c r="N4" s="36">
        <v>0</v>
      </c>
      <c r="O4" s="36">
        <v>0</v>
      </c>
      <c r="P4" s="36">
        <v>0</v>
      </c>
      <c r="Q4" s="36">
        <v>0</v>
      </c>
      <c r="R4" s="36">
        <v>0</v>
      </c>
      <c r="S4" s="36">
        <v>0</v>
      </c>
      <c r="T4" s="36">
        <v>0</v>
      </c>
      <c r="U4" s="36">
        <v>0</v>
      </c>
      <c r="V4" s="36">
        <v>0</v>
      </c>
      <c r="W4" s="36">
        <v>0</v>
      </c>
      <c r="X4" s="36">
        <v>0</v>
      </c>
      <c r="Y4" s="36">
        <v>0</v>
      </c>
      <c r="Z4" s="36">
        <v>0</v>
      </c>
      <c r="AA4" s="36">
        <v>0</v>
      </c>
      <c r="AB4" s="36">
        <v>0</v>
      </c>
      <c r="AC4" s="36">
        <v>0</v>
      </c>
      <c r="AD4" s="36">
        <v>0</v>
      </c>
      <c r="AE4" s="36">
        <v>0</v>
      </c>
      <c r="AF4" s="36">
        <v>0</v>
      </c>
      <c r="AG4" s="36">
        <v>0</v>
      </c>
      <c r="AH4" s="36">
        <v>0</v>
      </c>
      <c r="AI4" s="36">
        <v>0</v>
      </c>
      <c r="AJ4" s="36">
        <v>0</v>
      </c>
      <c r="AK4" s="36">
        <v>0</v>
      </c>
      <c r="AL4" s="36">
        <v>0</v>
      </c>
      <c r="AM4" s="36">
        <v>0</v>
      </c>
      <c r="AN4" s="36">
        <v>0</v>
      </c>
      <c r="AO4" s="36">
        <v>0</v>
      </c>
      <c r="AP4" s="36">
        <v>0</v>
      </c>
      <c r="AQ4" s="36">
        <v>0</v>
      </c>
      <c r="AR4" s="36">
        <v>0</v>
      </c>
      <c r="AS4" s="36">
        <v>0</v>
      </c>
      <c r="AT4" s="36">
        <v>0</v>
      </c>
      <c r="AU4" s="36">
        <v>0</v>
      </c>
      <c r="AV4" s="36">
        <v>0</v>
      </c>
      <c r="AW4" s="36">
        <v>0</v>
      </c>
      <c r="AX4" s="36">
        <v>0</v>
      </c>
      <c r="AY4" s="36">
        <v>0</v>
      </c>
      <c r="AZ4" s="36">
        <v>0</v>
      </c>
      <c r="BA4" s="36">
        <v>0</v>
      </c>
      <c r="BB4" s="36">
        <v>0</v>
      </c>
      <c r="BC4" s="36">
        <v>0</v>
      </c>
      <c r="BD4" s="36">
        <v>0</v>
      </c>
      <c r="BE4" s="36">
        <v>0</v>
      </c>
      <c r="BF4" s="36">
        <v>0</v>
      </c>
      <c r="BG4" s="36">
        <v>0</v>
      </c>
      <c r="BH4" s="36">
        <v>0</v>
      </c>
      <c r="BI4" s="36">
        <v>0</v>
      </c>
      <c r="BJ4" s="36">
        <v>0</v>
      </c>
      <c r="BK4" s="36">
        <v>0</v>
      </c>
      <c r="BL4" s="36">
        <v>0</v>
      </c>
      <c r="BM4" s="36">
        <v>0</v>
      </c>
      <c r="BN4" s="36">
        <v>0</v>
      </c>
      <c r="BO4" s="36">
        <v>0</v>
      </c>
      <c r="BP4" s="36">
        <v>0</v>
      </c>
      <c r="BQ4" s="36">
        <v>0</v>
      </c>
      <c r="BR4" s="36">
        <v>0</v>
      </c>
      <c r="BS4" s="36">
        <v>0</v>
      </c>
      <c r="BT4" s="36">
        <v>0</v>
      </c>
      <c r="BU4" s="36">
        <v>0</v>
      </c>
      <c r="BV4" s="36">
        <v>1</v>
      </c>
      <c r="BW4" s="36">
        <v>0</v>
      </c>
      <c r="BX4" s="36">
        <v>0</v>
      </c>
      <c r="BY4" s="36">
        <v>0</v>
      </c>
      <c r="BZ4" s="36">
        <v>0</v>
      </c>
      <c r="CA4" s="36">
        <v>0</v>
      </c>
      <c r="CB4" s="36">
        <v>0</v>
      </c>
      <c r="CC4" s="36">
        <v>0</v>
      </c>
      <c r="CD4" s="36">
        <v>0</v>
      </c>
      <c r="CE4" s="36">
        <v>0</v>
      </c>
      <c r="CF4" s="36">
        <v>0</v>
      </c>
      <c r="CG4" s="36">
        <v>0</v>
      </c>
      <c r="CH4" s="36">
        <v>0</v>
      </c>
      <c r="CI4" s="36">
        <v>0</v>
      </c>
      <c r="CJ4" s="36">
        <v>0</v>
      </c>
      <c r="CK4" s="36">
        <v>0</v>
      </c>
      <c r="CL4" s="36">
        <v>0</v>
      </c>
      <c r="CM4" s="36">
        <v>0</v>
      </c>
      <c r="CN4" s="36">
        <v>0</v>
      </c>
      <c r="CO4" s="36">
        <v>0</v>
      </c>
      <c r="CP4" s="36">
        <v>1</v>
      </c>
      <c r="CQ4" s="36">
        <v>0</v>
      </c>
      <c r="CR4" s="36">
        <v>0</v>
      </c>
      <c r="CS4" s="36">
        <v>0</v>
      </c>
      <c r="CT4" s="36">
        <v>0</v>
      </c>
      <c r="CU4" s="36">
        <v>0</v>
      </c>
      <c r="CV4" s="36">
        <v>0</v>
      </c>
      <c r="CW4" s="36">
        <v>0</v>
      </c>
      <c r="CX4" s="36">
        <v>0</v>
      </c>
      <c r="CY4" s="36">
        <v>0</v>
      </c>
      <c r="CZ4" s="36">
        <v>0</v>
      </c>
      <c r="DA4" s="36">
        <v>0</v>
      </c>
      <c r="DB4" s="36">
        <v>0</v>
      </c>
      <c r="DC4" s="36">
        <v>-1</v>
      </c>
      <c r="DD4" s="36">
        <v>0</v>
      </c>
      <c r="DE4" s="36">
        <v>0</v>
      </c>
      <c r="DF4" s="36">
        <v>0</v>
      </c>
      <c r="DG4" s="36">
        <v>0</v>
      </c>
      <c r="DH4" s="36">
        <v>0</v>
      </c>
      <c r="DI4" s="36">
        <v>0</v>
      </c>
      <c r="DJ4" s="36">
        <v>0</v>
      </c>
      <c r="DK4" s="36">
        <v>0</v>
      </c>
      <c r="DL4" s="36">
        <v>0</v>
      </c>
      <c r="DM4" s="36">
        <v>0</v>
      </c>
      <c r="DN4" s="36">
        <v>0</v>
      </c>
      <c r="DO4" s="36">
        <v>0</v>
      </c>
      <c r="DP4" s="36">
        <v>0</v>
      </c>
      <c r="DQ4" s="36">
        <v>0</v>
      </c>
      <c r="DR4" s="36">
        <v>0</v>
      </c>
      <c r="DS4" s="36">
        <v>0</v>
      </c>
      <c r="DT4" s="36">
        <v>0</v>
      </c>
      <c r="DU4" s="36">
        <v>-1</v>
      </c>
      <c r="DV4" s="36">
        <v>0</v>
      </c>
      <c r="DW4" s="36">
        <v>0</v>
      </c>
      <c r="DX4" s="36">
        <v>0</v>
      </c>
      <c r="DY4" s="36">
        <v>0</v>
      </c>
      <c r="DZ4" s="36">
        <v>0</v>
      </c>
      <c r="EA4" s="36">
        <v>0</v>
      </c>
      <c r="EB4" s="36">
        <v>0</v>
      </c>
      <c r="EC4" s="36">
        <v>0</v>
      </c>
      <c r="ED4" s="36">
        <v>0</v>
      </c>
      <c r="EE4" s="36">
        <v>0</v>
      </c>
      <c r="EF4" s="36">
        <v>0</v>
      </c>
      <c r="EG4" s="36">
        <v>0</v>
      </c>
      <c r="EH4" s="36">
        <v>0</v>
      </c>
      <c r="EI4" s="36">
        <v>0</v>
      </c>
      <c r="EJ4" s="36">
        <v>0</v>
      </c>
      <c r="EK4" s="36">
        <v>0</v>
      </c>
      <c r="EL4" s="36">
        <v>0</v>
      </c>
      <c r="EM4" s="36">
        <v>0</v>
      </c>
      <c r="EN4" s="36">
        <v>0</v>
      </c>
      <c r="EO4" s="36">
        <v>0</v>
      </c>
      <c r="EP4" s="36">
        <v>0</v>
      </c>
      <c r="ET4" t="s">
        <v>354</v>
      </c>
      <c r="EU4" t="s">
        <v>345</v>
      </c>
      <c r="EV4" s="36">
        <v>-5</v>
      </c>
      <c r="EW4" s="36">
        <v>26</v>
      </c>
      <c r="EX4" s="36">
        <v>37</v>
      </c>
      <c r="EY4" s="36">
        <v>7</v>
      </c>
      <c r="EZ4" s="36">
        <v>19</v>
      </c>
      <c r="FA4" s="36">
        <v>3</v>
      </c>
      <c r="FB4" s="36">
        <v>1</v>
      </c>
      <c r="FC4" s="42">
        <f t="shared" si="0"/>
        <v>100</v>
      </c>
      <c r="FE4">
        <f t="shared" si="1"/>
        <v>6.3076923076923075</v>
      </c>
      <c r="FF4">
        <f t="shared" si="2"/>
        <v>4.1538461538461542</v>
      </c>
      <c r="FG4">
        <f t="shared" si="3"/>
        <v>4.9615384615384617</v>
      </c>
      <c r="FM4" s="43">
        <f t="shared" si="4"/>
        <v>0</v>
      </c>
      <c r="FN4" s="43">
        <f t="shared" si="4"/>
        <v>0</v>
      </c>
      <c r="FO4" s="43">
        <f t="shared" si="4"/>
        <v>0</v>
      </c>
      <c r="FP4" s="43">
        <f t="shared" si="4"/>
        <v>0</v>
      </c>
      <c r="FQ4" s="43">
        <f t="shared" si="4"/>
        <v>0</v>
      </c>
      <c r="FR4" s="43">
        <f t="shared" si="4"/>
        <v>0</v>
      </c>
      <c r="FS4" s="43">
        <f t="shared" si="4"/>
        <v>0</v>
      </c>
      <c r="FV4" t="s">
        <v>355</v>
      </c>
      <c r="FW4" t="s">
        <v>356</v>
      </c>
    </row>
    <row r="5" spans="1:179" ht="19.5" customHeight="1" x14ac:dyDescent="0.35">
      <c r="A5" t="s">
        <v>357</v>
      </c>
      <c r="B5" s="36">
        <v>0</v>
      </c>
      <c r="C5" s="36">
        <v>0</v>
      </c>
      <c r="D5" s="36">
        <v>0</v>
      </c>
      <c r="E5" s="36">
        <v>0</v>
      </c>
      <c r="F5" s="36">
        <v>0</v>
      </c>
      <c r="G5" s="36">
        <v>0</v>
      </c>
      <c r="H5" s="36">
        <v>0</v>
      </c>
      <c r="I5" s="36">
        <v>0</v>
      </c>
      <c r="J5" s="36">
        <v>0</v>
      </c>
      <c r="K5" s="36">
        <v>0</v>
      </c>
      <c r="L5" s="36">
        <v>0</v>
      </c>
      <c r="M5" s="36">
        <v>0</v>
      </c>
      <c r="N5" s="36">
        <v>0</v>
      </c>
      <c r="O5" s="36">
        <v>0</v>
      </c>
      <c r="P5" s="36">
        <v>0</v>
      </c>
      <c r="Q5" s="36">
        <v>0</v>
      </c>
      <c r="R5" s="36">
        <v>0</v>
      </c>
      <c r="S5" s="36">
        <v>0</v>
      </c>
      <c r="T5" s="36">
        <v>0</v>
      </c>
      <c r="U5" s="36">
        <v>0</v>
      </c>
      <c r="V5" s="36">
        <v>0</v>
      </c>
      <c r="W5" s="36">
        <v>0</v>
      </c>
      <c r="X5" s="36">
        <v>0</v>
      </c>
      <c r="Y5" s="36">
        <v>0</v>
      </c>
      <c r="Z5" s="36">
        <v>0</v>
      </c>
      <c r="AA5" s="36">
        <v>0</v>
      </c>
      <c r="AB5" s="36">
        <v>0</v>
      </c>
      <c r="AC5" s="36">
        <v>0</v>
      </c>
      <c r="AD5" s="36">
        <v>0</v>
      </c>
      <c r="AE5" s="36">
        <v>0</v>
      </c>
      <c r="AF5" s="36">
        <v>0</v>
      </c>
      <c r="AG5" s="36">
        <v>0</v>
      </c>
      <c r="AH5" s="36">
        <v>0</v>
      </c>
      <c r="AI5" s="36">
        <v>0</v>
      </c>
      <c r="AJ5" s="36">
        <v>0</v>
      </c>
      <c r="AK5" s="36">
        <v>0</v>
      </c>
      <c r="AL5" s="36">
        <v>0</v>
      </c>
      <c r="AM5" s="36">
        <v>0</v>
      </c>
      <c r="AN5" s="36">
        <v>0</v>
      </c>
      <c r="AO5" s="36">
        <v>0</v>
      </c>
      <c r="AP5" s="36">
        <v>0</v>
      </c>
      <c r="AQ5" s="36">
        <v>0</v>
      </c>
      <c r="AR5" s="36">
        <v>0</v>
      </c>
      <c r="AS5" s="36">
        <v>0</v>
      </c>
      <c r="AT5" s="36">
        <v>0</v>
      </c>
      <c r="AU5" s="36">
        <v>0</v>
      </c>
      <c r="AV5" s="36">
        <v>0</v>
      </c>
      <c r="AW5" s="36">
        <v>0</v>
      </c>
      <c r="AX5" s="36">
        <v>0</v>
      </c>
      <c r="AY5" s="36">
        <v>0</v>
      </c>
      <c r="AZ5" s="36">
        <v>0</v>
      </c>
      <c r="BA5" s="36">
        <v>0</v>
      </c>
      <c r="BB5" s="36">
        <v>0</v>
      </c>
      <c r="BC5" s="36">
        <v>0</v>
      </c>
      <c r="BD5" s="36">
        <v>0</v>
      </c>
      <c r="BE5" s="36">
        <v>-2</v>
      </c>
      <c r="BF5" s="36">
        <v>2</v>
      </c>
      <c r="BG5" s="36">
        <v>0</v>
      </c>
      <c r="BH5" s="36">
        <v>0</v>
      </c>
      <c r="BI5" s="36">
        <v>0</v>
      </c>
      <c r="BJ5" s="36">
        <v>0</v>
      </c>
      <c r="BK5" s="36">
        <v>0</v>
      </c>
      <c r="BL5" s="36">
        <v>0</v>
      </c>
      <c r="BM5" s="36">
        <v>0</v>
      </c>
      <c r="BN5" s="36">
        <v>0</v>
      </c>
      <c r="BO5" s="36">
        <v>0</v>
      </c>
      <c r="BP5" s="36">
        <v>0</v>
      </c>
      <c r="BQ5" s="36">
        <v>0</v>
      </c>
      <c r="BR5" s="36">
        <v>0</v>
      </c>
      <c r="BS5" s="36">
        <v>0</v>
      </c>
      <c r="BT5" s="36">
        <v>0</v>
      </c>
      <c r="BU5" s="36">
        <v>0</v>
      </c>
      <c r="BV5" s="36">
        <v>1</v>
      </c>
      <c r="BW5" s="36">
        <v>0</v>
      </c>
      <c r="BX5" s="36">
        <v>0</v>
      </c>
      <c r="BY5" s="36">
        <v>0</v>
      </c>
      <c r="BZ5" s="36">
        <v>0</v>
      </c>
      <c r="CA5" s="36">
        <v>0</v>
      </c>
      <c r="CB5" s="36">
        <v>0</v>
      </c>
      <c r="CC5" s="36">
        <v>0</v>
      </c>
      <c r="CD5" s="36">
        <v>0</v>
      </c>
      <c r="CE5" s="36">
        <v>0</v>
      </c>
      <c r="CF5" s="36">
        <v>0</v>
      </c>
      <c r="CG5" s="36">
        <v>0</v>
      </c>
      <c r="CH5" s="36">
        <v>0</v>
      </c>
      <c r="CI5" s="36">
        <v>0</v>
      </c>
      <c r="CJ5" s="36">
        <v>0</v>
      </c>
      <c r="CK5" s="36">
        <v>2</v>
      </c>
      <c r="CL5" s="36">
        <v>0</v>
      </c>
      <c r="CM5" s="36">
        <v>0</v>
      </c>
      <c r="CN5" s="36">
        <v>0</v>
      </c>
      <c r="CO5" s="36">
        <v>0</v>
      </c>
      <c r="CP5" s="36">
        <v>0</v>
      </c>
      <c r="CQ5" s="36">
        <v>0</v>
      </c>
      <c r="CR5" s="36">
        <v>0</v>
      </c>
      <c r="CS5" s="36">
        <v>0</v>
      </c>
      <c r="CT5" s="36">
        <v>0</v>
      </c>
      <c r="CU5" s="36">
        <v>0</v>
      </c>
      <c r="CV5" s="36">
        <v>0</v>
      </c>
      <c r="CW5" s="36">
        <v>0</v>
      </c>
      <c r="CX5" s="36">
        <v>0</v>
      </c>
      <c r="CY5" s="36">
        <v>0</v>
      </c>
      <c r="CZ5" s="36">
        <v>0</v>
      </c>
      <c r="DA5" s="36">
        <v>0</v>
      </c>
      <c r="DB5" s="36">
        <v>0</v>
      </c>
      <c r="DC5" s="36">
        <v>0</v>
      </c>
      <c r="DD5" s="36">
        <v>0</v>
      </c>
      <c r="DE5" s="36">
        <v>-1</v>
      </c>
      <c r="DF5" s="36">
        <v>0</v>
      </c>
      <c r="DG5" s="36">
        <v>0</v>
      </c>
      <c r="DH5" s="36">
        <v>0</v>
      </c>
      <c r="DI5" s="36">
        <v>0</v>
      </c>
      <c r="DJ5" s="36">
        <v>0</v>
      </c>
      <c r="DK5" s="36">
        <v>0</v>
      </c>
      <c r="DL5" s="36">
        <v>0</v>
      </c>
      <c r="DM5" s="36">
        <v>0</v>
      </c>
      <c r="DN5" s="36">
        <v>0</v>
      </c>
      <c r="DO5" s="36">
        <v>0</v>
      </c>
      <c r="DP5" s="36">
        <v>0</v>
      </c>
      <c r="DQ5" s="36">
        <v>0</v>
      </c>
      <c r="DR5" s="36">
        <v>0</v>
      </c>
      <c r="DS5" s="36">
        <v>0</v>
      </c>
      <c r="DT5" s="36">
        <v>0</v>
      </c>
      <c r="DU5" s="36">
        <v>0</v>
      </c>
      <c r="DV5" s="36">
        <v>0</v>
      </c>
      <c r="DW5" s="36">
        <v>0</v>
      </c>
      <c r="DX5" s="36">
        <v>0</v>
      </c>
      <c r="DY5" s="36">
        <v>0</v>
      </c>
      <c r="DZ5" s="36">
        <v>0</v>
      </c>
      <c r="EA5" s="36">
        <v>0</v>
      </c>
      <c r="EB5" s="36">
        <v>0</v>
      </c>
      <c r="EC5" s="36">
        <v>0</v>
      </c>
      <c r="ED5" s="36">
        <v>0</v>
      </c>
      <c r="EE5" s="36">
        <v>0</v>
      </c>
      <c r="EF5" s="36">
        <v>0</v>
      </c>
      <c r="EG5" s="36">
        <v>0</v>
      </c>
      <c r="EH5" s="36">
        <v>0</v>
      </c>
      <c r="EI5" s="36">
        <v>0</v>
      </c>
      <c r="EJ5" s="36">
        <v>0</v>
      </c>
      <c r="EK5" s="36">
        <v>0</v>
      </c>
      <c r="EL5" s="36">
        <v>0</v>
      </c>
      <c r="EM5" s="36">
        <v>0</v>
      </c>
      <c r="EN5" s="36">
        <v>0</v>
      </c>
      <c r="EO5" s="36">
        <v>0</v>
      </c>
      <c r="EP5" s="36">
        <v>0</v>
      </c>
      <c r="ET5" t="s">
        <v>358</v>
      </c>
      <c r="EU5" t="s">
        <v>345</v>
      </c>
      <c r="EV5" s="36">
        <v>-5</v>
      </c>
      <c r="EW5" s="36">
        <v>26</v>
      </c>
      <c r="EX5" s="36">
        <v>37</v>
      </c>
      <c r="EY5" s="36">
        <v>7</v>
      </c>
      <c r="EZ5" s="36">
        <v>19</v>
      </c>
      <c r="FA5" s="36">
        <v>3</v>
      </c>
      <c r="FB5" s="36">
        <v>1</v>
      </c>
      <c r="FC5" s="42">
        <f t="shared" si="0"/>
        <v>100</v>
      </c>
      <c r="FE5">
        <f t="shared" si="1"/>
        <v>6.3076923076923075</v>
      </c>
      <c r="FF5">
        <f t="shared" si="2"/>
        <v>4.1538461538461542</v>
      </c>
      <c r="FG5">
        <f t="shared" si="3"/>
        <v>4.9615384615384617</v>
      </c>
      <c r="FM5" s="43">
        <f t="shared" si="4"/>
        <v>0</v>
      </c>
      <c r="FN5" s="43">
        <f t="shared" si="4"/>
        <v>0</v>
      </c>
      <c r="FO5" s="43">
        <f t="shared" si="4"/>
        <v>0</v>
      </c>
      <c r="FP5" s="43">
        <f t="shared" si="4"/>
        <v>0</v>
      </c>
      <c r="FQ5" s="43">
        <f t="shared" si="4"/>
        <v>0</v>
      </c>
      <c r="FR5" s="43">
        <f t="shared" si="4"/>
        <v>0</v>
      </c>
      <c r="FS5" s="43">
        <f t="shared" si="4"/>
        <v>0</v>
      </c>
      <c r="FV5" t="s">
        <v>359</v>
      </c>
      <c r="FW5" t="s">
        <v>360</v>
      </c>
    </row>
    <row r="6" spans="1:179" ht="19.5" customHeight="1" x14ac:dyDescent="0.35">
      <c r="A6" t="s">
        <v>361</v>
      </c>
      <c r="B6" s="36">
        <v>0</v>
      </c>
      <c r="C6" s="36">
        <v>0</v>
      </c>
      <c r="D6" s="36">
        <v>0</v>
      </c>
      <c r="E6" s="36">
        <v>0</v>
      </c>
      <c r="F6" s="36">
        <v>0</v>
      </c>
      <c r="G6" s="36">
        <v>0</v>
      </c>
      <c r="H6" s="36">
        <v>0</v>
      </c>
      <c r="I6" s="36">
        <v>0</v>
      </c>
      <c r="J6" s="36">
        <v>0</v>
      </c>
      <c r="K6" s="36">
        <v>0</v>
      </c>
      <c r="L6" s="36">
        <v>0</v>
      </c>
      <c r="M6" s="36">
        <v>0</v>
      </c>
      <c r="N6" s="36">
        <v>0</v>
      </c>
      <c r="O6" s="36">
        <v>0</v>
      </c>
      <c r="P6" s="36">
        <v>0</v>
      </c>
      <c r="Q6" s="36">
        <v>0</v>
      </c>
      <c r="R6" s="36">
        <v>0</v>
      </c>
      <c r="S6" s="36">
        <v>0</v>
      </c>
      <c r="T6" s="36">
        <v>0</v>
      </c>
      <c r="U6" s="36">
        <v>0</v>
      </c>
      <c r="V6" s="36">
        <v>0</v>
      </c>
      <c r="W6" s="36">
        <v>0</v>
      </c>
      <c r="X6" s="36">
        <v>0</v>
      </c>
      <c r="Y6" s="36">
        <v>0</v>
      </c>
      <c r="Z6" s="36">
        <v>0</v>
      </c>
      <c r="AA6" s="36">
        <v>0</v>
      </c>
      <c r="AB6" s="36">
        <v>0</v>
      </c>
      <c r="AC6" s="36">
        <v>0</v>
      </c>
      <c r="AD6" s="36">
        <v>0</v>
      </c>
      <c r="AE6" s="36">
        <v>0</v>
      </c>
      <c r="AF6" s="36">
        <v>0</v>
      </c>
      <c r="AG6" s="36">
        <v>0</v>
      </c>
      <c r="AH6" s="36">
        <v>0</v>
      </c>
      <c r="AI6" s="36">
        <v>0</v>
      </c>
      <c r="AJ6" s="36">
        <v>0</v>
      </c>
      <c r="AK6" s="36">
        <v>0</v>
      </c>
      <c r="AL6" s="36">
        <v>0</v>
      </c>
      <c r="AM6" s="36">
        <v>0</v>
      </c>
      <c r="AN6" s="36">
        <v>0</v>
      </c>
      <c r="AO6" s="36">
        <v>0</v>
      </c>
      <c r="AP6" s="36">
        <v>0</v>
      </c>
      <c r="AQ6" s="36">
        <v>0</v>
      </c>
      <c r="AR6" s="36">
        <v>0</v>
      </c>
      <c r="AS6" s="36">
        <v>0</v>
      </c>
      <c r="AT6" s="36">
        <v>0</v>
      </c>
      <c r="AU6" s="36">
        <v>0</v>
      </c>
      <c r="AV6" s="36">
        <v>0</v>
      </c>
      <c r="AW6" s="36">
        <v>0</v>
      </c>
      <c r="AX6" s="36">
        <v>0</v>
      </c>
      <c r="AY6" s="36">
        <v>0</v>
      </c>
      <c r="AZ6" s="36">
        <v>0</v>
      </c>
      <c r="BA6" s="36">
        <v>0</v>
      </c>
      <c r="BB6" s="36">
        <v>0</v>
      </c>
      <c r="BC6" s="36">
        <v>0</v>
      </c>
      <c r="BD6" s="36">
        <v>0</v>
      </c>
      <c r="BE6" s="36">
        <v>0</v>
      </c>
      <c r="BF6" s="36">
        <v>0</v>
      </c>
      <c r="BG6" s="36">
        <v>0</v>
      </c>
      <c r="BH6" s="36">
        <v>0</v>
      </c>
      <c r="BI6" s="36">
        <v>0</v>
      </c>
      <c r="BJ6" s="36">
        <v>0</v>
      </c>
      <c r="BK6" s="36">
        <v>0</v>
      </c>
      <c r="BL6" s="36">
        <v>0</v>
      </c>
      <c r="BM6" s="36">
        <v>0</v>
      </c>
      <c r="BN6" s="36">
        <v>0</v>
      </c>
      <c r="BO6" s="36">
        <v>0</v>
      </c>
      <c r="BP6" s="36">
        <v>0</v>
      </c>
      <c r="BQ6" s="36">
        <v>0</v>
      </c>
      <c r="BR6" s="36">
        <v>0</v>
      </c>
      <c r="BS6" s="36">
        <v>0</v>
      </c>
      <c r="BT6" s="36">
        <v>0</v>
      </c>
      <c r="BU6" s="36">
        <v>0</v>
      </c>
      <c r="BV6" s="36">
        <v>-1</v>
      </c>
      <c r="BW6" s="36">
        <v>0</v>
      </c>
      <c r="BX6" s="36">
        <v>1</v>
      </c>
      <c r="BY6" s="36">
        <v>0</v>
      </c>
      <c r="BZ6" s="36">
        <v>0</v>
      </c>
      <c r="CA6" s="36">
        <v>0</v>
      </c>
      <c r="CB6" s="36">
        <v>0</v>
      </c>
      <c r="CC6" s="36">
        <v>0</v>
      </c>
      <c r="CD6" s="36">
        <v>0</v>
      </c>
      <c r="CE6" s="36">
        <v>0</v>
      </c>
      <c r="CF6" s="36">
        <v>0</v>
      </c>
      <c r="CG6" s="36">
        <v>0</v>
      </c>
      <c r="CH6" s="36">
        <v>0</v>
      </c>
      <c r="CI6" s="36">
        <v>0</v>
      </c>
      <c r="CJ6" s="36">
        <v>0</v>
      </c>
      <c r="CK6" s="36">
        <v>0</v>
      </c>
      <c r="CL6" s="36">
        <v>2</v>
      </c>
      <c r="CM6" s="36">
        <v>0</v>
      </c>
      <c r="CN6" s="36">
        <v>0</v>
      </c>
      <c r="CO6" s="36">
        <v>0</v>
      </c>
      <c r="CP6" s="36">
        <v>-1</v>
      </c>
      <c r="CQ6" s="36">
        <v>0</v>
      </c>
      <c r="CR6" s="36">
        <v>0</v>
      </c>
      <c r="CS6" s="36">
        <v>0</v>
      </c>
      <c r="CT6" s="36">
        <v>0</v>
      </c>
      <c r="CU6" s="36">
        <v>0</v>
      </c>
      <c r="CV6" s="36">
        <v>0</v>
      </c>
      <c r="CW6" s="36">
        <v>0</v>
      </c>
      <c r="CX6" s="36">
        <v>0</v>
      </c>
      <c r="CY6" s="36">
        <v>0</v>
      </c>
      <c r="CZ6" s="36">
        <v>0</v>
      </c>
      <c r="DA6" s="36">
        <v>0</v>
      </c>
      <c r="DB6" s="36">
        <v>0</v>
      </c>
      <c r="DC6" s="36">
        <v>0</v>
      </c>
      <c r="DD6" s="36">
        <v>0</v>
      </c>
      <c r="DE6" s="36">
        <v>0</v>
      </c>
      <c r="DF6" s="36">
        <v>0</v>
      </c>
      <c r="DG6" s="36">
        <v>0</v>
      </c>
      <c r="DH6" s="36">
        <v>0</v>
      </c>
      <c r="DI6" s="36">
        <v>0</v>
      </c>
      <c r="DJ6" s="36">
        <v>0</v>
      </c>
      <c r="DK6" s="36">
        <v>-1</v>
      </c>
      <c r="DL6" s="36">
        <v>1</v>
      </c>
      <c r="DM6" s="36">
        <v>0</v>
      </c>
      <c r="DN6" s="36">
        <v>0</v>
      </c>
      <c r="DO6" s="36">
        <v>0</v>
      </c>
      <c r="DP6" s="36">
        <v>0</v>
      </c>
      <c r="DQ6" s="36">
        <v>0</v>
      </c>
      <c r="DR6" s="36">
        <v>0</v>
      </c>
      <c r="DS6" s="36">
        <v>0</v>
      </c>
      <c r="DT6" s="36">
        <v>0</v>
      </c>
      <c r="DU6" s="36">
        <v>0</v>
      </c>
      <c r="DV6" s="36">
        <v>0</v>
      </c>
      <c r="DW6" s="36">
        <v>0</v>
      </c>
      <c r="DX6" s="36">
        <v>0</v>
      </c>
      <c r="DY6" s="36">
        <v>0</v>
      </c>
      <c r="DZ6" s="36">
        <v>0</v>
      </c>
      <c r="EA6" s="36">
        <v>0</v>
      </c>
      <c r="EB6" s="36">
        <v>0</v>
      </c>
      <c r="EC6" s="36">
        <v>0</v>
      </c>
      <c r="ED6" s="36">
        <v>0</v>
      </c>
      <c r="EE6" s="36">
        <v>0</v>
      </c>
      <c r="EF6" s="36">
        <v>0</v>
      </c>
      <c r="EG6" s="36">
        <v>0</v>
      </c>
      <c r="EH6" s="36">
        <v>0</v>
      </c>
      <c r="EI6" s="36">
        <v>0</v>
      </c>
      <c r="EJ6" s="36">
        <v>0</v>
      </c>
      <c r="EK6" s="36">
        <v>0</v>
      </c>
      <c r="EL6" s="36">
        <v>0</v>
      </c>
      <c r="EM6" s="36">
        <v>0</v>
      </c>
      <c r="EN6" s="36">
        <v>0</v>
      </c>
      <c r="EO6" s="36">
        <v>0</v>
      </c>
      <c r="EP6" s="36">
        <v>0</v>
      </c>
      <c r="ET6" t="s">
        <v>362</v>
      </c>
      <c r="EU6" t="s">
        <v>363</v>
      </c>
      <c r="EV6" s="36">
        <v>-4</v>
      </c>
      <c r="EW6" s="36">
        <v>25</v>
      </c>
      <c r="EX6" s="36">
        <v>38</v>
      </c>
      <c r="EY6" s="36">
        <v>7</v>
      </c>
      <c r="EZ6" s="36">
        <v>18</v>
      </c>
      <c r="FA6" s="36">
        <v>3</v>
      </c>
      <c r="FB6" s="36">
        <v>1</v>
      </c>
      <c r="FC6" s="42">
        <f t="shared" si="0"/>
        <v>98</v>
      </c>
      <c r="FE6">
        <f t="shared" si="1"/>
        <v>6.48</v>
      </c>
      <c r="FF6">
        <f t="shared" si="2"/>
        <v>4.24</v>
      </c>
      <c r="FG6">
        <f t="shared" si="3"/>
        <v>5.08</v>
      </c>
      <c r="FM6" s="43">
        <f t="shared" si="4"/>
        <v>0</v>
      </c>
      <c r="FN6" s="43">
        <f t="shared" si="4"/>
        <v>0</v>
      </c>
      <c r="FO6" s="43">
        <f t="shared" si="4"/>
        <v>0</v>
      </c>
      <c r="FP6" s="43">
        <f t="shared" si="4"/>
        <v>0</v>
      </c>
      <c r="FQ6" s="43">
        <f t="shared" si="4"/>
        <v>0</v>
      </c>
      <c r="FR6" s="43">
        <f t="shared" si="4"/>
        <v>0</v>
      </c>
      <c r="FS6" s="43">
        <f t="shared" si="4"/>
        <v>0</v>
      </c>
      <c r="FV6" t="s">
        <v>364</v>
      </c>
      <c r="FW6" t="s">
        <v>365</v>
      </c>
    </row>
    <row r="7" spans="1:179" ht="19.5" customHeight="1" x14ac:dyDescent="0.35">
      <c r="A7" t="s">
        <v>366</v>
      </c>
      <c r="B7" s="36">
        <v>0</v>
      </c>
      <c r="C7" s="36">
        <v>0</v>
      </c>
      <c r="D7" s="36">
        <v>0</v>
      </c>
      <c r="E7" s="36">
        <v>0</v>
      </c>
      <c r="F7" s="36">
        <v>0</v>
      </c>
      <c r="G7" s="36">
        <v>0</v>
      </c>
      <c r="H7" s="36">
        <v>0</v>
      </c>
      <c r="I7" s="36">
        <v>0</v>
      </c>
      <c r="J7" s="36">
        <v>0</v>
      </c>
      <c r="K7" s="36">
        <v>0</v>
      </c>
      <c r="L7" s="36">
        <v>0</v>
      </c>
      <c r="M7" s="36">
        <v>0</v>
      </c>
      <c r="N7" s="36">
        <v>0</v>
      </c>
      <c r="O7" s="36">
        <v>0</v>
      </c>
      <c r="P7" s="36">
        <v>0</v>
      </c>
      <c r="Q7" s="36">
        <v>0</v>
      </c>
      <c r="R7" s="36">
        <v>0</v>
      </c>
      <c r="S7" s="36">
        <v>0</v>
      </c>
      <c r="T7" s="36">
        <v>0</v>
      </c>
      <c r="U7" s="36">
        <v>0</v>
      </c>
      <c r="V7" s="36">
        <v>0</v>
      </c>
      <c r="W7" s="36">
        <v>0</v>
      </c>
      <c r="X7" s="36">
        <v>0</v>
      </c>
      <c r="Y7" s="36">
        <v>0</v>
      </c>
      <c r="Z7" s="36">
        <v>0</v>
      </c>
      <c r="AA7" s="36">
        <v>0</v>
      </c>
      <c r="AB7" s="36">
        <v>0</v>
      </c>
      <c r="AC7" s="36">
        <v>0</v>
      </c>
      <c r="AD7" s="36">
        <v>0</v>
      </c>
      <c r="AE7" s="36">
        <v>0</v>
      </c>
      <c r="AF7" s="36">
        <v>0</v>
      </c>
      <c r="AG7" s="36">
        <v>0</v>
      </c>
      <c r="AH7" s="36">
        <v>0</v>
      </c>
      <c r="AI7" s="36">
        <v>0</v>
      </c>
      <c r="AJ7" s="36">
        <v>0</v>
      </c>
      <c r="AK7" s="36">
        <v>0</v>
      </c>
      <c r="AL7" s="36">
        <v>0</v>
      </c>
      <c r="AM7" s="36">
        <v>0</v>
      </c>
      <c r="AN7" s="36">
        <v>0</v>
      </c>
      <c r="AO7" s="36">
        <v>0</v>
      </c>
      <c r="AP7" s="36">
        <v>0</v>
      </c>
      <c r="AQ7" s="36">
        <v>0</v>
      </c>
      <c r="AR7" s="36">
        <v>0</v>
      </c>
      <c r="AS7" s="36">
        <v>0</v>
      </c>
      <c r="AT7" s="36">
        <v>0</v>
      </c>
      <c r="AU7" s="36">
        <v>0</v>
      </c>
      <c r="AV7" s="36">
        <v>0</v>
      </c>
      <c r="AW7" s="36">
        <v>0</v>
      </c>
      <c r="AX7" s="36">
        <v>0</v>
      </c>
      <c r="AY7" s="36">
        <v>0</v>
      </c>
      <c r="AZ7" s="36">
        <v>0</v>
      </c>
      <c r="BA7" s="36">
        <v>0</v>
      </c>
      <c r="BB7" s="36">
        <v>0</v>
      </c>
      <c r="BC7" s="36">
        <v>0</v>
      </c>
      <c r="BD7" s="36">
        <v>0</v>
      </c>
      <c r="BE7" s="36">
        <v>-2</v>
      </c>
      <c r="BF7" s="36">
        <v>2</v>
      </c>
      <c r="BG7" s="36">
        <v>0</v>
      </c>
      <c r="BH7" s="36">
        <v>0</v>
      </c>
      <c r="BI7" s="36">
        <v>0</v>
      </c>
      <c r="BJ7" s="36">
        <v>0</v>
      </c>
      <c r="BK7" s="36">
        <v>0</v>
      </c>
      <c r="BL7" s="36">
        <v>0</v>
      </c>
      <c r="BM7" s="36">
        <v>0</v>
      </c>
      <c r="BN7" s="36">
        <v>0</v>
      </c>
      <c r="BO7" s="36">
        <v>0</v>
      </c>
      <c r="BP7" s="36">
        <v>0</v>
      </c>
      <c r="BQ7" s="36">
        <v>0</v>
      </c>
      <c r="BR7" s="36">
        <v>0</v>
      </c>
      <c r="BS7" s="36">
        <v>0</v>
      </c>
      <c r="BT7" s="36">
        <v>0</v>
      </c>
      <c r="BU7" s="36">
        <v>0</v>
      </c>
      <c r="BV7" s="36">
        <v>-1</v>
      </c>
      <c r="BW7" s="36">
        <v>0</v>
      </c>
      <c r="BX7" s="36">
        <v>1</v>
      </c>
      <c r="BY7" s="36">
        <v>0</v>
      </c>
      <c r="BZ7" s="36">
        <v>0</v>
      </c>
      <c r="CA7" s="36">
        <v>0</v>
      </c>
      <c r="CB7" s="36">
        <v>0</v>
      </c>
      <c r="CC7" s="36">
        <v>0</v>
      </c>
      <c r="CD7" s="36">
        <v>0</v>
      </c>
      <c r="CE7" s="36">
        <v>0</v>
      </c>
      <c r="CF7" s="36">
        <v>0</v>
      </c>
      <c r="CG7" s="36">
        <v>0</v>
      </c>
      <c r="CH7" s="36">
        <v>0</v>
      </c>
      <c r="CI7" s="36">
        <v>0</v>
      </c>
      <c r="CJ7" s="36">
        <v>0</v>
      </c>
      <c r="CK7" s="36">
        <v>3</v>
      </c>
      <c r="CL7" s="36">
        <v>0</v>
      </c>
      <c r="CM7" s="36">
        <v>0</v>
      </c>
      <c r="CN7" s="36">
        <v>0</v>
      </c>
      <c r="CO7" s="36">
        <v>0</v>
      </c>
      <c r="CP7" s="36">
        <v>-1</v>
      </c>
      <c r="CQ7" s="36">
        <v>0</v>
      </c>
      <c r="CR7" s="36">
        <v>0</v>
      </c>
      <c r="CS7" s="36">
        <v>0</v>
      </c>
      <c r="CT7" s="36">
        <v>0</v>
      </c>
      <c r="CU7" s="36">
        <v>0</v>
      </c>
      <c r="CV7" s="36">
        <v>0</v>
      </c>
      <c r="CW7" s="36">
        <v>0</v>
      </c>
      <c r="CX7" s="36">
        <v>0</v>
      </c>
      <c r="CY7" s="36">
        <v>0</v>
      </c>
      <c r="CZ7" s="36">
        <v>0</v>
      </c>
      <c r="DA7" s="36">
        <v>0</v>
      </c>
      <c r="DB7" s="36">
        <v>0</v>
      </c>
      <c r="DC7" s="36">
        <v>0</v>
      </c>
      <c r="DD7" s="36">
        <v>0</v>
      </c>
      <c r="DE7" s="36">
        <v>0</v>
      </c>
      <c r="DF7" s="36">
        <v>0</v>
      </c>
      <c r="DG7" s="36">
        <v>0</v>
      </c>
      <c r="DH7" s="36">
        <v>0</v>
      </c>
      <c r="DI7" s="36">
        <v>0</v>
      </c>
      <c r="DJ7" s="36">
        <v>0</v>
      </c>
      <c r="DK7" s="36">
        <v>0</v>
      </c>
      <c r="DL7" s="36">
        <v>0</v>
      </c>
      <c r="DM7" s="36">
        <v>0</v>
      </c>
      <c r="DN7" s="36">
        <v>0</v>
      </c>
      <c r="DO7" s="36">
        <v>0</v>
      </c>
      <c r="DP7" s="36">
        <v>0</v>
      </c>
      <c r="DQ7" s="36">
        <v>0</v>
      </c>
      <c r="DR7" s="36">
        <v>0</v>
      </c>
      <c r="DS7" s="36">
        <v>0</v>
      </c>
      <c r="DT7" s="36">
        <v>0</v>
      </c>
      <c r="DU7" s="36">
        <v>0</v>
      </c>
      <c r="DV7" s="36">
        <v>0</v>
      </c>
      <c r="DW7" s="36">
        <v>0</v>
      </c>
      <c r="DX7" s="36">
        <v>0</v>
      </c>
      <c r="DY7" s="36">
        <v>0</v>
      </c>
      <c r="DZ7" s="36">
        <v>0</v>
      </c>
      <c r="EA7" s="36">
        <v>0</v>
      </c>
      <c r="EB7" s="36">
        <v>0</v>
      </c>
      <c r="EC7" s="36">
        <v>0</v>
      </c>
      <c r="ED7" s="36">
        <v>0</v>
      </c>
      <c r="EE7" s="36">
        <v>0</v>
      </c>
      <c r="EF7" s="36">
        <v>0</v>
      </c>
      <c r="EG7" s="36">
        <v>0</v>
      </c>
      <c r="EH7" s="36">
        <v>0</v>
      </c>
      <c r="EI7" s="36">
        <v>0</v>
      </c>
      <c r="EJ7" s="36">
        <v>0</v>
      </c>
      <c r="EK7" s="36">
        <v>0</v>
      </c>
      <c r="EL7" s="36">
        <v>0</v>
      </c>
      <c r="EM7" s="36">
        <v>0</v>
      </c>
      <c r="EN7" s="36">
        <v>0</v>
      </c>
      <c r="EO7" s="36">
        <v>0</v>
      </c>
      <c r="EP7" s="36">
        <v>0</v>
      </c>
      <c r="ET7" t="s">
        <v>367</v>
      </c>
      <c r="EU7" t="s">
        <v>368</v>
      </c>
      <c r="EV7" s="36">
        <v>-1</v>
      </c>
      <c r="EW7" s="36">
        <v>3</v>
      </c>
      <c r="EX7" s="36">
        <v>5</v>
      </c>
      <c r="EY7" s="36">
        <v>0</v>
      </c>
      <c r="EZ7" s="36">
        <v>3</v>
      </c>
      <c r="FA7" s="36">
        <v>0</v>
      </c>
      <c r="FB7" s="36">
        <v>0</v>
      </c>
      <c r="FC7" s="42">
        <f t="shared" si="0"/>
        <v>12</v>
      </c>
      <c r="FE7">
        <f t="shared" si="1"/>
        <v>4</v>
      </c>
      <c r="FF7">
        <f t="shared" si="2"/>
        <v>4</v>
      </c>
      <c r="FG7">
        <f t="shared" si="3"/>
        <v>4</v>
      </c>
      <c r="FM7" s="43">
        <f t="shared" si="4"/>
        <v>0</v>
      </c>
      <c r="FN7" s="43">
        <f t="shared" si="4"/>
        <v>0</v>
      </c>
      <c r="FO7" s="43">
        <f t="shared" si="4"/>
        <v>0</v>
      </c>
      <c r="FP7" s="43">
        <f t="shared" si="4"/>
        <v>0</v>
      </c>
      <c r="FQ7" s="43">
        <f t="shared" si="4"/>
        <v>0</v>
      </c>
      <c r="FR7" s="43">
        <f t="shared" si="4"/>
        <v>0</v>
      </c>
      <c r="FS7" s="43">
        <f t="shared" si="4"/>
        <v>0</v>
      </c>
      <c r="FV7" t="s">
        <v>369</v>
      </c>
      <c r="FW7" t="s">
        <v>370</v>
      </c>
    </row>
    <row r="8" spans="1:179" ht="19.5" customHeight="1" x14ac:dyDescent="0.35">
      <c r="A8" t="s">
        <v>371</v>
      </c>
      <c r="B8" s="36">
        <v>0</v>
      </c>
      <c r="C8" s="36">
        <v>0</v>
      </c>
      <c r="D8" s="36">
        <v>0</v>
      </c>
      <c r="E8" s="36">
        <v>0</v>
      </c>
      <c r="F8" s="36">
        <v>0</v>
      </c>
      <c r="G8" s="36">
        <v>0</v>
      </c>
      <c r="H8" s="36">
        <v>0</v>
      </c>
      <c r="I8" s="36">
        <v>0</v>
      </c>
      <c r="J8" s="36">
        <v>0</v>
      </c>
      <c r="K8" s="36">
        <v>0</v>
      </c>
      <c r="L8" s="36">
        <v>0</v>
      </c>
      <c r="M8" s="36">
        <v>0</v>
      </c>
      <c r="N8" s="36">
        <v>0</v>
      </c>
      <c r="O8" s="36">
        <v>0</v>
      </c>
      <c r="P8" s="36">
        <v>0</v>
      </c>
      <c r="Q8" s="36">
        <v>0</v>
      </c>
      <c r="R8" s="36">
        <v>0</v>
      </c>
      <c r="S8" s="36">
        <v>0</v>
      </c>
      <c r="T8" s="36">
        <v>0</v>
      </c>
      <c r="U8" s="36">
        <v>0</v>
      </c>
      <c r="V8" s="36">
        <v>0</v>
      </c>
      <c r="W8" s="36">
        <v>0</v>
      </c>
      <c r="X8" s="36">
        <v>0</v>
      </c>
      <c r="Y8" s="36">
        <v>1</v>
      </c>
      <c r="Z8" s="36">
        <v>0</v>
      </c>
      <c r="AA8" s="36">
        <v>0</v>
      </c>
      <c r="AB8" s="36">
        <v>0</v>
      </c>
      <c r="AC8" s="36">
        <v>0</v>
      </c>
      <c r="AD8" s="36">
        <v>0</v>
      </c>
      <c r="AE8" s="36">
        <v>0</v>
      </c>
      <c r="AF8" s="36">
        <v>0</v>
      </c>
      <c r="AG8" s="36">
        <v>0</v>
      </c>
      <c r="AH8" s="36">
        <v>0</v>
      </c>
      <c r="AI8" s="36">
        <v>0</v>
      </c>
      <c r="AJ8" s="36">
        <v>0</v>
      </c>
      <c r="AK8" s="36">
        <v>0</v>
      </c>
      <c r="AL8" s="36">
        <v>0</v>
      </c>
      <c r="AM8" s="36">
        <v>0</v>
      </c>
      <c r="AN8" s="36">
        <v>0</v>
      </c>
      <c r="AO8" s="36">
        <v>0</v>
      </c>
      <c r="AP8" s="36">
        <v>0</v>
      </c>
      <c r="AQ8" s="36">
        <v>0</v>
      </c>
      <c r="AR8" s="36">
        <v>0</v>
      </c>
      <c r="AS8" s="36">
        <v>0</v>
      </c>
      <c r="AT8" s="36">
        <v>0</v>
      </c>
      <c r="AU8" s="36">
        <v>0</v>
      </c>
      <c r="AV8" s="36">
        <v>0</v>
      </c>
      <c r="AW8" s="36">
        <v>0</v>
      </c>
      <c r="AX8" s="36">
        <v>0</v>
      </c>
      <c r="AY8" s="36">
        <v>0</v>
      </c>
      <c r="AZ8" s="36">
        <v>0</v>
      </c>
      <c r="BA8" s="36">
        <v>0</v>
      </c>
      <c r="BB8" s="36">
        <v>0</v>
      </c>
      <c r="BC8" s="36">
        <v>0</v>
      </c>
      <c r="BD8" s="36">
        <v>0</v>
      </c>
      <c r="BE8" s="36">
        <v>0</v>
      </c>
      <c r="BF8" s="36">
        <v>0</v>
      </c>
      <c r="BG8" s="36">
        <v>0</v>
      </c>
      <c r="BH8" s="36">
        <v>0</v>
      </c>
      <c r="BI8" s="36">
        <v>0</v>
      </c>
      <c r="BJ8" s="36">
        <v>0</v>
      </c>
      <c r="BK8" s="36">
        <v>0</v>
      </c>
      <c r="BL8" s="36">
        <v>0</v>
      </c>
      <c r="BM8" s="36">
        <v>0</v>
      </c>
      <c r="BN8" s="36">
        <v>0</v>
      </c>
      <c r="BO8" s="36">
        <v>0</v>
      </c>
      <c r="BP8" s="36">
        <v>0</v>
      </c>
      <c r="BQ8" s="36">
        <v>0</v>
      </c>
      <c r="BR8" s="36">
        <v>0</v>
      </c>
      <c r="BS8" s="36">
        <v>0</v>
      </c>
      <c r="BT8" s="36">
        <v>0</v>
      </c>
      <c r="BU8" s="36">
        <v>0</v>
      </c>
      <c r="BV8" s="36">
        <v>-1</v>
      </c>
      <c r="BW8" s="36">
        <v>0</v>
      </c>
      <c r="BX8" s="36">
        <v>0</v>
      </c>
      <c r="BY8" s="36">
        <v>0</v>
      </c>
      <c r="BZ8" s="36">
        <v>0</v>
      </c>
      <c r="CA8" s="36">
        <v>0</v>
      </c>
      <c r="CB8" s="36">
        <v>0</v>
      </c>
      <c r="CC8" s="36">
        <v>0</v>
      </c>
      <c r="CD8" s="36">
        <v>0</v>
      </c>
      <c r="CE8" s="36">
        <v>0</v>
      </c>
      <c r="CF8" s="36">
        <v>0</v>
      </c>
      <c r="CG8" s="36">
        <v>0</v>
      </c>
      <c r="CH8" s="36">
        <v>0</v>
      </c>
      <c r="CI8" s="36">
        <v>0</v>
      </c>
      <c r="CJ8" s="36">
        <v>0</v>
      </c>
      <c r="CK8" s="36">
        <v>0</v>
      </c>
      <c r="CL8" s="36">
        <v>0</v>
      </c>
      <c r="CM8" s="36">
        <v>0</v>
      </c>
      <c r="CN8" s="36">
        <v>0</v>
      </c>
      <c r="CO8" s="36">
        <v>0</v>
      </c>
      <c r="CP8" s="36">
        <v>1</v>
      </c>
      <c r="CQ8" s="36">
        <v>0</v>
      </c>
      <c r="CR8" s="36">
        <v>0</v>
      </c>
      <c r="CS8" s="36">
        <v>0</v>
      </c>
      <c r="CT8" s="36">
        <v>0</v>
      </c>
      <c r="CU8" s="36">
        <v>0</v>
      </c>
      <c r="CV8" s="36">
        <v>0</v>
      </c>
      <c r="CW8" s="36">
        <v>0</v>
      </c>
      <c r="CX8" s="36">
        <v>0</v>
      </c>
      <c r="CY8" s="36">
        <v>0</v>
      </c>
      <c r="CZ8" s="36">
        <v>0</v>
      </c>
      <c r="DA8" s="36">
        <v>0</v>
      </c>
      <c r="DB8" s="36">
        <v>0</v>
      </c>
      <c r="DC8" s="36">
        <v>0</v>
      </c>
      <c r="DD8" s="36">
        <v>0</v>
      </c>
      <c r="DE8" s="36">
        <v>0</v>
      </c>
      <c r="DF8" s="36">
        <v>0</v>
      </c>
      <c r="DG8" s="36">
        <v>0</v>
      </c>
      <c r="DH8" s="36">
        <v>0</v>
      </c>
      <c r="DI8" s="36">
        <v>0</v>
      </c>
      <c r="DJ8" s="36">
        <v>0</v>
      </c>
      <c r="DK8" s="36">
        <v>0</v>
      </c>
      <c r="DL8" s="36">
        <v>0</v>
      </c>
      <c r="DM8" s="36">
        <v>0</v>
      </c>
      <c r="DN8" s="36">
        <v>0</v>
      </c>
      <c r="DO8" s="36">
        <v>0</v>
      </c>
      <c r="DP8" s="36">
        <v>0</v>
      </c>
      <c r="DQ8" s="36">
        <v>0</v>
      </c>
      <c r="DR8" s="36">
        <v>0</v>
      </c>
      <c r="DS8" s="36">
        <v>0</v>
      </c>
      <c r="DT8" s="36">
        <v>0</v>
      </c>
      <c r="DU8" s="36">
        <v>0</v>
      </c>
      <c r="DV8" s="36">
        <v>0</v>
      </c>
      <c r="DW8" s="36">
        <v>0</v>
      </c>
      <c r="DX8" s="36">
        <v>0</v>
      </c>
      <c r="DY8" s="36">
        <v>0</v>
      </c>
      <c r="DZ8" s="36">
        <v>0</v>
      </c>
      <c r="EA8" s="36">
        <v>0</v>
      </c>
      <c r="EB8" s="36">
        <v>0</v>
      </c>
      <c r="EC8" s="36">
        <v>0</v>
      </c>
      <c r="ED8" s="36">
        <v>0</v>
      </c>
      <c r="EE8" s="36">
        <v>0</v>
      </c>
      <c r="EF8" s="36">
        <v>0</v>
      </c>
      <c r="EG8" s="36">
        <v>0</v>
      </c>
      <c r="EH8" s="36">
        <v>0</v>
      </c>
      <c r="EI8" s="36">
        <v>0</v>
      </c>
      <c r="EJ8" s="36">
        <v>0</v>
      </c>
      <c r="EK8" s="36">
        <v>0</v>
      </c>
      <c r="EL8" s="36">
        <v>0</v>
      </c>
      <c r="EM8" s="36">
        <v>0</v>
      </c>
      <c r="EN8" s="36">
        <v>0</v>
      </c>
      <c r="EO8" s="36">
        <v>0</v>
      </c>
      <c r="EP8" s="36">
        <v>-1</v>
      </c>
      <c r="ET8" t="s">
        <v>372</v>
      </c>
      <c r="EU8" t="s">
        <v>368</v>
      </c>
      <c r="EV8" s="36">
        <v>-1</v>
      </c>
      <c r="EW8" s="36">
        <v>3</v>
      </c>
      <c r="EX8" s="36">
        <v>5</v>
      </c>
      <c r="EY8" s="36">
        <v>0</v>
      </c>
      <c r="EZ8" s="36">
        <v>3</v>
      </c>
      <c r="FA8" s="36">
        <v>0</v>
      </c>
      <c r="FB8" s="36">
        <v>0</v>
      </c>
      <c r="FC8" s="42">
        <f t="shared" si="0"/>
        <v>12</v>
      </c>
      <c r="FE8">
        <f t="shared" si="1"/>
        <v>4</v>
      </c>
      <c r="FF8">
        <f t="shared" si="2"/>
        <v>4</v>
      </c>
      <c r="FG8">
        <f t="shared" si="3"/>
        <v>4</v>
      </c>
      <c r="FM8" s="43">
        <f t="shared" si="4"/>
        <v>0</v>
      </c>
      <c r="FN8" s="43">
        <f t="shared" si="4"/>
        <v>0</v>
      </c>
      <c r="FO8" s="43">
        <f t="shared" si="4"/>
        <v>0</v>
      </c>
      <c r="FP8" s="43">
        <f t="shared" si="4"/>
        <v>0</v>
      </c>
      <c r="FQ8" s="43">
        <f t="shared" si="4"/>
        <v>0</v>
      </c>
      <c r="FR8" s="43">
        <f t="shared" si="4"/>
        <v>0</v>
      </c>
      <c r="FS8" s="43">
        <f t="shared" si="4"/>
        <v>0</v>
      </c>
      <c r="FV8" t="s">
        <v>373</v>
      </c>
      <c r="FW8" t="s">
        <v>374</v>
      </c>
    </row>
    <row r="9" spans="1:179" ht="19.5" customHeight="1" x14ac:dyDescent="0.35">
      <c r="A9" t="s">
        <v>375</v>
      </c>
      <c r="B9" s="36">
        <v>0</v>
      </c>
      <c r="C9" s="36">
        <v>0</v>
      </c>
      <c r="D9" s="36">
        <v>0</v>
      </c>
      <c r="E9" s="36">
        <v>0</v>
      </c>
      <c r="F9" s="36">
        <v>0</v>
      </c>
      <c r="G9" s="36">
        <v>0</v>
      </c>
      <c r="H9" s="36">
        <v>0</v>
      </c>
      <c r="I9" s="36">
        <v>0</v>
      </c>
      <c r="J9" s="36">
        <v>0</v>
      </c>
      <c r="K9" s="36">
        <v>0</v>
      </c>
      <c r="L9" s="36">
        <v>0</v>
      </c>
      <c r="M9" s="36">
        <v>0</v>
      </c>
      <c r="N9" s="36">
        <v>0</v>
      </c>
      <c r="O9" s="36">
        <v>0</v>
      </c>
      <c r="P9" s="36">
        <v>0</v>
      </c>
      <c r="Q9" s="36">
        <v>0</v>
      </c>
      <c r="R9" s="36">
        <v>0</v>
      </c>
      <c r="S9" s="36">
        <v>0</v>
      </c>
      <c r="T9" s="36">
        <v>0</v>
      </c>
      <c r="U9" s="36">
        <v>0</v>
      </c>
      <c r="V9" s="36">
        <v>0</v>
      </c>
      <c r="W9" s="36">
        <v>1</v>
      </c>
      <c r="X9" s="36">
        <v>0</v>
      </c>
      <c r="Y9" s="36">
        <v>-1</v>
      </c>
      <c r="Z9" s="36">
        <v>0</v>
      </c>
      <c r="AA9" s="36">
        <v>0</v>
      </c>
      <c r="AB9" s="36">
        <v>0</v>
      </c>
      <c r="AC9" s="36">
        <v>0</v>
      </c>
      <c r="AD9" s="36">
        <v>0</v>
      </c>
      <c r="AE9" s="36">
        <v>0</v>
      </c>
      <c r="AF9" s="36">
        <v>0</v>
      </c>
      <c r="AG9" s="36">
        <v>0</v>
      </c>
      <c r="AH9" s="36">
        <v>0</v>
      </c>
      <c r="AI9" s="36">
        <v>0</v>
      </c>
      <c r="AJ9" s="36">
        <v>0</v>
      </c>
      <c r="AK9" s="36">
        <v>0</v>
      </c>
      <c r="AL9" s="36">
        <v>0</v>
      </c>
      <c r="AM9" s="36">
        <v>0</v>
      </c>
      <c r="AN9" s="36">
        <v>0</v>
      </c>
      <c r="AO9" s="36">
        <v>0</v>
      </c>
      <c r="AP9" s="36">
        <v>0</v>
      </c>
      <c r="AQ9" s="36">
        <v>0</v>
      </c>
      <c r="AR9" s="36">
        <v>0</v>
      </c>
      <c r="AS9" s="36">
        <v>0</v>
      </c>
      <c r="AT9" s="36">
        <v>0</v>
      </c>
      <c r="AU9" s="36">
        <v>0</v>
      </c>
      <c r="AV9" s="36">
        <v>0</v>
      </c>
      <c r="AW9" s="36">
        <v>0</v>
      </c>
      <c r="AX9" s="36">
        <v>0</v>
      </c>
      <c r="AY9" s="36">
        <v>0</v>
      </c>
      <c r="AZ9" s="36">
        <v>0</v>
      </c>
      <c r="BA9" s="36">
        <v>0</v>
      </c>
      <c r="BB9" s="36">
        <v>0</v>
      </c>
      <c r="BC9" s="36">
        <v>0</v>
      </c>
      <c r="BD9" s="36">
        <v>0</v>
      </c>
      <c r="BE9" s="36">
        <v>0</v>
      </c>
      <c r="BF9" s="36">
        <v>0</v>
      </c>
      <c r="BG9" s="36">
        <v>0</v>
      </c>
      <c r="BH9" s="36">
        <v>0</v>
      </c>
      <c r="BI9" s="36">
        <v>0</v>
      </c>
      <c r="BJ9" s="36">
        <v>0</v>
      </c>
      <c r="BK9" s="36">
        <v>0</v>
      </c>
      <c r="BL9" s="36">
        <v>0</v>
      </c>
      <c r="BM9" s="36">
        <v>0</v>
      </c>
      <c r="BN9" s="36">
        <v>0</v>
      </c>
      <c r="BO9" s="36">
        <v>0</v>
      </c>
      <c r="BP9" s="36">
        <v>0</v>
      </c>
      <c r="BQ9" s="36">
        <v>0</v>
      </c>
      <c r="BR9" s="36">
        <v>0</v>
      </c>
      <c r="BS9" s="36">
        <v>0</v>
      </c>
      <c r="BT9" s="36">
        <v>0</v>
      </c>
      <c r="BU9" s="36">
        <v>0</v>
      </c>
      <c r="BV9" s="36">
        <v>0</v>
      </c>
      <c r="BW9" s="36">
        <v>0</v>
      </c>
      <c r="BX9" s="36">
        <v>0</v>
      </c>
      <c r="BY9" s="36">
        <v>0</v>
      </c>
      <c r="BZ9" s="36">
        <v>0</v>
      </c>
      <c r="CA9" s="36">
        <v>0</v>
      </c>
      <c r="CB9" s="36">
        <v>0</v>
      </c>
      <c r="CC9" s="36">
        <v>0</v>
      </c>
      <c r="CD9" s="36">
        <v>0</v>
      </c>
      <c r="CE9" s="36">
        <v>0</v>
      </c>
      <c r="CF9" s="36">
        <v>0</v>
      </c>
      <c r="CG9" s="36">
        <v>0</v>
      </c>
      <c r="CH9" s="36">
        <v>0</v>
      </c>
      <c r="CI9" s="36">
        <v>0</v>
      </c>
      <c r="CJ9" s="36">
        <v>0</v>
      </c>
      <c r="CK9" s="36">
        <v>0</v>
      </c>
      <c r="CL9" s="36">
        <v>0</v>
      </c>
      <c r="CM9" s="36">
        <v>0</v>
      </c>
      <c r="CN9" s="36">
        <v>0</v>
      </c>
      <c r="CO9" s="36">
        <v>0</v>
      </c>
      <c r="CP9" s="36">
        <v>0</v>
      </c>
      <c r="CQ9" s="36">
        <v>0</v>
      </c>
      <c r="CR9" s="36">
        <v>0</v>
      </c>
      <c r="CS9" s="36">
        <v>0</v>
      </c>
      <c r="CT9" s="36">
        <v>0</v>
      </c>
      <c r="CU9" s="36">
        <v>0</v>
      </c>
      <c r="CV9" s="36">
        <v>0</v>
      </c>
      <c r="CW9" s="36">
        <v>0</v>
      </c>
      <c r="CX9" s="36">
        <v>0</v>
      </c>
      <c r="CY9" s="36">
        <v>0</v>
      </c>
      <c r="CZ9" s="36">
        <v>0</v>
      </c>
      <c r="DA9" s="36">
        <v>0</v>
      </c>
      <c r="DB9" s="36">
        <v>0</v>
      </c>
      <c r="DC9" s="36">
        <v>0</v>
      </c>
      <c r="DD9" s="36">
        <v>0</v>
      </c>
      <c r="DE9" s="36">
        <v>0</v>
      </c>
      <c r="DF9" s="36">
        <v>0</v>
      </c>
      <c r="DG9" s="36">
        <v>0</v>
      </c>
      <c r="DH9" s="36">
        <v>0</v>
      </c>
      <c r="DI9" s="36">
        <v>0</v>
      </c>
      <c r="DJ9" s="36">
        <v>0</v>
      </c>
      <c r="DK9" s="36">
        <v>-1</v>
      </c>
      <c r="DL9" s="36">
        <v>1</v>
      </c>
      <c r="DM9" s="36">
        <v>0</v>
      </c>
      <c r="DN9" s="36">
        <v>0</v>
      </c>
      <c r="DO9" s="36">
        <v>0</v>
      </c>
      <c r="DP9" s="36">
        <v>0</v>
      </c>
      <c r="DQ9" s="36">
        <v>0</v>
      </c>
      <c r="DR9" s="36">
        <v>0</v>
      </c>
      <c r="DS9" s="36">
        <v>0</v>
      </c>
      <c r="DT9" s="36">
        <v>0</v>
      </c>
      <c r="DU9" s="36">
        <v>0</v>
      </c>
      <c r="DV9" s="36">
        <v>0</v>
      </c>
      <c r="DW9" s="36">
        <v>0</v>
      </c>
      <c r="DX9" s="36">
        <v>0</v>
      </c>
      <c r="DY9" s="36">
        <v>0</v>
      </c>
      <c r="DZ9" s="36">
        <v>0</v>
      </c>
      <c r="EA9" s="36">
        <v>0</v>
      </c>
      <c r="EB9" s="36">
        <v>0</v>
      </c>
      <c r="EC9" s="36">
        <v>0</v>
      </c>
      <c r="ED9" s="36">
        <v>0</v>
      </c>
      <c r="EE9" s="36">
        <v>0</v>
      </c>
      <c r="EF9" s="36">
        <v>0</v>
      </c>
      <c r="EG9" s="36">
        <v>0</v>
      </c>
      <c r="EH9" s="36">
        <v>0</v>
      </c>
      <c r="EI9" s="36">
        <v>0</v>
      </c>
      <c r="EJ9" s="36">
        <v>0</v>
      </c>
      <c r="EK9" s="36">
        <v>0</v>
      </c>
      <c r="EL9" s="36">
        <v>0</v>
      </c>
      <c r="EM9" s="36">
        <v>0</v>
      </c>
      <c r="EN9" s="36">
        <v>0</v>
      </c>
      <c r="EO9" s="36">
        <v>0</v>
      </c>
      <c r="EP9" s="36">
        <v>0</v>
      </c>
      <c r="ET9" t="s">
        <v>376</v>
      </c>
      <c r="EU9" t="s">
        <v>377</v>
      </c>
      <c r="EV9" s="36">
        <v>-5</v>
      </c>
      <c r="EW9" s="36">
        <v>25</v>
      </c>
      <c r="EX9" s="36">
        <v>35</v>
      </c>
      <c r="EY9" s="36">
        <v>7</v>
      </c>
      <c r="EZ9" s="36">
        <v>19</v>
      </c>
      <c r="FA9" s="36">
        <v>3</v>
      </c>
      <c r="FB9" s="36">
        <v>1</v>
      </c>
      <c r="FC9" s="42">
        <f t="shared" si="0"/>
        <v>94</v>
      </c>
      <c r="FE9">
        <f t="shared" si="1"/>
        <v>6.32</v>
      </c>
      <c r="FF9">
        <f t="shared" si="2"/>
        <v>4.08</v>
      </c>
      <c r="FG9">
        <f t="shared" si="3"/>
        <v>4.92</v>
      </c>
      <c r="FM9" s="43">
        <f t="shared" si="4"/>
        <v>0</v>
      </c>
      <c r="FN9" s="43">
        <f t="shared" si="4"/>
        <v>0</v>
      </c>
      <c r="FO9" s="43">
        <f t="shared" si="4"/>
        <v>0</v>
      </c>
      <c r="FP9" s="43">
        <f t="shared" si="4"/>
        <v>0</v>
      </c>
      <c r="FQ9" s="43">
        <f t="shared" si="4"/>
        <v>0</v>
      </c>
      <c r="FR9" s="43">
        <f t="shared" si="4"/>
        <v>0</v>
      </c>
      <c r="FS9" s="43">
        <f t="shared" si="4"/>
        <v>0</v>
      </c>
      <c r="FV9" t="s">
        <v>378</v>
      </c>
      <c r="FW9" t="s">
        <v>379</v>
      </c>
    </row>
    <row r="10" spans="1:179" ht="19.5" customHeight="1" x14ac:dyDescent="0.35">
      <c r="A10" t="s">
        <v>380</v>
      </c>
      <c r="B10" s="36">
        <v>0</v>
      </c>
      <c r="C10" s="36">
        <v>0</v>
      </c>
      <c r="D10" s="36">
        <v>0</v>
      </c>
      <c r="E10" s="36">
        <v>0</v>
      </c>
      <c r="F10" s="36">
        <v>0</v>
      </c>
      <c r="G10" s="36">
        <v>0</v>
      </c>
      <c r="H10" s="36">
        <v>0</v>
      </c>
      <c r="I10" s="36">
        <v>0</v>
      </c>
      <c r="J10" s="36">
        <v>0</v>
      </c>
      <c r="K10" s="36">
        <v>0</v>
      </c>
      <c r="L10" s="36">
        <v>0</v>
      </c>
      <c r="M10" s="36">
        <v>0</v>
      </c>
      <c r="N10" s="36">
        <v>0</v>
      </c>
      <c r="O10" s="36">
        <v>0</v>
      </c>
      <c r="P10" s="36">
        <v>0</v>
      </c>
      <c r="Q10" s="36">
        <v>0</v>
      </c>
      <c r="R10" s="36">
        <v>0</v>
      </c>
      <c r="S10" s="36">
        <v>0</v>
      </c>
      <c r="T10" s="36">
        <v>0</v>
      </c>
      <c r="U10" s="36">
        <v>0</v>
      </c>
      <c r="V10" s="36">
        <v>0</v>
      </c>
      <c r="W10" s="36">
        <v>1</v>
      </c>
      <c r="X10" s="36">
        <v>0</v>
      </c>
      <c r="Y10" s="36">
        <v>-1</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0</v>
      </c>
      <c r="AZ10" s="36">
        <v>0</v>
      </c>
      <c r="BA10" s="36">
        <v>0</v>
      </c>
      <c r="BB10" s="36">
        <v>0</v>
      </c>
      <c r="BC10" s="36">
        <v>0</v>
      </c>
      <c r="BD10" s="36">
        <v>0</v>
      </c>
      <c r="BE10" s="36">
        <v>0</v>
      </c>
      <c r="BF10" s="36">
        <v>0</v>
      </c>
      <c r="BG10" s="36">
        <v>0</v>
      </c>
      <c r="BH10" s="36">
        <v>0</v>
      </c>
      <c r="BI10" s="36">
        <v>0</v>
      </c>
      <c r="BJ10" s="36">
        <v>0</v>
      </c>
      <c r="BK10" s="36">
        <v>0</v>
      </c>
      <c r="BL10" s="36">
        <v>0</v>
      </c>
      <c r="BM10" s="36">
        <v>0</v>
      </c>
      <c r="BN10" s="36">
        <v>0</v>
      </c>
      <c r="BO10" s="36">
        <v>0</v>
      </c>
      <c r="BP10" s="36">
        <v>0</v>
      </c>
      <c r="BQ10" s="36">
        <v>0</v>
      </c>
      <c r="BR10" s="36">
        <v>0</v>
      </c>
      <c r="BS10" s="36">
        <v>0</v>
      </c>
      <c r="BT10" s="36">
        <v>0</v>
      </c>
      <c r="BU10" s="36">
        <v>0</v>
      </c>
      <c r="BV10" s="36">
        <v>0</v>
      </c>
      <c r="BW10" s="36">
        <v>0</v>
      </c>
      <c r="BX10" s="36">
        <v>0</v>
      </c>
      <c r="BY10" s="36">
        <v>0</v>
      </c>
      <c r="BZ10" s="36">
        <v>0</v>
      </c>
      <c r="CA10" s="36">
        <v>0</v>
      </c>
      <c r="CB10" s="36">
        <v>0</v>
      </c>
      <c r="CC10" s="36">
        <v>0</v>
      </c>
      <c r="CD10" s="36">
        <v>0</v>
      </c>
      <c r="CE10" s="36">
        <v>0</v>
      </c>
      <c r="CF10" s="36">
        <v>0</v>
      </c>
      <c r="CG10" s="36">
        <v>0</v>
      </c>
      <c r="CH10" s="36">
        <v>0</v>
      </c>
      <c r="CI10" s="36">
        <v>0</v>
      </c>
      <c r="CJ10" s="36">
        <v>0</v>
      </c>
      <c r="CK10" s="36">
        <v>0</v>
      </c>
      <c r="CL10" s="36">
        <v>0</v>
      </c>
      <c r="CM10" s="36">
        <v>0</v>
      </c>
      <c r="CN10" s="36">
        <v>0</v>
      </c>
      <c r="CO10" s="36">
        <v>0</v>
      </c>
      <c r="CP10" s="36">
        <v>0</v>
      </c>
      <c r="CQ10" s="36">
        <v>0</v>
      </c>
      <c r="CR10" s="36">
        <v>0</v>
      </c>
      <c r="CS10" s="36">
        <v>0</v>
      </c>
      <c r="CT10" s="36">
        <v>0</v>
      </c>
      <c r="CU10" s="36">
        <v>0</v>
      </c>
      <c r="CV10" s="36">
        <v>0</v>
      </c>
      <c r="CW10" s="36">
        <v>0</v>
      </c>
      <c r="CX10" s="36">
        <v>0</v>
      </c>
      <c r="CY10" s="36">
        <v>0</v>
      </c>
      <c r="CZ10" s="36">
        <v>0</v>
      </c>
      <c r="DA10" s="36">
        <v>0</v>
      </c>
      <c r="DB10" s="36">
        <v>0</v>
      </c>
      <c r="DC10" s="36">
        <v>0</v>
      </c>
      <c r="DD10" s="36">
        <v>0</v>
      </c>
      <c r="DE10" s="36">
        <v>0</v>
      </c>
      <c r="DF10" s="36">
        <v>0</v>
      </c>
      <c r="DG10" s="36">
        <v>0</v>
      </c>
      <c r="DH10" s="36">
        <v>0</v>
      </c>
      <c r="DI10" s="36">
        <v>0</v>
      </c>
      <c r="DJ10" s="36">
        <v>0</v>
      </c>
      <c r="DK10" s="36">
        <v>0</v>
      </c>
      <c r="DL10" s="36">
        <v>0</v>
      </c>
      <c r="DM10" s="36">
        <v>-1</v>
      </c>
      <c r="DN10" s="36">
        <v>1</v>
      </c>
      <c r="DO10" s="36">
        <v>0</v>
      </c>
      <c r="DP10" s="36">
        <v>0</v>
      </c>
      <c r="DQ10" s="36">
        <v>0</v>
      </c>
      <c r="DR10" s="36">
        <v>0</v>
      </c>
      <c r="DS10" s="36">
        <v>0</v>
      </c>
      <c r="DT10" s="36">
        <v>0</v>
      </c>
      <c r="DU10" s="36">
        <v>0</v>
      </c>
      <c r="DV10" s="36">
        <v>0</v>
      </c>
      <c r="DW10" s="36">
        <v>0</v>
      </c>
      <c r="DX10" s="36">
        <v>0</v>
      </c>
      <c r="DY10" s="36">
        <v>0</v>
      </c>
      <c r="DZ10" s="36">
        <v>0</v>
      </c>
      <c r="EA10" s="36">
        <v>0</v>
      </c>
      <c r="EB10" s="36">
        <v>0</v>
      </c>
      <c r="EC10" s="36">
        <v>0</v>
      </c>
      <c r="ED10" s="36">
        <v>0</v>
      </c>
      <c r="EE10" s="36">
        <v>0</v>
      </c>
      <c r="EF10" s="36">
        <v>0</v>
      </c>
      <c r="EG10" s="36">
        <v>0</v>
      </c>
      <c r="EH10" s="36">
        <v>0</v>
      </c>
      <c r="EI10" s="36">
        <v>0</v>
      </c>
      <c r="EJ10" s="36">
        <v>0</v>
      </c>
      <c r="EK10" s="36">
        <v>0</v>
      </c>
      <c r="EL10" s="36">
        <v>0</v>
      </c>
      <c r="EM10" s="36">
        <v>0</v>
      </c>
      <c r="EN10" s="36">
        <v>0</v>
      </c>
      <c r="EO10" s="36">
        <v>0</v>
      </c>
      <c r="EP10" s="36">
        <v>0</v>
      </c>
      <c r="ET10" t="s">
        <v>381</v>
      </c>
      <c r="EU10" t="s">
        <v>382</v>
      </c>
      <c r="EV10" s="36">
        <v>-2</v>
      </c>
      <c r="EW10" s="36">
        <v>4</v>
      </c>
      <c r="EX10" s="36">
        <v>4</v>
      </c>
      <c r="EY10" s="36">
        <v>0</v>
      </c>
      <c r="EZ10" s="36">
        <v>5</v>
      </c>
      <c r="FA10" s="36">
        <v>0</v>
      </c>
      <c r="FB10" s="36">
        <v>0</v>
      </c>
      <c r="FC10" s="42">
        <v>12</v>
      </c>
      <c r="FE10">
        <f t="shared" si="1"/>
        <v>3</v>
      </c>
      <c r="FF10">
        <f t="shared" si="2"/>
        <v>3</v>
      </c>
      <c r="FG10">
        <f t="shared" si="3"/>
        <v>3</v>
      </c>
      <c r="FM10" s="43">
        <f t="shared" si="4"/>
        <v>0</v>
      </c>
      <c r="FN10" s="43">
        <f t="shared" si="4"/>
        <v>0</v>
      </c>
      <c r="FO10" s="43">
        <f t="shared" si="4"/>
        <v>0</v>
      </c>
      <c r="FP10" s="43">
        <f t="shared" si="4"/>
        <v>0</v>
      </c>
      <c r="FQ10" s="43">
        <f t="shared" si="4"/>
        <v>0</v>
      </c>
      <c r="FR10" s="43">
        <f t="shared" si="4"/>
        <v>0</v>
      </c>
      <c r="FS10" s="43">
        <f t="shared" si="4"/>
        <v>0</v>
      </c>
      <c r="FV10" t="s">
        <v>383</v>
      </c>
      <c r="FW10" t="s">
        <v>384</v>
      </c>
    </row>
    <row r="11" spans="1:179" ht="19.5" customHeight="1" x14ac:dyDescent="0.25">
      <c r="A11" t="s">
        <v>385</v>
      </c>
      <c r="B11" s="36">
        <v>1</v>
      </c>
      <c r="C11" s="36">
        <v>0</v>
      </c>
      <c r="D11" s="36">
        <v>0</v>
      </c>
      <c r="E11" s="36">
        <v>0</v>
      </c>
      <c r="F11" s="36">
        <v>0</v>
      </c>
      <c r="G11" s="36">
        <v>0</v>
      </c>
      <c r="H11" s="36">
        <v>0</v>
      </c>
      <c r="I11" s="36">
        <v>0</v>
      </c>
      <c r="J11" s="36">
        <v>0</v>
      </c>
      <c r="K11" s="36">
        <v>0</v>
      </c>
      <c r="L11" s="36">
        <v>0</v>
      </c>
      <c r="M11" s="36">
        <v>0</v>
      </c>
      <c r="N11" s="36">
        <v>0</v>
      </c>
      <c r="O11" s="36">
        <v>0</v>
      </c>
      <c r="P11" s="36">
        <v>0</v>
      </c>
      <c r="Q11" s="36">
        <v>0</v>
      </c>
      <c r="R11" s="36">
        <v>0</v>
      </c>
      <c r="S11" s="36">
        <v>0</v>
      </c>
      <c r="T11" s="36">
        <v>0</v>
      </c>
      <c r="U11" s="36">
        <v>0</v>
      </c>
      <c r="V11" s="36">
        <v>0</v>
      </c>
      <c r="W11" s="36">
        <v>-1</v>
      </c>
      <c r="X11" s="36">
        <v>0</v>
      </c>
      <c r="Y11" s="36">
        <v>0</v>
      </c>
      <c r="Z11" s="36">
        <v>1</v>
      </c>
      <c r="AA11" s="36">
        <v>0</v>
      </c>
      <c r="AB11" s="36">
        <v>0</v>
      </c>
      <c r="AC11" s="36">
        <v>0</v>
      </c>
      <c r="AD11" s="36">
        <v>0</v>
      </c>
      <c r="AE11" s="36">
        <v>0</v>
      </c>
      <c r="AF11" s="36">
        <v>0</v>
      </c>
      <c r="AG11" s="36">
        <v>0</v>
      </c>
      <c r="AH11" s="36">
        <v>0</v>
      </c>
      <c r="AI11" s="36">
        <v>0</v>
      </c>
      <c r="AJ11" s="36">
        <v>0</v>
      </c>
      <c r="AK11" s="36">
        <v>0</v>
      </c>
      <c r="AL11" s="36">
        <v>0</v>
      </c>
      <c r="AM11" s="36">
        <v>0</v>
      </c>
      <c r="AN11" s="36">
        <v>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0</v>
      </c>
      <c r="BJ11" s="36">
        <v>0</v>
      </c>
      <c r="BK11" s="36">
        <v>0</v>
      </c>
      <c r="BL11" s="36">
        <v>0</v>
      </c>
      <c r="BM11" s="36">
        <v>0</v>
      </c>
      <c r="BN11" s="36">
        <v>0</v>
      </c>
      <c r="BO11" s="36">
        <v>0</v>
      </c>
      <c r="BP11" s="36">
        <v>0</v>
      </c>
      <c r="BQ11" s="36">
        <v>0</v>
      </c>
      <c r="BR11" s="36">
        <v>0</v>
      </c>
      <c r="BS11" s="36">
        <v>0</v>
      </c>
      <c r="BT11" s="36">
        <v>0</v>
      </c>
      <c r="BU11" s="36">
        <v>0</v>
      </c>
      <c r="BV11" s="36">
        <v>0</v>
      </c>
      <c r="BW11" s="36">
        <v>0</v>
      </c>
      <c r="BX11" s="36">
        <v>0</v>
      </c>
      <c r="BY11" s="36">
        <v>0</v>
      </c>
      <c r="BZ11" s="36">
        <v>0</v>
      </c>
      <c r="CA11" s="36">
        <v>0</v>
      </c>
      <c r="CB11" s="36">
        <v>0</v>
      </c>
      <c r="CC11" s="36">
        <v>0</v>
      </c>
      <c r="CD11" s="36">
        <v>0</v>
      </c>
      <c r="CE11" s="36">
        <v>0</v>
      </c>
      <c r="CF11" s="36">
        <v>0</v>
      </c>
      <c r="CG11" s="36">
        <v>0</v>
      </c>
      <c r="CH11" s="36">
        <v>0</v>
      </c>
      <c r="CI11" s="36">
        <v>0</v>
      </c>
      <c r="CJ11" s="36">
        <v>0</v>
      </c>
      <c r="CK11" s="36">
        <v>0</v>
      </c>
      <c r="CL11" s="36">
        <v>1</v>
      </c>
      <c r="CM11" s="36">
        <v>0</v>
      </c>
      <c r="CN11" s="36">
        <v>0</v>
      </c>
      <c r="CO11" s="36">
        <v>0</v>
      </c>
      <c r="CP11" s="36">
        <v>-1</v>
      </c>
      <c r="CQ11" s="36">
        <v>0</v>
      </c>
      <c r="CR11" s="36">
        <v>0</v>
      </c>
      <c r="CS11" s="36">
        <v>0</v>
      </c>
      <c r="CT11" s="36">
        <v>0</v>
      </c>
      <c r="CU11" s="36">
        <v>0</v>
      </c>
      <c r="CV11" s="36">
        <v>0</v>
      </c>
      <c r="CW11" s="36">
        <v>0</v>
      </c>
      <c r="CX11" s="36">
        <v>0</v>
      </c>
      <c r="CY11" s="36">
        <v>0</v>
      </c>
      <c r="CZ11" s="36">
        <v>0</v>
      </c>
      <c r="DA11" s="36">
        <v>0</v>
      </c>
      <c r="DB11" s="36">
        <v>0</v>
      </c>
      <c r="DC11" s="36">
        <v>0</v>
      </c>
      <c r="DD11" s="36">
        <v>0</v>
      </c>
      <c r="DE11" s="36">
        <v>0</v>
      </c>
      <c r="DF11" s="36">
        <v>0</v>
      </c>
      <c r="DG11" s="36">
        <v>0</v>
      </c>
      <c r="DH11" s="36">
        <v>0</v>
      </c>
      <c r="DI11" s="36">
        <v>0</v>
      </c>
      <c r="DJ11" s="36">
        <v>0</v>
      </c>
      <c r="DK11" s="36">
        <v>0</v>
      </c>
      <c r="DL11" s="36">
        <v>0</v>
      </c>
      <c r="DM11" s="36">
        <v>0</v>
      </c>
      <c r="DN11" s="36">
        <v>0</v>
      </c>
      <c r="DO11" s="36">
        <v>0</v>
      </c>
      <c r="DP11" s="36">
        <v>0</v>
      </c>
      <c r="DQ11" s="36">
        <v>0</v>
      </c>
      <c r="DR11" s="36">
        <v>0</v>
      </c>
      <c r="DS11" s="36">
        <v>0</v>
      </c>
      <c r="DT11" s="36">
        <v>0</v>
      </c>
      <c r="DU11" s="36">
        <v>0</v>
      </c>
      <c r="DV11" s="36">
        <v>0</v>
      </c>
      <c r="DW11" s="36">
        <v>0</v>
      </c>
      <c r="DX11" s="36">
        <v>0</v>
      </c>
      <c r="DY11" s="36">
        <v>0</v>
      </c>
      <c r="DZ11" s="36">
        <v>0</v>
      </c>
      <c r="EA11" s="36">
        <v>0</v>
      </c>
      <c r="EB11" s="36">
        <v>0</v>
      </c>
      <c r="EC11" s="36">
        <v>0</v>
      </c>
      <c r="ED11" s="36">
        <v>0</v>
      </c>
      <c r="EE11" s="36">
        <v>0</v>
      </c>
      <c r="EF11" s="36">
        <v>0</v>
      </c>
      <c r="EG11" s="36">
        <v>0</v>
      </c>
      <c r="EH11" s="36">
        <v>0</v>
      </c>
      <c r="EI11" s="36">
        <v>0</v>
      </c>
      <c r="EJ11" s="36">
        <v>0</v>
      </c>
      <c r="EK11" s="36">
        <v>0</v>
      </c>
      <c r="EL11" s="36">
        <v>0</v>
      </c>
      <c r="EM11" s="36">
        <v>0</v>
      </c>
      <c r="EN11" s="36">
        <v>0</v>
      </c>
      <c r="EO11" s="36">
        <v>0</v>
      </c>
      <c r="EP11" s="36">
        <v>0</v>
      </c>
      <c r="ET11" t="s">
        <v>386</v>
      </c>
      <c r="EU11" s="44" t="s">
        <v>387</v>
      </c>
      <c r="EV11" s="36">
        <v>-5</v>
      </c>
      <c r="EW11" s="36">
        <v>25</v>
      </c>
      <c r="EX11" s="36">
        <v>35</v>
      </c>
      <c r="EY11" s="36">
        <v>7</v>
      </c>
      <c r="EZ11" s="36">
        <v>20</v>
      </c>
      <c r="FA11" s="36">
        <v>3</v>
      </c>
      <c r="FB11" s="36">
        <v>1</v>
      </c>
      <c r="FC11" s="42">
        <v>92</v>
      </c>
      <c r="FE11">
        <f t="shared" si="1"/>
        <v>6.24</v>
      </c>
      <c r="FF11">
        <f t="shared" si="2"/>
        <v>4</v>
      </c>
      <c r="FG11">
        <f t="shared" si="3"/>
        <v>4.84</v>
      </c>
      <c r="FM11" s="43">
        <f t="shared" si="4"/>
        <v>0</v>
      </c>
      <c r="FN11" s="43">
        <f t="shared" si="4"/>
        <v>0</v>
      </c>
      <c r="FO11" s="43">
        <f t="shared" si="4"/>
        <v>0</v>
      </c>
      <c r="FP11" s="43">
        <f t="shared" si="4"/>
        <v>0</v>
      </c>
      <c r="FQ11" s="43">
        <f t="shared" si="4"/>
        <v>0</v>
      </c>
      <c r="FR11" s="43">
        <f t="shared" si="4"/>
        <v>0</v>
      </c>
      <c r="FS11" s="43">
        <f t="shared" si="4"/>
        <v>0</v>
      </c>
      <c r="FV11" t="s">
        <v>388</v>
      </c>
      <c r="FW11" t="s">
        <v>389</v>
      </c>
    </row>
    <row r="12" spans="1:179" ht="19.5" customHeight="1" x14ac:dyDescent="0.35">
      <c r="A12" t="s">
        <v>390</v>
      </c>
      <c r="B12" s="36">
        <v>0</v>
      </c>
      <c r="C12" s="36">
        <v>0</v>
      </c>
      <c r="D12" s="36">
        <v>0</v>
      </c>
      <c r="E12" s="36">
        <v>0</v>
      </c>
      <c r="F12" s="36">
        <v>0</v>
      </c>
      <c r="G12" s="36">
        <v>0</v>
      </c>
      <c r="H12" s="36">
        <v>0</v>
      </c>
      <c r="I12" s="36">
        <v>0</v>
      </c>
      <c r="J12" s="36">
        <v>0</v>
      </c>
      <c r="K12" s="36">
        <v>0</v>
      </c>
      <c r="L12" s="36">
        <v>0</v>
      </c>
      <c r="M12" s="36">
        <v>0</v>
      </c>
      <c r="N12" s="36">
        <v>0</v>
      </c>
      <c r="O12" s="36">
        <v>0</v>
      </c>
      <c r="P12" s="36">
        <v>0</v>
      </c>
      <c r="Q12" s="36">
        <v>0</v>
      </c>
      <c r="R12" s="36">
        <v>0</v>
      </c>
      <c r="S12" s="36">
        <v>0</v>
      </c>
      <c r="T12" s="36">
        <v>0</v>
      </c>
      <c r="U12" s="36">
        <v>0</v>
      </c>
      <c r="V12" s="36">
        <v>0</v>
      </c>
      <c r="W12" s="36">
        <v>0</v>
      </c>
      <c r="X12" s="36">
        <v>0</v>
      </c>
      <c r="Y12" s="36">
        <v>0</v>
      </c>
      <c r="Z12" s="36">
        <v>-1</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0</v>
      </c>
      <c r="BK12" s="36">
        <v>0</v>
      </c>
      <c r="BL12" s="36">
        <v>0</v>
      </c>
      <c r="BM12" s="36">
        <v>0</v>
      </c>
      <c r="BN12" s="36">
        <v>0</v>
      </c>
      <c r="BO12" s="36">
        <v>0</v>
      </c>
      <c r="BP12" s="36">
        <v>0</v>
      </c>
      <c r="BQ12" s="36">
        <v>0</v>
      </c>
      <c r="BR12" s="36">
        <v>0</v>
      </c>
      <c r="BS12" s="36">
        <v>0</v>
      </c>
      <c r="BT12" s="36">
        <v>0</v>
      </c>
      <c r="BU12" s="36">
        <v>0</v>
      </c>
      <c r="BV12" s="36">
        <v>0</v>
      </c>
      <c r="BW12" s="36">
        <v>0</v>
      </c>
      <c r="BX12" s="36">
        <v>1</v>
      </c>
      <c r="BY12" s="36">
        <v>0</v>
      </c>
      <c r="BZ12" s="36">
        <v>0</v>
      </c>
      <c r="CA12" s="36">
        <v>0</v>
      </c>
      <c r="CB12" s="36">
        <v>0</v>
      </c>
      <c r="CC12" s="36">
        <v>0</v>
      </c>
      <c r="CD12" s="36">
        <v>0</v>
      </c>
      <c r="CE12" s="36">
        <v>0</v>
      </c>
      <c r="CF12" s="36">
        <v>0</v>
      </c>
      <c r="CG12" s="36">
        <v>0</v>
      </c>
      <c r="CH12" s="36">
        <v>0</v>
      </c>
      <c r="CI12" s="36">
        <v>0</v>
      </c>
      <c r="CJ12" s="36">
        <v>0</v>
      </c>
      <c r="CK12" s="36">
        <v>0</v>
      </c>
      <c r="CL12" s="36">
        <v>1</v>
      </c>
      <c r="CM12" s="36">
        <v>0</v>
      </c>
      <c r="CN12" s="36">
        <v>0</v>
      </c>
      <c r="CO12" s="36">
        <v>0</v>
      </c>
      <c r="CP12" s="36">
        <v>-1</v>
      </c>
      <c r="CQ12" s="36">
        <v>0</v>
      </c>
      <c r="CR12" s="36">
        <v>0</v>
      </c>
      <c r="CS12" s="36">
        <v>0</v>
      </c>
      <c r="CT12" s="36">
        <v>0</v>
      </c>
      <c r="CU12" s="36">
        <v>0</v>
      </c>
      <c r="CV12" s="36">
        <v>0</v>
      </c>
      <c r="CW12" s="36">
        <v>0</v>
      </c>
      <c r="CX12" s="36">
        <v>0</v>
      </c>
      <c r="CY12" s="36">
        <v>0</v>
      </c>
      <c r="CZ12" s="36">
        <v>0</v>
      </c>
      <c r="DA12" s="36">
        <v>0</v>
      </c>
      <c r="DB12" s="36">
        <v>0</v>
      </c>
      <c r="DC12" s="36">
        <v>0</v>
      </c>
      <c r="DD12" s="36">
        <v>0</v>
      </c>
      <c r="DE12" s="36">
        <v>0</v>
      </c>
      <c r="DF12" s="36">
        <v>0</v>
      </c>
      <c r="DG12" s="36">
        <v>0</v>
      </c>
      <c r="DH12" s="36">
        <v>0</v>
      </c>
      <c r="DI12" s="36">
        <v>0</v>
      </c>
      <c r="DJ12" s="36">
        <v>0</v>
      </c>
      <c r="DK12" s="36">
        <v>0</v>
      </c>
      <c r="DL12" s="36">
        <v>0</v>
      </c>
      <c r="DM12" s="36">
        <v>0</v>
      </c>
      <c r="DN12" s="36">
        <v>0</v>
      </c>
      <c r="DO12" s="36">
        <v>0</v>
      </c>
      <c r="DP12" s="36">
        <v>0</v>
      </c>
      <c r="DQ12" s="36">
        <v>0</v>
      </c>
      <c r="DR12" s="36">
        <v>0</v>
      </c>
      <c r="DS12" s="36">
        <v>0</v>
      </c>
      <c r="DT12" s="36">
        <v>0</v>
      </c>
      <c r="DU12" s="36">
        <v>0</v>
      </c>
      <c r="DV12" s="36">
        <v>0</v>
      </c>
      <c r="DW12" s="36">
        <v>0</v>
      </c>
      <c r="DX12" s="36">
        <v>0</v>
      </c>
      <c r="DY12" s="36">
        <v>0</v>
      </c>
      <c r="DZ12" s="36">
        <v>0</v>
      </c>
      <c r="EA12" s="36">
        <v>0</v>
      </c>
      <c r="EB12" s="36">
        <v>0</v>
      </c>
      <c r="EC12" s="36">
        <v>0</v>
      </c>
      <c r="ED12" s="36">
        <v>0</v>
      </c>
      <c r="EE12" s="36">
        <v>0</v>
      </c>
      <c r="EF12" s="36">
        <v>0</v>
      </c>
      <c r="EG12" s="36">
        <v>0</v>
      </c>
      <c r="EH12" s="36">
        <v>0</v>
      </c>
      <c r="EI12" s="36">
        <v>0</v>
      </c>
      <c r="EJ12" s="36">
        <v>0</v>
      </c>
      <c r="EK12" s="36">
        <v>0</v>
      </c>
      <c r="EL12" s="36">
        <v>0</v>
      </c>
      <c r="EM12" s="36">
        <v>0</v>
      </c>
      <c r="EN12" s="36">
        <v>0</v>
      </c>
      <c r="EO12" s="36">
        <v>0</v>
      </c>
      <c r="EP12" s="36">
        <v>1</v>
      </c>
      <c r="ET12" t="s">
        <v>391</v>
      </c>
      <c r="EU12" t="s">
        <v>377</v>
      </c>
      <c r="EV12" s="36">
        <v>-5</v>
      </c>
      <c r="EW12" s="36">
        <v>25</v>
      </c>
      <c r="EX12" s="36">
        <v>35</v>
      </c>
      <c r="EY12" s="36">
        <v>7</v>
      </c>
      <c r="EZ12" s="36">
        <v>19</v>
      </c>
      <c r="FA12" s="36">
        <v>3</v>
      </c>
      <c r="FB12" s="36">
        <v>1</v>
      </c>
      <c r="FC12" s="42">
        <f>(4*EW12)+(EX12)+(-3*EY12)+(-2*EZ12)+(5*FA12)+(-2*FB12)+(-1*EV12)</f>
        <v>94</v>
      </c>
      <c r="FE12">
        <f t="shared" si="1"/>
        <v>6.32</v>
      </c>
      <c r="FF12">
        <f t="shared" si="2"/>
        <v>4.08</v>
      </c>
      <c r="FG12">
        <f t="shared" si="3"/>
        <v>4.92</v>
      </c>
      <c r="FM12" s="43">
        <f t="shared" si="4"/>
        <v>0</v>
      </c>
      <c r="FN12" s="43">
        <f t="shared" si="4"/>
        <v>0</v>
      </c>
      <c r="FO12" s="43">
        <f t="shared" si="4"/>
        <v>0</v>
      </c>
      <c r="FP12" s="43">
        <f t="shared" si="4"/>
        <v>0</v>
      </c>
      <c r="FQ12" s="43">
        <f t="shared" si="4"/>
        <v>0</v>
      </c>
      <c r="FR12" s="43">
        <f t="shared" si="4"/>
        <v>0</v>
      </c>
      <c r="FS12" s="43">
        <f t="shared" si="4"/>
        <v>0</v>
      </c>
      <c r="FV12" t="s">
        <v>392</v>
      </c>
      <c r="FW12" t="s">
        <v>393</v>
      </c>
    </row>
    <row r="13" spans="1:179" ht="19.5" customHeight="1" x14ac:dyDescent="0.35">
      <c r="A13" t="s">
        <v>394</v>
      </c>
      <c r="B13" s="36">
        <v>0</v>
      </c>
      <c r="C13" s="36">
        <v>0</v>
      </c>
      <c r="D13" s="36">
        <v>0</v>
      </c>
      <c r="E13" s="36">
        <v>0</v>
      </c>
      <c r="F13" s="36">
        <v>0</v>
      </c>
      <c r="G13" s="36">
        <v>0</v>
      </c>
      <c r="H13" s="36">
        <v>0</v>
      </c>
      <c r="I13" s="36">
        <v>0</v>
      </c>
      <c r="J13" s="36">
        <v>0</v>
      </c>
      <c r="K13" s="36">
        <v>0</v>
      </c>
      <c r="L13" s="36">
        <v>0</v>
      </c>
      <c r="M13" s="36">
        <v>0</v>
      </c>
      <c r="N13" s="36">
        <v>0</v>
      </c>
      <c r="O13" s="36">
        <v>0</v>
      </c>
      <c r="P13" s="36">
        <v>0</v>
      </c>
      <c r="Q13" s="36">
        <v>0</v>
      </c>
      <c r="R13" s="36">
        <v>0</v>
      </c>
      <c r="S13" s="36">
        <v>0</v>
      </c>
      <c r="T13" s="36">
        <v>0</v>
      </c>
      <c r="U13" s="36">
        <v>0</v>
      </c>
      <c r="V13" s="36">
        <v>0</v>
      </c>
      <c r="W13" s="36">
        <v>0</v>
      </c>
      <c r="X13" s="36">
        <v>1</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0</v>
      </c>
      <c r="BK13" s="36">
        <v>0</v>
      </c>
      <c r="BL13" s="36">
        <v>0</v>
      </c>
      <c r="BM13" s="36">
        <v>0</v>
      </c>
      <c r="BN13" s="36">
        <v>0</v>
      </c>
      <c r="BO13" s="36">
        <v>0</v>
      </c>
      <c r="BP13" s="36">
        <v>0</v>
      </c>
      <c r="BQ13" s="36">
        <v>0</v>
      </c>
      <c r="BR13" s="36">
        <v>0</v>
      </c>
      <c r="BS13" s="36">
        <v>0</v>
      </c>
      <c r="BT13" s="36">
        <v>0</v>
      </c>
      <c r="BU13" s="36">
        <v>0</v>
      </c>
      <c r="BV13" s="36">
        <v>-1</v>
      </c>
      <c r="BW13" s="36">
        <v>0</v>
      </c>
      <c r="BX13" s="36">
        <v>0</v>
      </c>
      <c r="BY13" s="36">
        <v>0</v>
      </c>
      <c r="BZ13" s="36">
        <v>0</v>
      </c>
      <c r="CA13" s="36">
        <v>0</v>
      </c>
      <c r="CB13" s="36">
        <v>0</v>
      </c>
      <c r="CC13" s="36">
        <v>0</v>
      </c>
      <c r="CD13" s="36">
        <v>0</v>
      </c>
      <c r="CE13" s="36">
        <v>0</v>
      </c>
      <c r="CF13" s="36">
        <v>0</v>
      </c>
      <c r="CG13" s="36">
        <v>0</v>
      </c>
      <c r="CH13" s="36">
        <v>0</v>
      </c>
      <c r="CI13" s="36">
        <v>0</v>
      </c>
      <c r="CJ13" s="36">
        <v>0</v>
      </c>
      <c r="CK13" s="36">
        <v>0</v>
      </c>
      <c r="CL13" s="36">
        <v>0</v>
      </c>
      <c r="CM13" s="36">
        <v>0</v>
      </c>
      <c r="CN13" s="36">
        <v>0</v>
      </c>
      <c r="CO13" s="36">
        <v>0</v>
      </c>
      <c r="CP13" s="36">
        <v>1</v>
      </c>
      <c r="CQ13" s="36">
        <v>0</v>
      </c>
      <c r="CR13" s="36">
        <v>0</v>
      </c>
      <c r="CS13" s="36">
        <v>0</v>
      </c>
      <c r="CT13" s="36">
        <v>0</v>
      </c>
      <c r="CU13" s="36">
        <v>0</v>
      </c>
      <c r="CV13" s="36">
        <v>0</v>
      </c>
      <c r="CW13" s="36">
        <v>0</v>
      </c>
      <c r="CX13" s="36">
        <v>0</v>
      </c>
      <c r="CY13" s="36">
        <v>0</v>
      </c>
      <c r="CZ13" s="36">
        <v>0</v>
      </c>
      <c r="DA13" s="36">
        <v>0</v>
      </c>
      <c r="DB13" s="36">
        <v>0</v>
      </c>
      <c r="DC13" s="36">
        <v>0</v>
      </c>
      <c r="DD13" s="36">
        <v>0</v>
      </c>
      <c r="DE13" s="36">
        <v>0</v>
      </c>
      <c r="DF13" s="36">
        <v>0</v>
      </c>
      <c r="DG13" s="36">
        <v>0</v>
      </c>
      <c r="DH13" s="36">
        <v>0</v>
      </c>
      <c r="DI13" s="36">
        <v>0</v>
      </c>
      <c r="DJ13" s="36">
        <v>0</v>
      </c>
      <c r="DK13" s="36">
        <v>0</v>
      </c>
      <c r="DL13" s="36">
        <v>0</v>
      </c>
      <c r="DM13" s="36">
        <v>0</v>
      </c>
      <c r="DN13" s="36">
        <v>0</v>
      </c>
      <c r="DO13" s="36">
        <v>0</v>
      </c>
      <c r="DP13" s="36">
        <v>0</v>
      </c>
      <c r="DQ13" s="36">
        <v>0</v>
      </c>
      <c r="DR13" s="36">
        <v>0</v>
      </c>
      <c r="DS13" s="36">
        <v>0</v>
      </c>
      <c r="DT13" s="36">
        <v>0</v>
      </c>
      <c r="DU13" s="36">
        <v>0</v>
      </c>
      <c r="DV13" s="36">
        <v>0</v>
      </c>
      <c r="DW13" s="36">
        <v>0</v>
      </c>
      <c r="DX13" s="36">
        <v>0</v>
      </c>
      <c r="DY13" s="36">
        <v>0</v>
      </c>
      <c r="DZ13" s="36">
        <v>0</v>
      </c>
      <c r="EA13" s="36">
        <v>0</v>
      </c>
      <c r="EB13" s="36">
        <v>0</v>
      </c>
      <c r="EC13" s="36">
        <v>0</v>
      </c>
      <c r="ED13" s="36">
        <v>0</v>
      </c>
      <c r="EE13" s="36">
        <v>0</v>
      </c>
      <c r="EF13" s="36">
        <v>0</v>
      </c>
      <c r="EG13" s="36">
        <v>0</v>
      </c>
      <c r="EH13" s="36">
        <v>0</v>
      </c>
      <c r="EI13" s="36">
        <v>0</v>
      </c>
      <c r="EJ13" s="36">
        <v>0</v>
      </c>
      <c r="EK13" s="36">
        <v>0</v>
      </c>
      <c r="EL13" s="36">
        <v>0</v>
      </c>
      <c r="EM13" s="36">
        <v>0</v>
      </c>
      <c r="EN13" s="36">
        <v>0</v>
      </c>
      <c r="EO13" s="36">
        <v>-1</v>
      </c>
      <c r="EP13" s="36">
        <v>0</v>
      </c>
      <c r="ET13" t="s">
        <v>395</v>
      </c>
      <c r="EU13" t="s">
        <v>396</v>
      </c>
      <c r="EV13" s="36">
        <v>-2</v>
      </c>
      <c r="EW13" s="36">
        <v>20</v>
      </c>
      <c r="EX13" s="36">
        <v>21</v>
      </c>
      <c r="EY13" s="36">
        <v>7</v>
      </c>
      <c r="EZ13" s="36">
        <v>7</v>
      </c>
      <c r="FA13" s="36">
        <v>0</v>
      </c>
      <c r="FB13" s="36">
        <v>0</v>
      </c>
      <c r="FC13" s="42">
        <f>(4*EW13)+(EX13)+(-3*EY13)+(-2*EZ13)+(5*FA13)+(-2*FB13)+(-1*EV13)</f>
        <v>68</v>
      </c>
      <c r="FE13">
        <f t="shared" si="1"/>
        <v>6.2</v>
      </c>
      <c r="FF13">
        <f t="shared" si="2"/>
        <v>3.4</v>
      </c>
      <c r="FG13">
        <f t="shared" si="3"/>
        <v>4.45</v>
      </c>
      <c r="FM13" s="43">
        <f t="shared" si="4"/>
        <v>0</v>
      </c>
      <c r="FN13" s="43">
        <f t="shared" si="4"/>
        <v>0</v>
      </c>
      <c r="FO13" s="43">
        <f t="shared" si="4"/>
        <v>0</v>
      </c>
      <c r="FP13" s="43">
        <f t="shared" si="4"/>
        <v>0</v>
      </c>
      <c r="FQ13" s="43">
        <f t="shared" si="4"/>
        <v>0</v>
      </c>
      <c r="FR13" s="43">
        <f t="shared" si="4"/>
        <v>0</v>
      </c>
      <c r="FS13" s="43">
        <f t="shared" si="4"/>
        <v>0</v>
      </c>
      <c r="FV13" t="s">
        <v>397</v>
      </c>
      <c r="FW13" t="s">
        <v>398</v>
      </c>
    </row>
    <row r="14" spans="1:179" ht="19.5" customHeight="1" x14ac:dyDescent="0.35">
      <c r="A14" t="s">
        <v>399</v>
      </c>
      <c r="B14" s="36">
        <v>0</v>
      </c>
      <c r="C14" s="36">
        <v>0</v>
      </c>
      <c r="D14" s="36">
        <v>0</v>
      </c>
      <c r="E14" s="36">
        <v>0</v>
      </c>
      <c r="F14" s="36">
        <v>0</v>
      </c>
      <c r="G14" s="36">
        <v>0</v>
      </c>
      <c r="H14" s="36">
        <v>0</v>
      </c>
      <c r="I14" s="36">
        <v>0</v>
      </c>
      <c r="J14" s="36">
        <v>0</v>
      </c>
      <c r="K14" s="36">
        <v>0</v>
      </c>
      <c r="L14" s="36">
        <v>0</v>
      </c>
      <c r="M14" s="36">
        <v>0</v>
      </c>
      <c r="N14" s="36">
        <v>0</v>
      </c>
      <c r="O14" s="36">
        <v>0</v>
      </c>
      <c r="P14" s="36">
        <v>0</v>
      </c>
      <c r="Q14" s="36">
        <v>0</v>
      </c>
      <c r="R14" s="36">
        <v>0</v>
      </c>
      <c r="S14" s="36">
        <v>0</v>
      </c>
      <c r="T14" s="36">
        <v>0</v>
      </c>
      <c r="U14" s="36">
        <v>0</v>
      </c>
      <c r="V14" s="36">
        <v>1</v>
      </c>
      <c r="W14" s="36">
        <v>0</v>
      </c>
      <c r="X14" s="36">
        <v>-1</v>
      </c>
      <c r="Y14" s="36">
        <v>0</v>
      </c>
      <c r="Z14" s="36">
        <v>0</v>
      </c>
      <c r="AA14" s="36">
        <v>0</v>
      </c>
      <c r="AB14" s="36">
        <v>0</v>
      </c>
      <c r="AC14" s="36">
        <v>0</v>
      </c>
      <c r="AD14" s="36">
        <v>0</v>
      </c>
      <c r="AE14" s="36">
        <v>0</v>
      </c>
      <c r="AF14" s="36">
        <v>0</v>
      </c>
      <c r="AG14" s="36">
        <v>0</v>
      </c>
      <c r="AH14" s="36">
        <v>0</v>
      </c>
      <c r="AI14" s="36">
        <v>0</v>
      </c>
      <c r="AJ14" s="36">
        <v>0</v>
      </c>
      <c r="AK14" s="36">
        <v>0</v>
      </c>
      <c r="AL14" s="36">
        <v>0</v>
      </c>
      <c r="AM14" s="36">
        <v>0</v>
      </c>
      <c r="AN14" s="36">
        <v>0</v>
      </c>
      <c r="AO14" s="36">
        <v>0</v>
      </c>
      <c r="AP14" s="36">
        <v>0</v>
      </c>
      <c r="AQ14" s="36">
        <v>0</v>
      </c>
      <c r="AR14" s="36">
        <v>0</v>
      </c>
      <c r="AS14" s="36">
        <v>0</v>
      </c>
      <c r="AT14" s="36">
        <v>0</v>
      </c>
      <c r="AU14" s="36">
        <v>0</v>
      </c>
      <c r="AV14" s="36">
        <v>0</v>
      </c>
      <c r="AW14" s="36">
        <v>0</v>
      </c>
      <c r="AX14" s="36">
        <v>0</v>
      </c>
      <c r="AY14" s="36">
        <v>0</v>
      </c>
      <c r="AZ14" s="36">
        <v>0</v>
      </c>
      <c r="BA14" s="36">
        <v>0</v>
      </c>
      <c r="BB14" s="36">
        <v>0</v>
      </c>
      <c r="BC14" s="36">
        <v>0</v>
      </c>
      <c r="BD14" s="36">
        <v>0</v>
      </c>
      <c r="BE14" s="36">
        <v>0</v>
      </c>
      <c r="BF14" s="36">
        <v>0</v>
      </c>
      <c r="BG14" s="36">
        <v>0</v>
      </c>
      <c r="BH14" s="36">
        <v>0</v>
      </c>
      <c r="BI14" s="36">
        <v>0</v>
      </c>
      <c r="BJ14" s="36">
        <v>0</v>
      </c>
      <c r="BK14" s="36">
        <v>0</v>
      </c>
      <c r="BL14" s="36">
        <v>0</v>
      </c>
      <c r="BM14" s="36">
        <v>0</v>
      </c>
      <c r="BN14" s="36">
        <v>0</v>
      </c>
      <c r="BO14" s="36">
        <v>0</v>
      </c>
      <c r="BP14" s="36">
        <v>0</v>
      </c>
      <c r="BQ14" s="36">
        <v>0</v>
      </c>
      <c r="BR14" s="36">
        <v>0</v>
      </c>
      <c r="BS14" s="36">
        <v>0</v>
      </c>
      <c r="BT14" s="36">
        <v>0</v>
      </c>
      <c r="BU14" s="36">
        <v>0</v>
      </c>
      <c r="BV14" s="36">
        <v>0</v>
      </c>
      <c r="BW14" s="36">
        <v>0</v>
      </c>
      <c r="BX14" s="36">
        <v>0</v>
      </c>
      <c r="BY14" s="36">
        <v>0</v>
      </c>
      <c r="BZ14" s="36">
        <v>0</v>
      </c>
      <c r="CA14" s="36">
        <v>0</v>
      </c>
      <c r="CB14" s="36">
        <v>0</v>
      </c>
      <c r="CC14" s="36">
        <v>0</v>
      </c>
      <c r="CD14" s="36">
        <v>0</v>
      </c>
      <c r="CE14" s="36">
        <v>0</v>
      </c>
      <c r="CF14" s="36">
        <v>0</v>
      </c>
      <c r="CG14" s="36">
        <v>0</v>
      </c>
      <c r="CH14" s="36">
        <v>0</v>
      </c>
      <c r="CI14" s="36">
        <v>0</v>
      </c>
      <c r="CJ14" s="36">
        <v>0</v>
      </c>
      <c r="CK14" s="36">
        <v>0</v>
      </c>
      <c r="CL14" s="36">
        <v>0</v>
      </c>
      <c r="CM14" s="36">
        <v>0</v>
      </c>
      <c r="CN14" s="36">
        <v>0</v>
      </c>
      <c r="CO14" s="36">
        <v>0</v>
      </c>
      <c r="CP14" s="36">
        <v>0</v>
      </c>
      <c r="CQ14" s="36">
        <v>0</v>
      </c>
      <c r="CR14" s="36">
        <v>0</v>
      </c>
      <c r="CS14" s="36">
        <v>0</v>
      </c>
      <c r="CT14" s="36">
        <v>0</v>
      </c>
      <c r="CU14" s="36">
        <v>0</v>
      </c>
      <c r="CV14" s="36">
        <v>0</v>
      </c>
      <c r="CW14" s="36">
        <v>0</v>
      </c>
      <c r="CX14" s="36">
        <v>0</v>
      </c>
      <c r="CY14" s="36">
        <v>0</v>
      </c>
      <c r="CZ14" s="36">
        <v>0</v>
      </c>
      <c r="DA14" s="36">
        <v>0</v>
      </c>
      <c r="DB14" s="36">
        <v>0</v>
      </c>
      <c r="DC14" s="36">
        <v>0</v>
      </c>
      <c r="DD14" s="36">
        <v>0</v>
      </c>
      <c r="DE14" s="36">
        <v>0</v>
      </c>
      <c r="DF14" s="36">
        <v>0</v>
      </c>
      <c r="DG14" s="36">
        <v>0</v>
      </c>
      <c r="DH14" s="36">
        <v>0</v>
      </c>
      <c r="DI14" s="36">
        <v>0</v>
      </c>
      <c r="DJ14" s="36">
        <v>0</v>
      </c>
      <c r="DK14" s="36">
        <v>0</v>
      </c>
      <c r="DL14" s="36">
        <v>0</v>
      </c>
      <c r="DM14" s="36">
        <v>-1</v>
      </c>
      <c r="DN14" s="36">
        <v>1</v>
      </c>
      <c r="DO14" s="36">
        <v>0</v>
      </c>
      <c r="DP14" s="36">
        <v>0</v>
      </c>
      <c r="DQ14" s="36">
        <v>0</v>
      </c>
      <c r="DR14" s="36">
        <v>0</v>
      </c>
      <c r="DS14" s="36">
        <v>0</v>
      </c>
      <c r="DT14" s="36">
        <v>0</v>
      </c>
      <c r="DU14" s="36">
        <v>0</v>
      </c>
      <c r="DV14" s="36">
        <v>0</v>
      </c>
      <c r="DW14" s="36">
        <v>0</v>
      </c>
      <c r="DX14" s="36">
        <v>0</v>
      </c>
      <c r="DY14" s="36">
        <v>0</v>
      </c>
      <c r="DZ14" s="36">
        <v>0</v>
      </c>
      <c r="EA14" s="36">
        <v>0</v>
      </c>
      <c r="EB14" s="36">
        <v>0</v>
      </c>
      <c r="EC14" s="36">
        <v>0</v>
      </c>
      <c r="ED14" s="36">
        <v>0</v>
      </c>
      <c r="EE14" s="36">
        <v>0</v>
      </c>
      <c r="EF14" s="36">
        <v>0</v>
      </c>
      <c r="EG14" s="36">
        <v>0</v>
      </c>
      <c r="EH14" s="36">
        <v>0</v>
      </c>
      <c r="EI14" s="36">
        <v>0</v>
      </c>
      <c r="EJ14" s="36">
        <v>0</v>
      </c>
      <c r="EK14" s="36">
        <v>0</v>
      </c>
      <c r="EL14" s="36">
        <v>0</v>
      </c>
      <c r="EM14" s="36">
        <v>0</v>
      </c>
      <c r="EN14" s="36">
        <v>0</v>
      </c>
      <c r="EO14" s="36">
        <v>0</v>
      </c>
      <c r="EP14" s="36">
        <v>0</v>
      </c>
      <c r="ET14" t="s">
        <v>400</v>
      </c>
      <c r="EU14" t="s">
        <v>401</v>
      </c>
      <c r="EV14" s="36">
        <v>-3</v>
      </c>
      <c r="EW14" s="36">
        <v>6</v>
      </c>
      <c r="EX14" s="36">
        <v>8</v>
      </c>
      <c r="EY14" s="36">
        <v>0</v>
      </c>
      <c r="EZ14" s="36">
        <v>9</v>
      </c>
      <c r="FA14" s="36">
        <v>1</v>
      </c>
      <c r="FB14" s="36">
        <v>0</v>
      </c>
      <c r="FC14" s="42">
        <f>(4*EW14)+(EX14)+(-3*EY14)+(-2*EZ14)+(5*FA14)+(-2*FB14)+(-1*EV14)</f>
        <v>22</v>
      </c>
      <c r="FE14">
        <f t="shared" si="1"/>
        <v>3.6666666666666665</v>
      </c>
      <c r="FF14">
        <f t="shared" si="2"/>
        <v>3.6666666666666665</v>
      </c>
      <c r="FG14">
        <f t="shared" si="3"/>
        <v>3.6666666666666665</v>
      </c>
      <c r="FM14" s="43">
        <f t="shared" si="4"/>
        <v>0</v>
      </c>
      <c r="FN14" s="43">
        <f t="shared" si="4"/>
        <v>0</v>
      </c>
      <c r="FO14" s="43">
        <f t="shared" si="4"/>
        <v>0</v>
      </c>
      <c r="FP14" s="43">
        <f t="shared" si="4"/>
        <v>0</v>
      </c>
      <c r="FQ14" s="43">
        <f t="shared" si="4"/>
        <v>0</v>
      </c>
      <c r="FR14" s="43">
        <f t="shared" si="4"/>
        <v>0</v>
      </c>
      <c r="FS14" s="43">
        <f t="shared" si="4"/>
        <v>0</v>
      </c>
      <c r="FV14" t="s">
        <v>402</v>
      </c>
      <c r="FW14" t="s">
        <v>403</v>
      </c>
    </row>
    <row r="15" spans="1:179" ht="19.5" customHeight="1" x14ac:dyDescent="0.35">
      <c r="A15" t="s">
        <v>404</v>
      </c>
      <c r="B15" s="36">
        <v>1</v>
      </c>
      <c r="C15" s="36">
        <v>0</v>
      </c>
      <c r="D15" s="36">
        <v>0</v>
      </c>
      <c r="E15" s="36">
        <v>0</v>
      </c>
      <c r="F15" s="36">
        <v>0</v>
      </c>
      <c r="G15" s="36">
        <v>0</v>
      </c>
      <c r="H15" s="36">
        <v>0</v>
      </c>
      <c r="I15" s="36">
        <v>0</v>
      </c>
      <c r="J15" s="36">
        <v>0</v>
      </c>
      <c r="K15" s="36">
        <v>0</v>
      </c>
      <c r="L15" s="36">
        <v>0</v>
      </c>
      <c r="M15" s="36">
        <v>0</v>
      </c>
      <c r="N15" s="36">
        <v>1</v>
      </c>
      <c r="O15" s="36">
        <v>0</v>
      </c>
      <c r="P15" s="36">
        <v>0</v>
      </c>
      <c r="Q15" s="36">
        <v>0</v>
      </c>
      <c r="R15" s="36">
        <v>0</v>
      </c>
      <c r="S15" s="36">
        <v>0</v>
      </c>
      <c r="T15" s="36">
        <v>0</v>
      </c>
      <c r="U15" s="36">
        <v>0</v>
      </c>
      <c r="V15" s="36">
        <v>-1</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36">
        <v>0</v>
      </c>
      <c r="BL15" s="36">
        <v>0</v>
      </c>
      <c r="BM15" s="36">
        <v>0</v>
      </c>
      <c r="BN15" s="36">
        <v>0</v>
      </c>
      <c r="BO15" s="36">
        <v>0</v>
      </c>
      <c r="BP15" s="36">
        <v>0</v>
      </c>
      <c r="BQ15" s="36">
        <v>0</v>
      </c>
      <c r="BR15" s="36">
        <v>0</v>
      </c>
      <c r="BS15" s="36">
        <v>0</v>
      </c>
      <c r="BT15" s="36">
        <v>0</v>
      </c>
      <c r="BU15" s="36">
        <v>0</v>
      </c>
      <c r="BV15" s="36">
        <v>0</v>
      </c>
      <c r="BW15" s="36">
        <v>0</v>
      </c>
      <c r="BX15" s="36">
        <v>0</v>
      </c>
      <c r="BY15" s="36">
        <v>0</v>
      </c>
      <c r="BZ15" s="36">
        <v>0</v>
      </c>
      <c r="CA15" s="36">
        <v>0</v>
      </c>
      <c r="CB15" s="36">
        <v>0</v>
      </c>
      <c r="CC15" s="36">
        <v>0</v>
      </c>
      <c r="CD15" s="36">
        <v>0</v>
      </c>
      <c r="CE15" s="36">
        <v>0</v>
      </c>
      <c r="CF15" s="36">
        <v>0</v>
      </c>
      <c r="CG15" s="36">
        <v>0</v>
      </c>
      <c r="CH15" s="36">
        <v>0</v>
      </c>
      <c r="CI15" s="36">
        <v>0</v>
      </c>
      <c r="CJ15" s="36">
        <v>0</v>
      </c>
      <c r="CK15" s="36">
        <v>0</v>
      </c>
      <c r="CL15" s="36">
        <v>1</v>
      </c>
      <c r="CM15" s="36">
        <v>0</v>
      </c>
      <c r="CN15" s="36">
        <v>0</v>
      </c>
      <c r="CO15" s="36">
        <v>0</v>
      </c>
      <c r="CP15" s="36">
        <v>-1</v>
      </c>
      <c r="CQ15" s="36">
        <v>0</v>
      </c>
      <c r="CR15" s="36">
        <v>0</v>
      </c>
      <c r="CS15" s="36">
        <v>0</v>
      </c>
      <c r="CT15" s="36">
        <v>0</v>
      </c>
      <c r="CU15" s="36">
        <v>0</v>
      </c>
      <c r="CV15" s="36">
        <v>0</v>
      </c>
      <c r="CW15" s="36">
        <v>0</v>
      </c>
      <c r="CX15" s="36">
        <v>0</v>
      </c>
      <c r="CY15" s="36">
        <v>0</v>
      </c>
      <c r="CZ15" s="36">
        <v>0</v>
      </c>
      <c r="DA15" s="36">
        <v>0</v>
      </c>
      <c r="DB15" s="36">
        <v>0</v>
      </c>
      <c r="DC15" s="36">
        <v>0</v>
      </c>
      <c r="DD15" s="36">
        <v>0</v>
      </c>
      <c r="DE15" s="36">
        <v>0</v>
      </c>
      <c r="DF15" s="36">
        <v>0</v>
      </c>
      <c r="DG15" s="36">
        <v>0</v>
      </c>
      <c r="DH15" s="36">
        <v>0</v>
      </c>
      <c r="DI15" s="36">
        <v>0</v>
      </c>
      <c r="DJ15" s="36">
        <v>0</v>
      </c>
      <c r="DK15" s="36">
        <v>0</v>
      </c>
      <c r="DL15" s="36">
        <v>0</v>
      </c>
      <c r="DM15" s="36">
        <v>0</v>
      </c>
      <c r="DN15" s="36">
        <v>0</v>
      </c>
      <c r="DO15" s="36">
        <v>0</v>
      </c>
      <c r="DP15" s="36">
        <v>0</v>
      </c>
      <c r="DQ15" s="36">
        <v>0</v>
      </c>
      <c r="DR15" s="36">
        <v>0</v>
      </c>
      <c r="DS15" s="36">
        <v>0</v>
      </c>
      <c r="DT15" s="36">
        <v>0</v>
      </c>
      <c r="DU15" s="36">
        <v>0</v>
      </c>
      <c r="DV15" s="36">
        <v>0</v>
      </c>
      <c r="DW15" s="36">
        <v>0</v>
      </c>
      <c r="DX15" s="36">
        <v>0</v>
      </c>
      <c r="DY15" s="36">
        <v>0</v>
      </c>
      <c r="DZ15" s="36">
        <v>0</v>
      </c>
      <c r="EA15" s="36">
        <v>0</v>
      </c>
      <c r="EB15" s="36">
        <v>0</v>
      </c>
      <c r="EC15" s="36">
        <v>0</v>
      </c>
      <c r="ED15" s="36">
        <v>0</v>
      </c>
      <c r="EE15" s="36">
        <v>0</v>
      </c>
      <c r="EF15" s="36">
        <v>0</v>
      </c>
      <c r="EG15" s="36">
        <v>0</v>
      </c>
      <c r="EH15" s="36">
        <v>0</v>
      </c>
      <c r="EI15" s="36">
        <v>0</v>
      </c>
      <c r="EJ15" s="36">
        <v>0</v>
      </c>
      <c r="EK15" s="36">
        <v>0</v>
      </c>
      <c r="EL15" s="36">
        <v>0</v>
      </c>
      <c r="EM15" s="36">
        <v>0</v>
      </c>
      <c r="EN15" s="36">
        <v>0</v>
      </c>
      <c r="EO15" s="36">
        <v>0</v>
      </c>
      <c r="EP15" s="36">
        <v>0</v>
      </c>
      <c r="ET15" t="s">
        <v>405</v>
      </c>
      <c r="EU15" t="s">
        <v>406</v>
      </c>
      <c r="EV15" s="36">
        <v>-5</v>
      </c>
      <c r="EW15" s="36">
        <v>26</v>
      </c>
      <c r="EX15" s="36">
        <v>35</v>
      </c>
      <c r="EY15" s="36">
        <v>7</v>
      </c>
      <c r="EZ15" s="36">
        <v>19</v>
      </c>
      <c r="FA15" s="36">
        <v>3</v>
      </c>
      <c r="FB15" s="36">
        <v>1</v>
      </c>
      <c r="FC15" s="42">
        <f>(4*EW15)+(EX15)+(-3*EY15)+(-2*EZ15)+(5*FA15)+(-2*FB15)+(-1*EV15)</f>
        <v>98</v>
      </c>
      <c r="FE15">
        <f t="shared" si="1"/>
        <v>6.2307692307692308</v>
      </c>
      <c r="FF15">
        <f t="shared" si="2"/>
        <v>4.0769230769230766</v>
      </c>
      <c r="FG15">
        <f t="shared" si="3"/>
        <v>4.884615384615385</v>
      </c>
      <c r="FM15" s="43">
        <f t="shared" si="4"/>
        <v>0</v>
      </c>
      <c r="FN15" s="43">
        <f t="shared" si="4"/>
        <v>0</v>
      </c>
      <c r="FO15" s="43">
        <f t="shared" si="4"/>
        <v>0</v>
      </c>
      <c r="FP15" s="43">
        <f t="shared" si="4"/>
        <v>0</v>
      </c>
      <c r="FQ15" s="43">
        <f t="shared" si="4"/>
        <v>0</v>
      </c>
      <c r="FR15" s="43">
        <f t="shared" si="4"/>
        <v>0</v>
      </c>
      <c r="FS15" s="43">
        <f t="shared" si="4"/>
        <v>0</v>
      </c>
      <c r="FV15" t="s">
        <v>407</v>
      </c>
      <c r="FW15" t="s">
        <v>408</v>
      </c>
    </row>
    <row r="16" spans="1:179" ht="19.5" customHeight="1" x14ac:dyDescent="0.25">
      <c r="A16" t="s">
        <v>409</v>
      </c>
      <c r="B16" s="36">
        <v>1</v>
      </c>
      <c r="C16" s="36">
        <v>0</v>
      </c>
      <c r="D16" s="36">
        <v>0</v>
      </c>
      <c r="E16" s="36">
        <v>0</v>
      </c>
      <c r="F16" s="36">
        <v>0</v>
      </c>
      <c r="G16" s="36">
        <v>0</v>
      </c>
      <c r="H16" s="36">
        <v>0</v>
      </c>
      <c r="I16" s="36">
        <v>0</v>
      </c>
      <c r="J16" s="36">
        <v>0</v>
      </c>
      <c r="K16" s="36">
        <v>0</v>
      </c>
      <c r="L16" s="36">
        <v>0</v>
      </c>
      <c r="M16" s="36">
        <v>0</v>
      </c>
      <c r="N16" s="36">
        <v>1</v>
      </c>
      <c r="O16" s="36">
        <v>0</v>
      </c>
      <c r="P16" s="36">
        <v>0</v>
      </c>
      <c r="Q16" s="36">
        <v>0</v>
      </c>
      <c r="R16" s="36">
        <v>0</v>
      </c>
      <c r="S16" s="36">
        <v>0</v>
      </c>
      <c r="T16" s="36">
        <v>0</v>
      </c>
      <c r="U16" s="36">
        <v>0</v>
      </c>
      <c r="V16" s="36">
        <v>0</v>
      </c>
      <c r="W16" s="36">
        <v>0</v>
      </c>
      <c r="X16" s="36">
        <v>0</v>
      </c>
      <c r="Y16" s="36">
        <v>0</v>
      </c>
      <c r="Z16" s="36">
        <v>0</v>
      </c>
      <c r="AA16" s="36">
        <v>0</v>
      </c>
      <c r="AB16" s="36">
        <v>0</v>
      </c>
      <c r="AC16" s="36">
        <v>0</v>
      </c>
      <c r="AD16" s="36">
        <v>0</v>
      </c>
      <c r="AE16" s="36">
        <v>0</v>
      </c>
      <c r="AF16" s="36">
        <v>0</v>
      </c>
      <c r="AG16" s="36">
        <v>0</v>
      </c>
      <c r="AH16" s="36">
        <v>0</v>
      </c>
      <c r="AI16" s="36">
        <v>0</v>
      </c>
      <c r="AJ16" s="36">
        <v>0</v>
      </c>
      <c r="AK16" s="36">
        <v>0</v>
      </c>
      <c r="AL16" s="36">
        <v>1</v>
      </c>
      <c r="AM16" s="36">
        <v>0</v>
      </c>
      <c r="AN16" s="36">
        <v>0</v>
      </c>
      <c r="AO16" s="36">
        <v>0</v>
      </c>
      <c r="AP16" s="36">
        <v>0</v>
      </c>
      <c r="AQ16" s="36">
        <v>0</v>
      </c>
      <c r="AR16" s="36">
        <v>-1</v>
      </c>
      <c r="AS16" s="36">
        <v>0</v>
      </c>
      <c r="AT16" s="36">
        <v>0</v>
      </c>
      <c r="AU16" s="36">
        <v>0</v>
      </c>
      <c r="AV16" s="36">
        <v>0</v>
      </c>
      <c r="AW16" s="36">
        <v>0</v>
      </c>
      <c r="AX16" s="36">
        <v>0</v>
      </c>
      <c r="AY16" s="36">
        <v>0</v>
      </c>
      <c r="AZ16" s="36">
        <v>0</v>
      </c>
      <c r="BA16" s="36">
        <v>0</v>
      </c>
      <c r="BB16" s="36">
        <v>0</v>
      </c>
      <c r="BC16" s="36">
        <v>0</v>
      </c>
      <c r="BD16" s="36">
        <v>0</v>
      </c>
      <c r="BE16" s="36">
        <v>0</v>
      </c>
      <c r="BF16" s="36">
        <v>0</v>
      </c>
      <c r="BG16" s="36">
        <v>0</v>
      </c>
      <c r="BH16" s="36">
        <v>0</v>
      </c>
      <c r="BI16" s="36">
        <v>0</v>
      </c>
      <c r="BJ16" s="36">
        <v>0</v>
      </c>
      <c r="BK16" s="36">
        <v>0</v>
      </c>
      <c r="BL16" s="36">
        <v>0</v>
      </c>
      <c r="BM16" s="36">
        <v>0</v>
      </c>
      <c r="BN16" s="36">
        <v>0</v>
      </c>
      <c r="BO16" s="36">
        <v>0</v>
      </c>
      <c r="BP16" s="36">
        <v>0</v>
      </c>
      <c r="BQ16" s="36">
        <v>0</v>
      </c>
      <c r="BR16" s="36">
        <v>0</v>
      </c>
      <c r="BS16" s="36">
        <v>0</v>
      </c>
      <c r="BT16" s="36">
        <v>0</v>
      </c>
      <c r="BU16" s="36">
        <v>0</v>
      </c>
      <c r="BV16" s="36">
        <v>0</v>
      </c>
      <c r="BW16" s="36">
        <v>0</v>
      </c>
      <c r="BX16" s="36">
        <v>-1</v>
      </c>
      <c r="BY16" s="36">
        <v>0</v>
      </c>
      <c r="BZ16" s="36">
        <v>0</v>
      </c>
      <c r="CA16" s="36">
        <v>0</v>
      </c>
      <c r="CB16" s="36">
        <v>0</v>
      </c>
      <c r="CC16" s="36">
        <v>0</v>
      </c>
      <c r="CD16" s="36">
        <v>0</v>
      </c>
      <c r="CE16" s="36">
        <v>0</v>
      </c>
      <c r="CF16" s="36">
        <v>0</v>
      </c>
      <c r="CG16" s="36">
        <v>0</v>
      </c>
      <c r="CH16" s="36">
        <v>0</v>
      </c>
      <c r="CI16" s="36">
        <v>0</v>
      </c>
      <c r="CJ16" s="36">
        <v>0</v>
      </c>
      <c r="CK16" s="36">
        <v>0</v>
      </c>
      <c r="CL16" s="36">
        <v>0</v>
      </c>
      <c r="CM16" s="36">
        <v>0</v>
      </c>
      <c r="CN16" s="36">
        <v>0</v>
      </c>
      <c r="CO16" s="36">
        <v>0</v>
      </c>
      <c r="CP16" s="36">
        <v>0</v>
      </c>
      <c r="CQ16" s="36">
        <v>0</v>
      </c>
      <c r="CR16" s="36">
        <v>0</v>
      </c>
      <c r="CS16" s="36">
        <v>0</v>
      </c>
      <c r="CT16" s="36">
        <v>0</v>
      </c>
      <c r="CU16" s="36">
        <v>0</v>
      </c>
      <c r="CV16" s="36">
        <v>0</v>
      </c>
      <c r="CW16" s="36">
        <v>0</v>
      </c>
      <c r="CX16" s="36">
        <v>0</v>
      </c>
      <c r="CY16" s="36">
        <v>0</v>
      </c>
      <c r="CZ16" s="36">
        <v>0</v>
      </c>
      <c r="DA16" s="36">
        <v>0</v>
      </c>
      <c r="DB16" s="36">
        <v>0</v>
      </c>
      <c r="DC16" s="36">
        <v>0</v>
      </c>
      <c r="DD16" s="36">
        <v>0</v>
      </c>
      <c r="DE16" s="36">
        <v>0</v>
      </c>
      <c r="DF16" s="36">
        <v>0</v>
      </c>
      <c r="DG16" s="36">
        <v>0</v>
      </c>
      <c r="DH16" s="36">
        <v>0</v>
      </c>
      <c r="DI16" s="36">
        <v>0</v>
      </c>
      <c r="DJ16" s="36">
        <v>0</v>
      </c>
      <c r="DK16" s="36">
        <v>0</v>
      </c>
      <c r="DL16" s="36">
        <v>0</v>
      </c>
      <c r="DM16" s="36">
        <v>0</v>
      </c>
      <c r="DN16" s="36">
        <v>0</v>
      </c>
      <c r="DO16" s="36">
        <v>0</v>
      </c>
      <c r="DP16" s="36">
        <v>0</v>
      </c>
      <c r="DQ16" s="36">
        <v>0</v>
      </c>
      <c r="DR16" s="36">
        <v>0</v>
      </c>
      <c r="DS16" s="36">
        <v>0</v>
      </c>
      <c r="DT16" s="36">
        <v>0</v>
      </c>
      <c r="DU16" s="36">
        <v>0</v>
      </c>
      <c r="DV16" s="36">
        <v>0</v>
      </c>
      <c r="DW16" s="36">
        <v>0</v>
      </c>
      <c r="DX16" s="36">
        <v>1</v>
      </c>
      <c r="DY16" s="36">
        <v>0</v>
      </c>
      <c r="DZ16" s="36">
        <v>0</v>
      </c>
      <c r="EA16" s="36">
        <v>0</v>
      </c>
      <c r="EB16" s="36">
        <v>0</v>
      </c>
      <c r="EC16" s="36">
        <v>0</v>
      </c>
      <c r="ED16" s="36">
        <v>0</v>
      </c>
      <c r="EE16" s="36">
        <v>0</v>
      </c>
      <c r="EF16" s="36">
        <v>0</v>
      </c>
      <c r="EG16" s="36">
        <v>0</v>
      </c>
      <c r="EH16" s="36">
        <v>0</v>
      </c>
      <c r="EI16" s="36">
        <v>0</v>
      </c>
      <c r="EJ16" s="36">
        <v>0</v>
      </c>
      <c r="EK16" s="36">
        <v>0</v>
      </c>
      <c r="EL16" s="36">
        <v>0</v>
      </c>
      <c r="EM16" s="36">
        <v>0</v>
      </c>
      <c r="EN16" s="36">
        <v>0</v>
      </c>
      <c r="EO16" s="36">
        <v>-1</v>
      </c>
      <c r="EP16" s="36">
        <v>0</v>
      </c>
      <c r="ET16" t="s">
        <v>163</v>
      </c>
      <c r="EU16" s="44" t="s">
        <v>410</v>
      </c>
      <c r="EV16" s="36">
        <v>-2</v>
      </c>
      <c r="EW16" s="36">
        <v>5</v>
      </c>
      <c r="EX16" s="36">
        <v>4</v>
      </c>
      <c r="EY16" s="36">
        <v>0</v>
      </c>
      <c r="EZ16" s="36">
        <v>5</v>
      </c>
      <c r="FA16" s="36">
        <v>0</v>
      </c>
      <c r="FB16" s="36">
        <v>0</v>
      </c>
      <c r="FC16" s="42">
        <f>(4*EW16)+(EX16)+(-3*EY16)+(-2*EZ16)+(5*FA16)+(-2*FB16)+(-1*EV16)</f>
        <v>16</v>
      </c>
      <c r="FE16">
        <f t="shared" si="1"/>
        <v>3.2</v>
      </c>
      <c r="FF16">
        <f t="shared" si="2"/>
        <v>3.2</v>
      </c>
      <c r="FG16">
        <f t="shared" si="3"/>
        <v>3.2</v>
      </c>
      <c r="FM16" s="43">
        <f t="shared" si="4"/>
        <v>0</v>
      </c>
      <c r="FN16" s="43">
        <f t="shared" si="4"/>
        <v>0</v>
      </c>
      <c r="FO16" s="43">
        <f t="shared" si="4"/>
        <v>0</v>
      </c>
      <c r="FP16" s="43">
        <f t="shared" si="4"/>
        <v>0</v>
      </c>
      <c r="FQ16" s="43">
        <f t="shared" si="4"/>
        <v>0</v>
      </c>
      <c r="FR16" s="43">
        <f t="shared" si="4"/>
        <v>0</v>
      </c>
      <c r="FS16" s="43">
        <f t="shared" si="4"/>
        <v>0</v>
      </c>
      <c r="FV16" t="s">
        <v>411</v>
      </c>
      <c r="FW16" t="s">
        <v>412</v>
      </c>
    </row>
    <row r="17" spans="1:179" ht="19.5" customHeight="1" x14ac:dyDescent="0.35">
      <c r="A17" t="s">
        <v>413</v>
      </c>
      <c r="B17" s="36">
        <v>0</v>
      </c>
      <c r="C17" s="36">
        <v>0</v>
      </c>
      <c r="D17" s="36">
        <v>0</v>
      </c>
      <c r="E17" s="36">
        <v>0</v>
      </c>
      <c r="F17" s="36">
        <v>0</v>
      </c>
      <c r="G17" s="36">
        <v>0</v>
      </c>
      <c r="H17" s="36">
        <v>0</v>
      </c>
      <c r="I17" s="36">
        <v>0</v>
      </c>
      <c r="J17" s="36">
        <v>0</v>
      </c>
      <c r="K17" s="36">
        <v>0</v>
      </c>
      <c r="L17" s="36">
        <v>0</v>
      </c>
      <c r="M17" s="36">
        <v>0</v>
      </c>
      <c r="N17" s="36">
        <v>0</v>
      </c>
      <c r="O17" s="36">
        <v>0</v>
      </c>
      <c r="P17" s="36">
        <v>0</v>
      </c>
      <c r="Q17" s="36">
        <v>0</v>
      </c>
      <c r="R17" s="36">
        <v>0</v>
      </c>
      <c r="S17" s="36">
        <v>0</v>
      </c>
      <c r="T17" s="36">
        <v>0</v>
      </c>
      <c r="U17" s="36">
        <v>0</v>
      </c>
      <c r="V17" s="36">
        <v>0</v>
      </c>
      <c r="W17" s="36">
        <v>0</v>
      </c>
      <c r="X17" s="36">
        <v>0</v>
      </c>
      <c r="Y17" s="36">
        <v>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1</v>
      </c>
      <c r="AZ17" s="36">
        <v>0</v>
      </c>
      <c r="BA17" s="36">
        <v>0</v>
      </c>
      <c r="BB17" s="36">
        <v>0</v>
      </c>
      <c r="BC17" s="36">
        <v>0</v>
      </c>
      <c r="BD17" s="36">
        <v>0</v>
      </c>
      <c r="BE17" s="36">
        <v>0</v>
      </c>
      <c r="BF17" s="36">
        <v>0</v>
      </c>
      <c r="BG17" s="36">
        <v>0</v>
      </c>
      <c r="BH17" s="36">
        <v>0</v>
      </c>
      <c r="BI17" s="36">
        <v>0</v>
      </c>
      <c r="BJ17" s="36">
        <v>0</v>
      </c>
      <c r="BK17" s="36">
        <v>0</v>
      </c>
      <c r="BL17" s="36">
        <v>0</v>
      </c>
      <c r="BM17" s="36">
        <v>0</v>
      </c>
      <c r="BN17" s="36">
        <v>0</v>
      </c>
      <c r="BO17" s="36">
        <v>0</v>
      </c>
      <c r="BP17" s="36">
        <v>0</v>
      </c>
      <c r="BQ17" s="36">
        <v>0</v>
      </c>
      <c r="BR17" s="36">
        <v>0</v>
      </c>
      <c r="BS17" s="36">
        <v>0</v>
      </c>
      <c r="BT17" s="36">
        <v>0</v>
      </c>
      <c r="BU17" s="36">
        <v>0</v>
      </c>
      <c r="BV17" s="36">
        <v>0</v>
      </c>
      <c r="BW17" s="36">
        <v>0</v>
      </c>
      <c r="BX17" s="36">
        <v>-1</v>
      </c>
      <c r="BY17" s="36">
        <v>0</v>
      </c>
      <c r="BZ17" s="36">
        <v>0</v>
      </c>
      <c r="CA17" s="36">
        <v>0</v>
      </c>
      <c r="CB17" s="36">
        <v>0</v>
      </c>
      <c r="CC17" s="36">
        <v>0</v>
      </c>
      <c r="CD17" s="36">
        <v>0</v>
      </c>
      <c r="CE17" s="36">
        <v>0</v>
      </c>
      <c r="CF17" s="36">
        <v>0</v>
      </c>
      <c r="CG17" s="36">
        <v>0</v>
      </c>
      <c r="CH17" s="36">
        <v>0</v>
      </c>
      <c r="CI17" s="36">
        <v>0</v>
      </c>
      <c r="CJ17" s="36">
        <v>0</v>
      </c>
      <c r="CK17" s="36">
        <v>0</v>
      </c>
      <c r="CL17" s="36">
        <v>0</v>
      </c>
      <c r="CM17" s="36">
        <v>0</v>
      </c>
      <c r="CN17" s="36">
        <v>0</v>
      </c>
      <c r="CO17" s="36">
        <v>0</v>
      </c>
      <c r="CP17" s="36">
        <v>0</v>
      </c>
      <c r="CQ17" s="36">
        <v>0</v>
      </c>
      <c r="CR17" s="36">
        <v>0</v>
      </c>
      <c r="CS17" s="36">
        <v>0</v>
      </c>
      <c r="CT17" s="36">
        <v>0</v>
      </c>
      <c r="CU17" s="36">
        <v>0</v>
      </c>
      <c r="CV17" s="36">
        <v>0</v>
      </c>
      <c r="CW17" s="36">
        <v>0</v>
      </c>
      <c r="CX17" s="36">
        <v>0</v>
      </c>
      <c r="CY17" s="36">
        <v>0</v>
      </c>
      <c r="CZ17" s="36">
        <v>0</v>
      </c>
      <c r="DA17" s="36">
        <v>0</v>
      </c>
      <c r="DB17" s="36">
        <v>0</v>
      </c>
      <c r="DC17" s="36">
        <v>0</v>
      </c>
      <c r="DD17" s="36">
        <v>0</v>
      </c>
      <c r="DE17" s="36">
        <v>0</v>
      </c>
      <c r="DF17" s="36">
        <v>0</v>
      </c>
      <c r="DG17" s="36">
        <v>0</v>
      </c>
      <c r="DH17" s="36">
        <v>0</v>
      </c>
      <c r="DI17" s="36">
        <v>0</v>
      </c>
      <c r="DJ17" s="36">
        <v>0</v>
      </c>
      <c r="DK17" s="36">
        <v>-1</v>
      </c>
      <c r="DL17" s="36">
        <v>1</v>
      </c>
      <c r="DM17" s="36">
        <v>0</v>
      </c>
      <c r="DN17" s="36">
        <v>0</v>
      </c>
      <c r="DO17" s="36">
        <v>0</v>
      </c>
      <c r="DP17" s="36">
        <v>0</v>
      </c>
      <c r="DQ17" s="36">
        <v>0</v>
      </c>
      <c r="DR17" s="36">
        <v>0</v>
      </c>
      <c r="DS17" s="36">
        <v>0</v>
      </c>
      <c r="DT17" s="36">
        <v>0</v>
      </c>
      <c r="DU17" s="36">
        <v>0</v>
      </c>
      <c r="DV17" s="36">
        <v>0</v>
      </c>
      <c r="DW17" s="36">
        <v>0</v>
      </c>
      <c r="DX17" s="36">
        <v>0</v>
      </c>
      <c r="DY17" s="36">
        <v>0</v>
      </c>
      <c r="DZ17" s="36">
        <v>0</v>
      </c>
      <c r="EA17" s="36">
        <v>0</v>
      </c>
      <c r="EB17" s="36">
        <v>0</v>
      </c>
      <c r="EC17" s="36">
        <v>0</v>
      </c>
      <c r="ED17" s="36">
        <v>0</v>
      </c>
      <c r="EE17" s="36">
        <v>0</v>
      </c>
      <c r="EF17" s="36">
        <v>0</v>
      </c>
      <c r="EG17" s="36">
        <v>0</v>
      </c>
      <c r="EH17" s="36">
        <v>0</v>
      </c>
      <c r="EI17" s="36">
        <v>0</v>
      </c>
      <c r="EJ17" s="36">
        <v>0</v>
      </c>
      <c r="EK17" s="36">
        <v>0</v>
      </c>
      <c r="EL17" s="36">
        <v>0</v>
      </c>
      <c r="EM17" s="36">
        <v>0</v>
      </c>
      <c r="EN17" s="36">
        <v>0</v>
      </c>
      <c r="EO17" s="36">
        <v>0</v>
      </c>
      <c r="EP17" s="36">
        <v>0</v>
      </c>
      <c r="ET17" t="s">
        <v>414</v>
      </c>
      <c r="EU17" s="4" t="s">
        <v>415</v>
      </c>
      <c r="EV17" s="36">
        <v>-3</v>
      </c>
      <c r="EW17" s="36">
        <v>3</v>
      </c>
      <c r="EX17" s="36">
        <v>4</v>
      </c>
      <c r="EY17" s="36">
        <v>0</v>
      </c>
      <c r="EZ17" s="36">
        <v>7</v>
      </c>
      <c r="FA17" s="36">
        <v>1</v>
      </c>
      <c r="FB17" s="36">
        <v>0</v>
      </c>
      <c r="FC17" s="42">
        <v>10</v>
      </c>
      <c r="FE17">
        <f t="shared" si="1"/>
        <v>3.3333333333333335</v>
      </c>
      <c r="FF17">
        <f t="shared" si="2"/>
        <v>3.3333333333333335</v>
      </c>
      <c r="FG17">
        <f t="shared" si="3"/>
        <v>3.3333333333333335</v>
      </c>
      <c r="FM17" s="43">
        <f t="shared" si="4"/>
        <v>0</v>
      </c>
      <c r="FN17" s="43">
        <f t="shared" si="4"/>
        <v>0</v>
      </c>
      <c r="FO17" s="43">
        <f t="shared" si="4"/>
        <v>0</v>
      </c>
      <c r="FP17" s="43">
        <f t="shared" si="4"/>
        <v>0</v>
      </c>
      <c r="FQ17" s="43">
        <f t="shared" si="4"/>
        <v>0</v>
      </c>
      <c r="FR17" s="43">
        <f t="shared" si="4"/>
        <v>0</v>
      </c>
      <c r="FS17" s="43">
        <f t="shared" si="4"/>
        <v>0</v>
      </c>
      <c r="FV17" t="s">
        <v>416</v>
      </c>
      <c r="FW17" t="s">
        <v>417</v>
      </c>
    </row>
    <row r="18" spans="1:179" ht="19.5" customHeight="1" x14ac:dyDescent="0.35">
      <c r="A18" t="s">
        <v>418</v>
      </c>
      <c r="B18" s="36">
        <v>1</v>
      </c>
      <c r="C18" s="36">
        <v>0</v>
      </c>
      <c r="D18" s="36">
        <v>0</v>
      </c>
      <c r="E18" s="36">
        <v>0</v>
      </c>
      <c r="F18" s="36">
        <v>0</v>
      </c>
      <c r="G18" s="36">
        <v>0</v>
      </c>
      <c r="H18" s="36">
        <v>0</v>
      </c>
      <c r="I18" s="36">
        <v>0</v>
      </c>
      <c r="J18" s="36">
        <v>0</v>
      </c>
      <c r="K18" s="36">
        <v>0</v>
      </c>
      <c r="L18" s="36">
        <v>0</v>
      </c>
      <c r="M18" s="36">
        <v>0</v>
      </c>
      <c r="N18" s="36">
        <v>0</v>
      </c>
      <c r="O18" s="36">
        <v>0</v>
      </c>
      <c r="P18" s="36">
        <v>0</v>
      </c>
      <c r="Q18" s="36">
        <v>0</v>
      </c>
      <c r="R18" s="36">
        <v>0</v>
      </c>
      <c r="S18" s="36">
        <v>0</v>
      </c>
      <c r="T18" s="36">
        <v>0</v>
      </c>
      <c r="U18" s="36">
        <v>0</v>
      </c>
      <c r="V18" s="36">
        <v>0</v>
      </c>
      <c r="W18" s="36">
        <v>0</v>
      </c>
      <c r="X18" s="36">
        <v>-1</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0</v>
      </c>
      <c r="BK18" s="36">
        <v>0</v>
      </c>
      <c r="BL18" s="36">
        <v>0</v>
      </c>
      <c r="BM18" s="36">
        <v>0</v>
      </c>
      <c r="BN18" s="36">
        <v>0</v>
      </c>
      <c r="BO18" s="36">
        <v>0</v>
      </c>
      <c r="BP18" s="36">
        <v>0</v>
      </c>
      <c r="BQ18" s="36">
        <v>0</v>
      </c>
      <c r="BR18" s="36">
        <v>0</v>
      </c>
      <c r="BS18" s="36">
        <v>0</v>
      </c>
      <c r="BT18" s="36">
        <v>0</v>
      </c>
      <c r="BU18" s="36">
        <v>0</v>
      </c>
      <c r="BV18" s="36">
        <v>0</v>
      </c>
      <c r="BW18" s="36">
        <v>0</v>
      </c>
      <c r="BX18" s="36">
        <v>0</v>
      </c>
      <c r="BY18" s="36">
        <v>0</v>
      </c>
      <c r="BZ18" s="36">
        <v>0</v>
      </c>
      <c r="CA18" s="36">
        <v>0</v>
      </c>
      <c r="CB18" s="36">
        <v>0</v>
      </c>
      <c r="CC18" s="36">
        <v>-1</v>
      </c>
      <c r="CD18" s="36">
        <v>0</v>
      </c>
      <c r="CE18" s="36">
        <v>0</v>
      </c>
      <c r="CF18" s="36">
        <v>0</v>
      </c>
      <c r="CG18" s="36">
        <v>0</v>
      </c>
      <c r="CH18" s="36">
        <v>0</v>
      </c>
      <c r="CI18" s="36">
        <v>0</v>
      </c>
      <c r="CJ18" s="36">
        <v>0</v>
      </c>
      <c r="CK18" s="36">
        <v>0</v>
      </c>
      <c r="CL18" s="36">
        <v>0</v>
      </c>
      <c r="CM18" s="36">
        <v>0</v>
      </c>
      <c r="CN18" s="36">
        <v>0</v>
      </c>
      <c r="CO18" s="36">
        <v>0</v>
      </c>
      <c r="CP18" s="36">
        <v>-1</v>
      </c>
      <c r="CQ18" s="36">
        <v>0</v>
      </c>
      <c r="CR18" s="36">
        <v>0</v>
      </c>
      <c r="CS18" s="36">
        <v>0</v>
      </c>
      <c r="CT18" s="36">
        <v>0</v>
      </c>
      <c r="CU18" s="36">
        <v>0</v>
      </c>
      <c r="CV18" s="36">
        <v>0</v>
      </c>
      <c r="CW18" s="36">
        <v>0</v>
      </c>
      <c r="CX18" s="36">
        <v>0</v>
      </c>
      <c r="CY18" s="36">
        <v>0</v>
      </c>
      <c r="CZ18" s="36">
        <v>0</v>
      </c>
      <c r="DA18" s="36">
        <v>0</v>
      </c>
      <c r="DB18" s="36">
        <v>1</v>
      </c>
      <c r="DC18" s="36">
        <v>0</v>
      </c>
      <c r="DD18" s="36">
        <v>0</v>
      </c>
      <c r="DE18" s="36">
        <v>0</v>
      </c>
      <c r="DF18" s="36">
        <v>0</v>
      </c>
      <c r="DG18" s="36">
        <v>0</v>
      </c>
      <c r="DH18" s="36">
        <v>0</v>
      </c>
      <c r="DI18" s="36">
        <v>0</v>
      </c>
      <c r="DJ18" s="36">
        <v>0</v>
      </c>
      <c r="DK18" s="36">
        <v>0</v>
      </c>
      <c r="DL18" s="36">
        <v>0</v>
      </c>
      <c r="DM18" s="36">
        <v>0</v>
      </c>
      <c r="DN18" s="36">
        <v>0</v>
      </c>
      <c r="DO18" s="36">
        <v>0</v>
      </c>
      <c r="DP18" s="36">
        <v>0</v>
      </c>
      <c r="DQ18" s="36">
        <v>0</v>
      </c>
      <c r="DR18" s="36">
        <v>0</v>
      </c>
      <c r="DS18" s="36">
        <v>0</v>
      </c>
      <c r="DT18" s="36">
        <v>0</v>
      </c>
      <c r="DU18" s="36">
        <v>0</v>
      </c>
      <c r="DV18" s="36">
        <v>0</v>
      </c>
      <c r="DW18" s="36">
        <v>0</v>
      </c>
      <c r="DX18" s="36">
        <v>0</v>
      </c>
      <c r="DY18" s="36">
        <v>0</v>
      </c>
      <c r="DZ18" s="36">
        <v>0</v>
      </c>
      <c r="EA18" s="36">
        <v>0</v>
      </c>
      <c r="EB18" s="36">
        <v>0</v>
      </c>
      <c r="EC18" s="36">
        <v>0</v>
      </c>
      <c r="ED18" s="36">
        <v>0</v>
      </c>
      <c r="EE18" s="36">
        <v>0</v>
      </c>
      <c r="EF18" s="36">
        <v>0</v>
      </c>
      <c r="EG18" s="36">
        <v>0</v>
      </c>
      <c r="EH18" s="36">
        <v>0</v>
      </c>
      <c r="EI18" s="36">
        <v>0</v>
      </c>
      <c r="EJ18" s="36">
        <v>0</v>
      </c>
      <c r="EK18" s="36">
        <v>0</v>
      </c>
      <c r="EL18" s="36">
        <v>0</v>
      </c>
      <c r="EM18" s="36">
        <v>0</v>
      </c>
      <c r="EN18" s="36">
        <v>0</v>
      </c>
      <c r="EO18" s="36">
        <v>1</v>
      </c>
      <c r="EP18" s="36">
        <v>0</v>
      </c>
      <c r="ET18" t="s">
        <v>419</v>
      </c>
      <c r="EU18" t="s">
        <v>420</v>
      </c>
      <c r="EV18" s="36">
        <v>-1</v>
      </c>
      <c r="EW18" s="36">
        <v>4</v>
      </c>
      <c r="EX18" s="36">
        <v>7</v>
      </c>
      <c r="EY18" s="36">
        <v>0</v>
      </c>
      <c r="EZ18" s="36">
        <v>3</v>
      </c>
      <c r="FA18" s="36">
        <v>0</v>
      </c>
      <c r="FB18" s="36">
        <v>0</v>
      </c>
      <c r="FC18" s="42">
        <f>(4*EW18)+(EX18)+(-3*EY18)+(-2*EZ18)+(5*FA18)+(-2*FB18)+(-1*EV18)</f>
        <v>18</v>
      </c>
      <c r="FE18">
        <f t="shared" si="1"/>
        <v>4.5</v>
      </c>
      <c r="FF18">
        <f t="shared" si="2"/>
        <v>4.5</v>
      </c>
      <c r="FG18">
        <f t="shared" si="3"/>
        <v>4.5</v>
      </c>
      <c r="FM18" s="43">
        <f t="shared" ref="FM18:FS54" si="5">MMULT($C18:$EP18,EW$2:EW$145)</f>
        <v>0</v>
      </c>
      <c r="FN18" s="43">
        <f t="shared" si="5"/>
        <v>0</v>
      </c>
      <c r="FO18" s="43">
        <f t="shared" si="5"/>
        <v>0</v>
      </c>
      <c r="FP18" s="43">
        <f t="shared" si="5"/>
        <v>0</v>
      </c>
      <c r="FQ18" s="43">
        <f t="shared" si="5"/>
        <v>0</v>
      </c>
      <c r="FR18" s="43">
        <f t="shared" si="5"/>
        <v>0</v>
      </c>
      <c r="FS18" s="43">
        <f t="shared" si="5"/>
        <v>0</v>
      </c>
      <c r="FV18" t="s">
        <v>421</v>
      </c>
      <c r="FW18" t="s">
        <v>422</v>
      </c>
    </row>
    <row r="19" spans="1:179" ht="19.5" customHeight="1" x14ac:dyDescent="0.35">
      <c r="A19" t="s">
        <v>423</v>
      </c>
      <c r="B19" s="36">
        <v>1</v>
      </c>
      <c r="C19" s="36">
        <v>0</v>
      </c>
      <c r="D19" s="36">
        <v>0</v>
      </c>
      <c r="E19" s="36">
        <v>0</v>
      </c>
      <c r="F19" s="36">
        <v>0</v>
      </c>
      <c r="G19" s="36">
        <v>0</v>
      </c>
      <c r="H19" s="36">
        <v>0</v>
      </c>
      <c r="I19" s="36">
        <v>0</v>
      </c>
      <c r="J19" s="36">
        <v>0</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0</v>
      </c>
      <c r="BK19" s="36">
        <v>0</v>
      </c>
      <c r="BL19" s="36">
        <v>0</v>
      </c>
      <c r="BM19" s="36">
        <v>0</v>
      </c>
      <c r="BN19" s="36">
        <v>0</v>
      </c>
      <c r="BO19" s="36">
        <v>0</v>
      </c>
      <c r="BP19" s="36">
        <v>0</v>
      </c>
      <c r="BQ19" s="36">
        <v>0</v>
      </c>
      <c r="BR19" s="36">
        <v>0</v>
      </c>
      <c r="BS19" s="36">
        <v>0</v>
      </c>
      <c r="BT19" s="36">
        <v>0</v>
      </c>
      <c r="BU19" s="36">
        <v>0</v>
      </c>
      <c r="BV19" s="36">
        <v>0</v>
      </c>
      <c r="BW19" s="36">
        <v>0</v>
      </c>
      <c r="BX19" s="36">
        <v>0</v>
      </c>
      <c r="BY19" s="36">
        <v>0</v>
      </c>
      <c r="BZ19" s="36">
        <v>0</v>
      </c>
      <c r="CA19" s="36">
        <v>0</v>
      </c>
      <c r="CB19" s="36">
        <v>0</v>
      </c>
      <c r="CC19" s="36">
        <v>1</v>
      </c>
      <c r="CD19" s="36">
        <v>0</v>
      </c>
      <c r="CE19" s="36">
        <v>0</v>
      </c>
      <c r="CF19" s="36">
        <v>0</v>
      </c>
      <c r="CG19" s="36">
        <v>0</v>
      </c>
      <c r="CH19" s="36">
        <v>-1</v>
      </c>
      <c r="CI19" s="36">
        <v>0</v>
      </c>
      <c r="CJ19" s="36">
        <v>0</v>
      </c>
      <c r="CK19" s="36">
        <v>0</v>
      </c>
      <c r="CL19" s="36">
        <v>0</v>
      </c>
      <c r="CM19" s="36">
        <v>0</v>
      </c>
      <c r="CN19" s="36">
        <v>0</v>
      </c>
      <c r="CO19" s="36">
        <v>0</v>
      </c>
      <c r="CP19" s="36">
        <v>0</v>
      </c>
      <c r="CQ19" s="36">
        <v>0</v>
      </c>
      <c r="CR19" s="36">
        <v>0</v>
      </c>
      <c r="CS19" s="36">
        <v>0</v>
      </c>
      <c r="CT19" s="36">
        <v>0</v>
      </c>
      <c r="CU19" s="36">
        <v>0</v>
      </c>
      <c r="CV19" s="36">
        <v>0</v>
      </c>
      <c r="CW19" s="36">
        <v>1</v>
      </c>
      <c r="CX19" s="36">
        <v>0</v>
      </c>
      <c r="CY19" s="36">
        <v>0</v>
      </c>
      <c r="CZ19" s="36">
        <v>0</v>
      </c>
      <c r="DA19" s="36">
        <v>0</v>
      </c>
      <c r="DB19" s="36">
        <v>-1</v>
      </c>
      <c r="DC19" s="36">
        <v>0</v>
      </c>
      <c r="DD19" s="36">
        <v>0</v>
      </c>
      <c r="DE19" s="36">
        <v>0</v>
      </c>
      <c r="DF19" s="36">
        <v>0</v>
      </c>
      <c r="DG19" s="36">
        <v>0</v>
      </c>
      <c r="DH19" s="36">
        <v>0</v>
      </c>
      <c r="DI19" s="36">
        <v>0</v>
      </c>
      <c r="DJ19" s="36">
        <v>0</v>
      </c>
      <c r="DK19" s="36">
        <v>0</v>
      </c>
      <c r="DL19" s="36">
        <v>0</v>
      </c>
      <c r="DM19" s="36">
        <v>0</v>
      </c>
      <c r="DN19" s="36">
        <v>0</v>
      </c>
      <c r="DO19" s="36">
        <v>0</v>
      </c>
      <c r="DP19" s="36">
        <v>0</v>
      </c>
      <c r="DQ19" s="36">
        <v>0</v>
      </c>
      <c r="DR19" s="36">
        <v>0</v>
      </c>
      <c r="DS19" s="36">
        <v>0</v>
      </c>
      <c r="DT19" s="36">
        <v>0</v>
      </c>
      <c r="DU19" s="36">
        <v>0</v>
      </c>
      <c r="DV19" s="36">
        <v>0</v>
      </c>
      <c r="DW19" s="36">
        <v>0</v>
      </c>
      <c r="DX19" s="36">
        <v>0</v>
      </c>
      <c r="DY19" s="36">
        <v>0</v>
      </c>
      <c r="DZ19" s="36">
        <v>0</v>
      </c>
      <c r="EA19" s="36">
        <v>0</v>
      </c>
      <c r="EB19" s="36">
        <v>0</v>
      </c>
      <c r="EC19" s="36">
        <v>0</v>
      </c>
      <c r="ED19" s="36">
        <v>0</v>
      </c>
      <c r="EE19" s="36">
        <v>0</v>
      </c>
      <c r="EF19" s="36">
        <v>0</v>
      </c>
      <c r="EG19" s="36">
        <v>0</v>
      </c>
      <c r="EH19" s="36">
        <v>0</v>
      </c>
      <c r="EI19" s="36">
        <v>0</v>
      </c>
      <c r="EJ19" s="36">
        <v>0</v>
      </c>
      <c r="EK19" s="36">
        <v>0</v>
      </c>
      <c r="EL19" s="36">
        <v>0</v>
      </c>
      <c r="EM19" s="36">
        <v>0</v>
      </c>
      <c r="EN19" s="36">
        <v>0</v>
      </c>
      <c r="EO19" s="36">
        <v>0</v>
      </c>
      <c r="EP19" s="36">
        <v>0</v>
      </c>
      <c r="ET19" t="s">
        <v>424</v>
      </c>
      <c r="EU19" s="4" t="s">
        <v>415</v>
      </c>
      <c r="EV19" s="36">
        <v>-3</v>
      </c>
      <c r="EW19" s="36">
        <v>3</v>
      </c>
      <c r="EX19" s="36">
        <v>4</v>
      </c>
      <c r="EY19" s="36">
        <v>0</v>
      </c>
      <c r="EZ19" s="36">
        <v>7</v>
      </c>
      <c r="FA19" s="36">
        <v>1</v>
      </c>
      <c r="FB19" s="36">
        <v>0</v>
      </c>
      <c r="FC19" s="42">
        <v>10</v>
      </c>
      <c r="FE19">
        <f t="shared" si="1"/>
        <v>3.3333333333333335</v>
      </c>
      <c r="FF19">
        <f t="shared" si="2"/>
        <v>3.3333333333333335</v>
      </c>
      <c r="FG19">
        <f t="shared" si="3"/>
        <v>3.3333333333333335</v>
      </c>
      <c r="FM19" s="43">
        <f t="shared" si="5"/>
        <v>0</v>
      </c>
      <c r="FN19" s="43">
        <f t="shared" si="5"/>
        <v>0</v>
      </c>
      <c r="FO19" s="43">
        <f t="shared" si="5"/>
        <v>0</v>
      </c>
      <c r="FP19" s="43">
        <f t="shared" si="5"/>
        <v>0</v>
      </c>
      <c r="FQ19" s="43">
        <f t="shared" si="5"/>
        <v>0</v>
      </c>
      <c r="FR19" s="43">
        <f t="shared" si="5"/>
        <v>0</v>
      </c>
      <c r="FS19" s="43">
        <f t="shared" si="5"/>
        <v>0</v>
      </c>
      <c r="FV19" t="s">
        <v>425</v>
      </c>
      <c r="FW19" t="s">
        <v>426</v>
      </c>
    </row>
    <row r="20" spans="1:179" ht="19.5" customHeight="1" x14ac:dyDescent="0.35">
      <c r="A20" t="s">
        <v>427</v>
      </c>
      <c r="B20" s="36">
        <v>0</v>
      </c>
      <c r="C20" s="36">
        <v>0</v>
      </c>
      <c r="D20" s="36">
        <v>0</v>
      </c>
      <c r="E20" s="36">
        <v>0</v>
      </c>
      <c r="F20" s="36">
        <v>0</v>
      </c>
      <c r="G20" s="36">
        <v>0</v>
      </c>
      <c r="H20" s="36">
        <v>0</v>
      </c>
      <c r="I20" s="36">
        <v>0</v>
      </c>
      <c r="J20" s="36">
        <v>0</v>
      </c>
      <c r="K20" s="36">
        <v>0</v>
      </c>
      <c r="L20" s="36">
        <v>0</v>
      </c>
      <c r="M20" s="36">
        <v>0</v>
      </c>
      <c r="N20" s="36">
        <v>0</v>
      </c>
      <c r="O20" s="36">
        <v>0</v>
      </c>
      <c r="P20" s="36">
        <v>0</v>
      </c>
      <c r="Q20" s="36">
        <v>0</v>
      </c>
      <c r="R20" s="36">
        <v>0</v>
      </c>
      <c r="S20" s="36">
        <v>0</v>
      </c>
      <c r="T20" s="36">
        <v>0</v>
      </c>
      <c r="U20" s="36">
        <v>0</v>
      </c>
      <c r="V20" s="36">
        <v>0</v>
      </c>
      <c r="W20" s="36">
        <v>0</v>
      </c>
      <c r="X20" s="36">
        <v>0</v>
      </c>
      <c r="Y20" s="36">
        <v>0</v>
      </c>
      <c r="Z20" s="36">
        <v>0</v>
      </c>
      <c r="AA20" s="36">
        <v>0</v>
      </c>
      <c r="AB20" s="36">
        <v>0</v>
      </c>
      <c r="AC20" s="36">
        <v>0</v>
      </c>
      <c r="AD20" s="36">
        <v>0</v>
      </c>
      <c r="AE20" s="36">
        <v>0</v>
      </c>
      <c r="AF20" s="36">
        <v>0</v>
      </c>
      <c r="AG20" s="36">
        <v>0</v>
      </c>
      <c r="AH20" s="36">
        <v>0</v>
      </c>
      <c r="AI20" s="36">
        <v>0</v>
      </c>
      <c r="AJ20" s="36">
        <v>0</v>
      </c>
      <c r="AK20" s="36">
        <v>0</v>
      </c>
      <c r="AL20" s="36">
        <v>0</v>
      </c>
      <c r="AM20" s="36">
        <v>0</v>
      </c>
      <c r="AN20" s="36">
        <v>0</v>
      </c>
      <c r="AO20" s="36">
        <v>0</v>
      </c>
      <c r="AP20" s="36">
        <v>0</v>
      </c>
      <c r="AQ20" s="36">
        <v>0</v>
      </c>
      <c r="AR20" s="36">
        <v>0</v>
      </c>
      <c r="AS20" s="36">
        <v>0</v>
      </c>
      <c r="AT20" s="36">
        <v>0</v>
      </c>
      <c r="AU20" s="36">
        <v>0</v>
      </c>
      <c r="AV20" s="36">
        <v>0</v>
      </c>
      <c r="AW20" s="36">
        <v>0</v>
      </c>
      <c r="AX20" s="36">
        <v>0</v>
      </c>
      <c r="AY20" s="36">
        <v>0</v>
      </c>
      <c r="AZ20" s="36">
        <v>0</v>
      </c>
      <c r="BA20" s="36">
        <v>0</v>
      </c>
      <c r="BB20" s="36">
        <v>0</v>
      </c>
      <c r="BC20" s="36">
        <v>0</v>
      </c>
      <c r="BD20" s="36">
        <v>0</v>
      </c>
      <c r="BE20" s="36">
        <v>0</v>
      </c>
      <c r="BF20" s="36">
        <v>0</v>
      </c>
      <c r="BG20" s="36">
        <v>0</v>
      </c>
      <c r="BH20" s="36">
        <v>0</v>
      </c>
      <c r="BI20" s="36">
        <v>0</v>
      </c>
      <c r="BJ20" s="36">
        <v>0</v>
      </c>
      <c r="BK20" s="36">
        <v>1</v>
      </c>
      <c r="BL20" s="36">
        <v>0</v>
      </c>
      <c r="BM20" s="36">
        <v>0</v>
      </c>
      <c r="BN20" s="36">
        <v>0</v>
      </c>
      <c r="BO20" s="36">
        <v>0</v>
      </c>
      <c r="BP20" s="36">
        <v>0</v>
      </c>
      <c r="BQ20" s="36">
        <v>0</v>
      </c>
      <c r="BR20" s="36">
        <v>0</v>
      </c>
      <c r="BS20" s="36">
        <v>0</v>
      </c>
      <c r="BT20" s="36">
        <v>0</v>
      </c>
      <c r="BU20" s="36">
        <v>0</v>
      </c>
      <c r="BV20" s="36">
        <v>0</v>
      </c>
      <c r="BW20" s="36">
        <v>0</v>
      </c>
      <c r="BX20" s="36">
        <v>0</v>
      </c>
      <c r="BY20" s="36">
        <v>0</v>
      </c>
      <c r="BZ20" s="36">
        <v>0</v>
      </c>
      <c r="CA20" s="36">
        <v>0</v>
      </c>
      <c r="CB20" s="36">
        <v>0</v>
      </c>
      <c r="CC20" s="36">
        <v>0</v>
      </c>
      <c r="CD20" s="36">
        <v>0</v>
      </c>
      <c r="CE20" s="36">
        <v>0</v>
      </c>
      <c r="CF20" s="36">
        <v>0</v>
      </c>
      <c r="CG20" s="36">
        <v>0</v>
      </c>
      <c r="CH20" s="36">
        <v>0</v>
      </c>
      <c r="CI20" s="36">
        <v>0</v>
      </c>
      <c r="CJ20" s="36">
        <v>0</v>
      </c>
      <c r="CK20" s="36">
        <v>0</v>
      </c>
      <c r="CL20" s="36">
        <v>-1</v>
      </c>
      <c r="CM20" s="36">
        <v>0</v>
      </c>
      <c r="CN20" s="36">
        <v>0</v>
      </c>
      <c r="CO20" s="36">
        <v>0</v>
      </c>
      <c r="CP20" s="36">
        <v>0</v>
      </c>
      <c r="CQ20" s="36">
        <v>0</v>
      </c>
      <c r="CR20" s="36">
        <v>0</v>
      </c>
      <c r="CS20" s="36">
        <v>0</v>
      </c>
      <c r="CT20" s="36">
        <v>0</v>
      </c>
      <c r="CU20" s="36">
        <v>0</v>
      </c>
      <c r="CV20" s="36">
        <v>0</v>
      </c>
      <c r="CW20" s="36">
        <v>-1</v>
      </c>
      <c r="CX20" s="36">
        <v>0</v>
      </c>
      <c r="CY20" s="36">
        <v>0</v>
      </c>
      <c r="CZ20" s="36">
        <v>0</v>
      </c>
      <c r="DA20" s="36">
        <v>0</v>
      </c>
      <c r="DB20" s="36">
        <v>0</v>
      </c>
      <c r="DC20" s="36">
        <v>0</v>
      </c>
      <c r="DD20" s="36">
        <v>0</v>
      </c>
      <c r="DE20" s="36">
        <v>0</v>
      </c>
      <c r="DF20" s="36">
        <v>0</v>
      </c>
      <c r="DG20" s="36">
        <v>0</v>
      </c>
      <c r="DH20" s="36">
        <v>0</v>
      </c>
      <c r="DI20" s="36">
        <v>0</v>
      </c>
      <c r="DJ20" s="36">
        <v>0</v>
      </c>
      <c r="DK20" s="36">
        <v>1</v>
      </c>
      <c r="DL20" s="36">
        <v>-1</v>
      </c>
      <c r="DM20" s="36">
        <v>0</v>
      </c>
      <c r="DN20" s="36">
        <v>0</v>
      </c>
      <c r="DO20" s="36">
        <v>0</v>
      </c>
      <c r="DP20" s="36">
        <v>0</v>
      </c>
      <c r="DQ20" s="36">
        <v>0</v>
      </c>
      <c r="DR20" s="36">
        <v>0</v>
      </c>
      <c r="DS20" s="36">
        <v>0</v>
      </c>
      <c r="DT20" s="36">
        <v>0</v>
      </c>
      <c r="DU20" s="36">
        <v>0</v>
      </c>
      <c r="DV20" s="36">
        <v>0</v>
      </c>
      <c r="DW20" s="36">
        <v>0</v>
      </c>
      <c r="DX20" s="36">
        <v>0</v>
      </c>
      <c r="DY20" s="36">
        <v>0</v>
      </c>
      <c r="DZ20" s="36">
        <v>0</v>
      </c>
      <c r="EA20" s="36">
        <v>0</v>
      </c>
      <c r="EB20" s="36">
        <v>0</v>
      </c>
      <c r="EC20" s="36">
        <v>0</v>
      </c>
      <c r="ED20" s="36">
        <v>0</v>
      </c>
      <c r="EE20" s="36">
        <v>0</v>
      </c>
      <c r="EF20" s="36">
        <v>0</v>
      </c>
      <c r="EG20" s="36">
        <v>0</v>
      </c>
      <c r="EH20" s="36">
        <v>0</v>
      </c>
      <c r="EI20" s="36">
        <v>0</v>
      </c>
      <c r="EJ20" s="36">
        <v>0</v>
      </c>
      <c r="EK20" s="36">
        <v>0</v>
      </c>
      <c r="EL20" s="36">
        <v>0</v>
      </c>
      <c r="EM20" s="36">
        <v>0</v>
      </c>
      <c r="EN20" s="36">
        <v>0</v>
      </c>
      <c r="EO20" s="36">
        <v>0</v>
      </c>
      <c r="EP20" s="36">
        <v>0</v>
      </c>
      <c r="ET20" t="s">
        <v>428</v>
      </c>
      <c r="EU20" t="s">
        <v>429</v>
      </c>
      <c r="EV20" s="36">
        <v>-4</v>
      </c>
      <c r="EW20" s="36">
        <v>3</v>
      </c>
      <c r="EX20" s="36">
        <v>4</v>
      </c>
      <c r="EY20" s="36">
        <v>0</v>
      </c>
      <c r="EZ20" s="36">
        <v>10</v>
      </c>
      <c r="FA20" s="36">
        <v>2</v>
      </c>
      <c r="FB20" s="36">
        <v>0</v>
      </c>
      <c r="FC20" s="42">
        <v>10</v>
      </c>
      <c r="FE20">
        <f t="shared" si="1"/>
        <v>3.3333333333333335</v>
      </c>
      <c r="FF20">
        <f t="shared" si="2"/>
        <v>3.3333333333333335</v>
      </c>
      <c r="FG20">
        <f t="shared" si="3"/>
        <v>3.3333333333333335</v>
      </c>
      <c r="FM20" s="43">
        <f t="shared" si="5"/>
        <v>0</v>
      </c>
      <c r="FN20" s="43">
        <f t="shared" si="5"/>
        <v>0</v>
      </c>
      <c r="FO20" s="43">
        <f t="shared" si="5"/>
        <v>0</v>
      </c>
      <c r="FP20" s="43">
        <f t="shared" si="5"/>
        <v>0</v>
      </c>
      <c r="FQ20" s="43">
        <f t="shared" si="5"/>
        <v>0</v>
      </c>
      <c r="FR20" s="43">
        <f t="shared" si="5"/>
        <v>0</v>
      </c>
      <c r="FS20" s="43">
        <f t="shared" si="5"/>
        <v>0</v>
      </c>
      <c r="FV20" t="s">
        <v>430</v>
      </c>
      <c r="FW20" t="s">
        <v>431</v>
      </c>
    </row>
    <row r="21" spans="1:179" ht="19.5" customHeight="1" x14ac:dyDescent="0.35">
      <c r="A21" t="s">
        <v>432</v>
      </c>
      <c r="B21" s="36">
        <v>0</v>
      </c>
      <c r="C21" s="36">
        <v>0</v>
      </c>
      <c r="D21" s="36">
        <v>0</v>
      </c>
      <c r="E21" s="36">
        <v>0</v>
      </c>
      <c r="F21" s="36">
        <v>0</v>
      </c>
      <c r="G21" s="36">
        <v>0</v>
      </c>
      <c r="H21" s="36">
        <v>0</v>
      </c>
      <c r="I21" s="36">
        <v>0</v>
      </c>
      <c r="J21" s="36">
        <v>0</v>
      </c>
      <c r="K21" s="36">
        <v>0</v>
      </c>
      <c r="L21" s="36">
        <v>0</v>
      </c>
      <c r="M21" s="36">
        <v>0</v>
      </c>
      <c r="N21" s="36">
        <v>0</v>
      </c>
      <c r="O21" s="36">
        <v>0</v>
      </c>
      <c r="P21" s="36">
        <v>0</v>
      </c>
      <c r="Q21" s="36">
        <v>0</v>
      </c>
      <c r="R21" s="36">
        <v>0</v>
      </c>
      <c r="S21" s="36">
        <v>0</v>
      </c>
      <c r="T21" s="36">
        <v>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0</v>
      </c>
      <c r="AL21" s="36">
        <v>0</v>
      </c>
      <c r="AM21" s="36">
        <v>0</v>
      </c>
      <c r="AN21" s="36">
        <v>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0</v>
      </c>
      <c r="BK21" s="36">
        <v>1</v>
      </c>
      <c r="BL21" s="36">
        <v>0</v>
      </c>
      <c r="BM21" s="36">
        <v>0</v>
      </c>
      <c r="BN21" s="36">
        <v>0</v>
      </c>
      <c r="BO21" s="36">
        <v>0</v>
      </c>
      <c r="BP21" s="36">
        <v>0</v>
      </c>
      <c r="BQ21" s="36">
        <v>0</v>
      </c>
      <c r="BR21" s="36">
        <v>0</v>
      </c>
      <c r="BS21" s="36">
        <v>0</v>
      </c>
      <c r="BT21" s="36">
        <v>0</v>
      </c>
      <c r="BU21" s="36">
        <v>0</v>
      </c>
      <c r="BV21" s="36">
        <v>0</v>
      </c>
      <c r="BW21" s="36">
        <v>0</v>
      </c>
      <c r="BX21" s="36">
        <v>0</v>
      </c>
      <c r="BY21" s="36">
        <v>0</v>
      </c>
      <c r="BZ21" s="36">
        <v>0</v>
      </c>
      <c r="CA21" s="36">
        <v>0</v>
      </c>
      <c r="CB21" s="36">
        <v>0</v>
      </c>
      <c r="CC21" s="36">
        <v>0</v>
      </c>
      <c r="CD21" s="36">
        <v>0</v>
      </c>
      <c r="CE21" s="36">
        <v>0</v>
      </c>
      <c r="CF21" s="36">
        <v>0</v>
      </c>
      <c r="CG21" s="36">
        <v>0</v>
      </c>
      <c r="CH21" s="36">
        <v>0</v>
      </c>
      <c r="CI21" s="36">
        <v>0</v>
      </c>
      <c r="CJ21" s="36">
        <v>0</v>
      </c>
      <c r="CK21" s="36">
        <v>0</v>
      </c>
      <c r="CL21" s="36">
        <v>-1</v>
      </c>
      <c r="CM21" s="36">
        <v>0</v>
      </c>
      <c r="CN21" s="36">
        <v>0</v>
      </c>
      <c r="CO21" s="36">
        <v>0</v>
      </c>
      <c r="CP21" s="36">
        <v>0</v>
      </c>
      <c r="CQ21" s="36">
        <v>0</v>
      </c>
      <c r="CR21" s="36">
        <v>0</v>
      </c>
      <c r="CS21" s="36">
        <v>0</v>
      </c>
      <c r="CT21" s="36">
        <v>0</v>
      </c>
      <c r="CU21" s="36">
        <v>0</v>
      </c>
      <c r="CV21" s="36">
        <v>0</v>
      </c>
      <c r="CW21" s="36">
        <v>-1</v>
      </c>
      <c r="CX21" s="36">
        <v>0</v>
      </c>
      <c r="CY21" s="36">
        <v>0</v>
      </c>
      <c r="CZ21" s="36">
        <v>0</v>
      </c>
      <c r="DA21" s="36">
        <v>0</v>
      </c>
      <c r="DB21" s="36">
        <v>0</v>
      </c>
      <c r="DC21" s="36">
        <v>0</v>
      </c>
      <c r="DD21" s="36">
        <v>0</v>
      </c>
      <c r="DE21" s="36">
        <v>0</v>
      </c>
      <c r="DF21" s="36">
        <v>0</v>
      </c>
      <c r="DG21" s="36">
        <v>0</v>
      </c>
      <c r="DH21" s="36">
        <v>0</v>
      </c>
      <c r="DI21" s="36">
        <v>0</v>
      </c>
      <c r="DJ21" s="36">
        <v>0</v>
      </c>
      <c r="DK21" s="36">
        <v>0</v>
      </c>
      <c r="DL21" s="36">
        <v>0</v>
      </c>
      <c r="DM21" s="36">
        <v>1</v>
      </c>
      <c r="DN21" s="36">
        <v>-1</v>
      </c>
      <c r="DO21" s="36">
        <v>0</v>
      </c>
      <c r="DP21" s="36">
        <v>0</v>
      </c>
      <c r="DQ21" s="36">
        <v>0</v>
      </c>
      <c r="DR21" s="36">
        <v>0</v>
      </c>
      <c r="DS21" s="36">
        <v>0</v>
      </c>
      <c r="DT21" s="36">
        <v>0</v>
      </c>
      <c r="DU21" s="36">
        <v>0</v>
      </c>
      <c r="DV21" s="36">
        <v>0</v>
      </c>
      <c r="DW21" s="36">
        <v>0</v>
      </c>
      <c r="DX21" s="36">
        <v>0</v>
      </c>
      <c r="DY21" s="36">
        <v>0</v>
      </c>
      <c r="DZ21" s="36">
        <v>0</v>
      </c>
      <c r="EA21" s="36">
        <v>0</v>
      </c>
      <c r="EB21" s="36">
        <v>0</v>
      </c>
      <c r="EC21" s="36">
        <v>0</v>
      </c>
      <c r="ED21" s="36">
        <v>0</v>
      </c>
      <c r="EE21" s="36">
        <v>0</v>
      </c>
      <c r="EF21" s="36">
        <v>0</v>
      </c>
      <c r="EG21" s="36">
        <v>0</v>
      </c>
      <c r="EH21" s="36">
        <v>0</v>
      </c>
      <c r="EI21" s="36">
        <v>0</v>
      </c>
      <c r="EJ21" s="36">
        <v>0</v>
      </c>
      <c r="EK21" s="36">
        <v>0</v>
      </c>
      <c r="EL21" s="36">
        <v>0</v>
      </c>
      <c r="EM21" s="36">
        <v>0</v>
      </c>
      <c r="EN21" s="36">
        <v>0</v>
      </c>
      <c r="EO21" s="36">
        <v>0</v>
      </c>
      <c r="EP21" s="36">
        <v>0</v>
      </c>
      <c r="ET21" t="s">
        <v>433</v>
      </c>
      <c r="EU21" t="s">
        <v>434</v>
      </c>
      <c r="EV21" s="36">
        <v>-1</v>
      </c>
      <c r="EW21" s="36">
        <v>20</v>
      </c>
      <c r="EX21" s="36">
        <v>20</v>
      </c>
      <c r="EY21" s="36">
        <v>7</v>
      </c>
      <c r="EZ21" s="36">
        <v>6</v>
      </c>
      <c r="FA21" s="36">
        <v>0</v>
      </c>
      <c r="FB21" s="36">
        <v>0</v>
      </c>
      <c r="FC21" s="42">
        <f t="shared" ref="FC21:FC46" si="6">(4*EW21)+(EX21)+(-3*EY21)+(-2*EZ21)+(5*FA21)+(-2*FB21)+(-1*EV21)</f>
        <v>68</v>
      </c>
      <c r="FE21">
        <f t="shared" si="1"/>
        <v>6.2</v>
      </c>
      <c r="FF21">
        <f t="shared" si="2"/>
        <v>3.4</v>
      </c>
      <c r="FG21">
        <f t="shared" si="3"/>
        <v>4.45</v>
      </c>
      <c r="FM21" s="43">
        <f t="shared" si="5"/>
        <v>0</v>
      </c>
      <c r="FN21" s="43">
        <f t="shared" si="5"/>
        <v>0</v>
      </c>
      <c r="FO21" s="43">
        <f t="shared" si="5"/>
        <v>0</v>
      </c>
      <c r="FP21" s="43">
        <f t="shared" si="5"/>
        <v>0</v>
      </c>
      <c r="FQ21" s="43">
        <f t="shared" si="5"/>
        <v>0</v>
      </c>
      <c r="FR21" s="43">
        <f t="shared" si="5"/>
        <v>0</v>
      </c>
      <c r="FS21" s="43">
        <f t="shared" si="5"/>
        <v>0</v>
      </c>
      <c r="FV21" t="s">
        <v>435</v>
      </c>
      <c r="FW21" t="s">
        <v>436</v>
      </c>
    </row>
    <row r="22" spans="1:179" ht="19.5" customHeight="1" x14ac:dyDescent="0.35">
      <c r="A22" t="s">
        <v>437</v>
      </c>
      <c r="B22" s="36">
        <v>0</v>
      </c>
      <c r="C22" s="36">
        <v>0</v>
      </c>
      <c r="D22" s="36">
        <v>0</v>
      </c>
      <c r="E22" s="36">
        <v>0</v>
      </c>
      <c r="F22" s="36">
        <v>0</v>
      </c>
      <c r="G22" s="36">
        <v>0</v>
      </c>
      <c r="H22" s="36">
        <v>0</v>
      </c>
      <c r="I22" s="36">
        <v>0</v>
      </c>
      <c r="J22" s="36">
        <v>0</v>
      </c>
      <c r="K22" s="36">
        <v>0</v>
      </c>
      <c r="L22" s="36">
        <v>0</v>
      </c>
      <c r="M22" s="36">
        <v>0</v>
      </c>
      <c r="N22" s="36">
        <v>0</v>
      </c>
      <c r="O22" s="36">
        <v>0</v>
      </c>
      <c r="P22" s="36">
        <v>0</v>
      </c>
      <c r="Q22" s="36">
        <v>0</v>
      </c>
      <c r="R22" s="36">
        <v>1</v>
      </c>
      <c r="S22" s="36">
        <v>0</v>
      </c>
      <c r="T22" s="36">
        <v>0</v>
      </c>
      <c r="U22" s="36">
        <v>0</v>
      </c>
      <c r="V22" s="36">
        <v>0</v>
      </c>
      <c r="W22" s="36">
        <v>0</v>
      </c>
      <c r="X22" s="36">
        <v>0</v>
      </c>
      <c r="Y22" s="36">
        <v>0</v>
      </c>
      <c r="Z22" s="36">
        <v>0</v>
      </c>
      <c r="AA22" s="36">
        <v>0</v>
      </c>
      <c r="AB22" s="36">
        <v>0</v>
      </c>
      <c r="AC22" s="36">
        <v>0</v>
      </c>
      <c r="AD22" s="36">
        <v>0</v>
      </c>
      <c r="AE22" s="36">
        <v>0</v>
      </c>
      <c r="AF22" s="36">
        <v>0</v>
      </c>
      <c r="AG22" s="36">
        <v>0</v>
      </c>
      <c r="AH22" s="36">
        <v>0</v>
      </c>
      <c r="AI22" s="36">
        <v>0</v>
      </c>
      <c r="AJ22" s="36">
        <v>0</v>
      </c>
      <c r="AK22" s="36">
        <v>0</v>
      </c>
      <c r="AL22" s="36">
        <v>1</v>
      </c>
      <c r="AM22" s="36">
        <v>0</v>
      </c>
      <c r="AN22" s="36">
        <v>0</v>
      </c>
      <c r="AO22" s="36">
        <v>0</v>
      </c>
      <c r="AP22" s="36">
        <v>0</v>
      </c>
      <c r="AQ22" s="36">
        <v>0</v>
      </c>
      <c r="AR22" s="36">
        <v>-1</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0</v>
      </c>
      <c r="BK22" s="36">
        <v>-1</v>
      </c>
      <c r="BL22" s="36">
        <v>0</v>
      </c>
      <c r="BM22" s="36">
        <v>0</v>
      </c>
      <c r="BN22" s="36">
        <v>0</v>
      </c>
      <c r="BO22" s="36">
        <v>0</v>
      </c>
      <c r="BP22" s="36">
        <v>0</v>
      </c>
      <c r="BQ22" s="36">
        <v>0</v>
      </c>
      <c r="BR22" s="36">
        <v>0</v>
      </c>
      <c r="BS22" s="36">
        <v>0</v>
      </c>
      <c r="BT22" s="36">
        <v>0</v>
      </c>
      <c r="BU22" s="36">
        <v>0</v>
      </c>
      <c r="BV22" s="36">
        <v>0</v>
      </c>
      <c r="BW22" s="36">
        <v>0</v>
      </c>
      <c r="BX22" s="36">
        <v>0</v>
      </c>
      <c r="BY22" s="36">
        <v>0</v>
      </c>
      <c r="BZ22" s="36">
        <v>0</v>
      </c>
      <c r="CA22" s="36">
        <v>0</v>
      </c>
      <c r="CB22" s="36">
        <v>0</v>
      </c>
      <c r="CC22" s="36">
        <v>0</v>
      </c>
      <c r="CD22" s="36">
        <v>0</v>
      </c>
      <c r="CE22" s="36">
        <v>0</v>
      </c>
      <c r="CF22" s="36">
        <v>0</v>
      </c>
      <c r="CG22" s="36">
        <v>0</v>
      </c>
      <c r="CH22" s="36">
        <v>0</v>
      </c>
      <c r="CI22" s="36">
        <v>0</v>
      </c>
      <c r="CJ22" s="36">
        <v>0</v>
      </c>
      <c r="CK22" s="36">
        <v>0</v>
      </c>
      <c r="CL22" s="36">
        <v>1</v>
      </c>
      <c r="CM22" s="36">
        <v>0</v>
      </c>
      <c r="CN22" s="36">
        <v>0</v>
      </c>
      <c r="CO22" s="36">
        <v>0</v>
      </c>
      <c r="CP22" s="36">
        <v>0</v>
      </c>
      <c r="CQ22" s="36">
        <v>0</v>
      </c>
      <c r="CR22" s="36">
        <v>0</v>
      </c>
      <c r="CS22" s="36">
        <v>0</v>
      </c>
      <c r="CT22" s="36">
        <v>0</v>
      </c>
      <c r="CU22" s="36">
        <v>0</v>
      </c>
      <c r="CV22" s="36">
        <v>0</v>
      </c>
      <c r="CW22" s="36">
        <v>0</v>
      </c>
      <c r="CX22" s="36">
        <v>0</v>
      </c>
      <c r="CY22" s="36">
        <v>0</v>
      </c>
      <c r="CZ22" s="36">
        <v>0</v>
      </c>
      <c r="DA22" s="36">
        <v>0</v>
      </c>
      <c r="DB22" s="36">
        <v>0</v>
      </c>
      <c r="DC22" s="36">
        <v>0</v>
      </c>
      <c r="DD22" s="36">
        <v>0</v>
      </c>
      <c r="DE22" s="36">
        <v>0</v>
      </c>
      <c r="DF22" s="36">
        <v>0</v>
      </c>
      <c r="DG22" s="36">
        <v>0</v>
      </c>
      <c r="DH22" s="36">
        <v>0</v>
      </c>
      <c r="DI22" s="36">
        <v>0</v>
      </c>
      <c r="DJ22" s="36">
        <v>0</v>
      </c>
      <c r="DK22" s="36">
        <v>0</v>
      </c>
      <c r="DL22" s="36">
        <v>0</v>
      </c>
      <c r="DM22" s="36">
        <v>0</v>
      </c>
      <c r="DN22" s="36">
        <v>0</v>
      </c>
      <c r="DO22" s="36">
        <v>0</v>
      </c>
      <c r="DP22" s="36">
        <v>0</v>
      </c>
      <c r="DQ22" s="36">
        <v>0</v>
      </c>
      <c r="DR22" s="36">
        <v>0</v>
      </c>
      <c r="DS22" s="36">
        <v>0</v>
      </c>
      <c r="DT22" s="36">
        <v>0</v>
      </c>
      <c r="DU22" s="36">
        <v>0</v>
      </c>
      <c r="DV22" s="36">
        <v>0</v>
      </c>
      <c r="DW22" s="36">
        <v>0</v>
      </c>
      <c r="DX22" s="36">
        <v>0</v>
      </c>
      <c r="DY22" s="36">
        <v>0</v>
      </c>
      <c r="DZ22" s="36">
        <v>0</v>
      </c>
      <c r="EA22" s="36">
        <v>0</v>
      </c>
      <c r="EB22" s="36">
        <v>0</v>
      </c>
      <c r="EC22" s="36">
        <v>0</v>
      </c>
      <c r="ED22" s="36">
        <v>0</v>
      </c>
      <c r="EE22" s="36">
        <v>0</v>
      </c>
      <c r="EF22" s="36">
        <v>0</v>
      </c>
      <c r="EG22" s="36">
        <v>0</v>
      </c>
      <c r="EH22" s="36">
        <v>0</v>
      </c>
      <c r="EI22" s="36">
        <v>0</v>
      </c>
      <c r="EJ22" s="36">
        <v>0</v>
      </c>
      <c r="EK22" s="36">
        <v>0</v>
      </c>
      <c r="EL22" s="36">
        <v>0</v>
      </c>
      <c r="EM22" s="36">
        <v>0</v>
      </c>
      <c r="EN22" s="36">
        <v>0</v>
      </c>
      <c r="EO22" s="36">
        <v>0</v>
      </c>
      <c r="EP22" s="36">
        <v>0</v>
      </c>
      <c r="ET22" t="s">
        <v>438</v>
      </c>
      <c r="EU22" t="s">
        <v>439</v>
      </c>
      <c r="EV22" s="36">
        <v>-2</v>
      </c>
      <c r="EW22" s="36">
        <v>31</v>
      </c>
      <c r="EX22" s="36">
        <v>41</v>
      </c>
      <c r="EY22" s="36">
        <v>6</v>
      </c>
      <c r="EZ22" s="36">
        <v>16</v>
      </c>
      <c r="FA22" s="36">
        <v>1</v>
      </c>
      <c r="FB22" s="36">
        <v>0</v>
      </c>
      <c r="FC22" s="42">
        <f t="shared" si="6"/>
        <v>122</v>
      </c>
      <c r="FE22">
        <f t="shared" si="1"/>
        <v>5.4838709677419351</v>
      </c>
      <c r="FF22">
        <f t="shared" si="2"/>
        <v>3.935483870967742</v>
      </c>
      <c r="FG22">
        <f t="shared" si="3"/>
        <v>4.5161290322580649</v>
      </c>
      <c r="FM22" s="43">
        <f t="shared" si="5"/>
        <v>0</v>
      </c>
      <c r="FN22" s="43">
        <f t="shared" si="5"/>
        <v>0</v>
      </c>
      <c r="FO22" s="43">
        <f t="shared" si="5"/>
        <v>0</v>
      </c>
      <c r="FP22" s="43">
        <f t="shared" si="5"/>
        <v>0</v>
      </c>
      <c r="FQ22" s="43">
        <f t="shared" si="5"/>
        <v>0</v>
      </c>
      <c r="FR22" s="43">
        <f t="shared" si="5"/>
        <v>0</v>
      </c>
      <c r="FS22" s="43">
        <f t="shared" si="5"/>
        <v>0</v>
      </c>
      <c r="FV22" t="s">
        <v>440</v>
      </c>
      <c r="FW22" t="s">
        <v>441</v>
      </c>
    </row>
    <row r="23" spans="1:179" ht="19.5" customHeight="1" x14ac:dyDescent="0.35">
      <c r="A23" t="s">
        <v>442</v>
      </c>
      <c r="B23" s="36">
        <v>1</v>
      </c>
      <c r="C23" s="36">
        <v>0</v>
      </c>
      <c r="D23" s="36">
        <v>0</v>
      </c>
      <c r="E23" s="36">
        <v>0</v>
      </c>
      <c r="F23" s="36">
        <v>0</v>
      </c>
      <c r="G23" s="36">
        <v>0</v>
      </c>
      <c r="H23" s="36">
        <v>0</v>
      </c>
      <c r="I23" s="36">
        <v>0</v>
      </c>
      <c r="J23" s="36">
        <v>0</v>
      </c>
      <c r="K23" s="36">
        <v>0</v>
      </c>
      <c r="L23" s="36">
        <v>0</v>
      </c>
      <c r="M23" s="36">
        <v>0</v>
      </c>
      <c r="N23" s="36">
        <v>0</v>
      </c>
      <c r="O23" s="36">
        <v>0</v>
      </c>
      <c r="P23" s="36">
        <v>0</v>
      </c>
      <c r="Q23" s="36">
        <v>0</v>
      </c>
      <c r="R23" s="36">
        <v>-1</v>
      </c>
      <c r="S23" s="36">
        <v>0</v>
      </c>
      <c r="T23" s="36">
        <v>1</v>
      </c>
      <c r="U23" s="36">
        <v>0</v>
      </c>
      <c r="V23" s="36">
        <v>0</v>
      </c>
      <c r="W23" s="36">
        <v>0</v>
      </c>
      <c r="X23" s="36">
        <v>0</v>
      </c>
      <c r="Y23" s="36">
        <v>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0</v>
      </c>
      <c r="BK23" s="36">
        <v>0</v>
      </c>
      <c r="BL23" s="36">
        <v>0</v>
      </c>
      <c r="BM23" s="36">
        <v>0</v>
      </c>
      <c r="BN23" s="36">
        <v>0</v>
      </c>
      <c r="BO23" s="36">
        <v>0</v>
      </c>
      <c r="BP23" s="36">
        <v>0</v>
      </c>
      <c r="BQ23" s="36">
        <v>0</v>
      </c>
      <c r="BR23" s="36">
        <v>0</v>
      </c>
      <c r="BS23" s="36">
        <v>0</v>
      </c>
      <c r="BT23" s="36">
        <v>0</v>
      </c>
      <c r="BU23" s="36">
        <v>0</v>
      </c>
      <c r="BV23" s="36">
        <v>0</v>
      </c>
      <c r="BW23" s="36">
        <v>0</v>
      </c>
      <c r="BX23" s="36">
        <v>0</v>
      </c>
      <c r="BY23" s="36">
        <v>0</v>
      </c>
      <c r="BZ23" s="36">
        <v>0</v>
      </c>
      <c r="CA23" s="36">
        <v>0</v>
      </c>
      <c r="CB23" s="36">
        <v>0</v>
      </c>
      <c r="CC23" s="36">
        <v>0</v>
      </c>
      <c r="CD23" s="36">
        <v>0</v>
      </c>
      <c r="CE23" s="36">
        <v>0</v>
      </c>
      <c r="CF23" s="36">
        <v>0</v>
      </c>
      <c r="CG23" s="36">
        <v>0</v>
      </c>
      <c r="CH23" s="36">
        <v>0</v>
      </c>
      <c r="CI23" s="36">
        <v>0</v>
      </c>
      <c r="CJ23" s="36">
        <v>0</v>
      </c>
      <c r="CK23" s="36">
        <v>0</v>
      </c>
      <c r="CL23" s="36">
        <v>0</v>
      </c>
      <c r="CM23" s="36">
        <v>0</v>
      </c>
      <c r="CN23" s="36">
        <v>0</v>
      </c>
      <c r="CO23" s="36">
        <v>0</v>
      </c>
      <c r="CP23" s="36">
        <v>0</v>
      </c>
      <c r="CQ23" s="36">
        <v>0</v>
      </c>
      <c r="CR23" s="36">
        <v>0</v>
      </c>
      <c r="CS23" s="36">
        <v>0</v>
      </c>
      <c r="CT23" s="36">
        <v>0</v>
      </c>
      <c r="CU23" s="36">
        <v>0</v>
      </c>
      <c r="CV23" s="36">
        <v>0</v>
      </c>
      <c r="CW23" s="36">
        <v>0</v>
      </c>
      <c r="CX23" s="36">
        <v>0</v>
      </c>
      <c r="CY23" s="36">
        <v>0</v>
      </c>
      <c r="CZ23" s="36">
        <v>0</v>
      </c>
      <c r="DA23" s="36">
        <v>0</v>
      </c>
      <c r="DB23" s="36">
        <v>0</v>
      </c>
      <c r="DC23" s="36">
        <v>0</v>
      </c>
      <c r="DD23" s="36">
        <v>0</v>
      </c>
      <c r="DE23" s="36">
        <v>0</v>
      </c>
      <c r="DF23" s="36">
        <v>0</v>
      </c>
      <c r="DG23" s="36">
        <v>0</v>
      </c>
      <c r="DH23" s="36">
        <v>0</v>
      </c>
      <c r="DI23" s="36">
        <v>0</v>
      </c>
      <c r="DJ23" s="36">
        <v>0</v>
      </c>
      <c r="DK23" s="36">
        <v>0</v>
      </c>
      <c r="DL23" s="36">
        <v>0</v>
      </c>
      <c r="DM23" s="36">
        <v>0</v>
      </c>
      <c r="DN23" s="36">
        <v>0</v>
      </c>
      <c r="DO23" s="36">
        <v>0</v>
      </c>
      <c r="DP23" s="36">
        <v>0</v>
      </c>
      <c r="DQ23" s="36">
        <v>0</v>
      </c>
      <c r="DR23" s="36">
        <v>0</v>
      </c>
      <c r="DS23" s="36">
        <v>0</v>
      </c>
      <c r="DT23" s="36">
        <v>0</v>
      </c>
      <c r="DU23" s="36">
        <v>0</v>
      </c>
      <c r="DV23" s="36">
        <v>0</v>
      </c>
      <c r="DW23" s="36">
        <v>0</v>
      </c>
      <c r="DX23" s="36">
        <v>0</v>
      </c>
      <c r="DY23" s="36">
        <v>0</v>
      </c>
      <c r="DZ23" s="36">
        <v>0</v>
      </c>
      <c r="EA23" s="36">
        <v>0</v>
      </c>
      <c r="EB23" s="36">
        <v>0</v>
      </c>
      <c r="EC23" s="36">
        <v>0</v>
      </c>
      <c r="ED23" s="36">
        <v>0</v>
      </c>
      <c r="EE23" s="36">
        <v>0</v>
      </c>
      <c r="EF23" s="36">
        <v>0</v>
      </c>
      <c r="EG23" s="36">
        <v>0</v>
      </c>
      <c r="EH23" s="36">
        <v>0</v>
      </c>
      <c r="EI23" s="36">
        <v>0</v>
      </c>
      <c r="EJ23" s="36">
        <v>0</v>
      </c>
      <c r="EK23" s="36">
        <v>0</v>
      </c>
      <c r="EL23" s="36">
        <v>0</v>
      </c>
      <c r="EM23" s="36">
        <v>0</v>
      </c>
      <c r="EN23" s="36">
        <v>0</v>
      </c>
      <c r="EO23" s="36">
        <v>0</v>
      </c>
      <c r="EP23" s="36">
        <v>0</v>
      </c>
      <c r="ET23" t="s">
        <v>443</v>
      </c>
      <c r="EU23" t="s">
        <v>444</v>
      </c>
      <c r="EV23" s="36">
        <v>-2</v>
      </c>
      <c r="EW23" s="36">
        <v>20</v>
      </c>
      <c r="EX23" s="36">
        <v>21</v>
      </c>
      <c r="EY23" s="36">
        <v>7</v>
      </c>
      <c r="EZ23" s="36">
        <v>6</v>
      </c>
      <c r="FA23" s="36">
        <v>0</v>
      </c>
      <c r="FB23" s="36">
        <v>0</v>
      </c>
      <c r="FC23" s="42">
        <f t="shared" si="6"/>
        <v>70</v>
      </c>
      <c r="FE23">
        <f t="shared" si="1"/>
        <v>6.3</v>
      </c>
      <c r="FF23">
        <f t="shared" si="2"/>
        <v>3.5</v>
      </c>
      <c r="FG23">
        <f t="shared" si="3"/>
        <v>4.55</v>
      </c>
      <c r="FM23" s="43">
        <f t="shared" si="5"/>
        <v>0</v>
      </c>
      <c r="FN23" s="43">
        <f t="shared" si="5"/>
        <v>0</v>
      </c>
      <c r="FO23" s="43">
        <f t="shared" si="5"/>
        <v>0</v>
      </c>
      <c r="FP23" s="43">
        <f t="shared" si="5"/>
        <v>0</v>
      </c>
      <c r="FQ23" s="43">
        <f t="shared" si="5"/>
        <v>0</v>
      </c>
      <c r="FR23" s="43">
        <f t="shared" si="5"/>
        <v>0</v>
      </c>
      <c r="FS23" s="43">
        <f t="shared" si="5"/>
        <v>0</v>
      </c>
      <c r="FV23" t="s">
        <v>445</v>
      </c>
      <c r="FW23" t="s">
        <v>446</v>
      </c>
    </row>
    <row r="24" spans="1:179" ht="19.5" customHeight="1" x14ac:dyDescent="0.35">
      <c r="A24" t="s">
        <v>447</v>
      </c>
      <c r="B24" s="36">
        <v>1</v>
      </c>
      <c r="C24" s="36">
        <v>0</v>
      </c>
      <c r="D24" s="36">
        <v>0</v>
      </c>
      <c r="E24" s="36">
        <v>0</v>
      </c>
      <c r="F24" s="36">
        <v>0</v>
      </c>
      <c r="G24" s="36">
        <v>0</v>
      </c>
      <c r="H24" s="36">
        <v>0</v>
      </c>
      <c r="I24" s="36">
        <v>0</v>
      </c>
      <c r="J24" s="36">
        <v>0</v>
      </c>
      <c r="K24" s="36">
        <v>0</v>
      </c>
      <c r="L24" s="36">
        <v>0</v>
      </c>
      <c r="M24" s="36">
        <v>0</v>
      </c>
      <c r="N24" s="36">
        <v>0</v>
      </c>
      <c r="O24" s="36">
        <v>0</v>
      </c>
      <c r="P24" s="36">
        <v>0</v>
      </c>
      <c r="Q24" s="36">
        <v>0</v>
      </c>
      <c r="R24" s="36">
        <v>-1</v>
      </c>
      <c r="S24" s="36">
        <v>0</v>
      </c>
      <c r="T24" s="36">
        <v>0</v>
      </c>
      <c r="U24" s="36">
        <v>0</v>
      </c>
      <c r="V24" s="36">
        <v>0</v>
      </c>
      <c r="W24" s="36">
        <v>0</v>
      </c>
      <c r="X24" s="36">
        <v>0</v>
      </c>
      <c r="Y24" s="36">
        <v>0</v>
      </c>
      <c r="Z24" s="36">
        <v>0</v>
      </c>
      <c r="AA24" s="36">
        <v>0</v>
      </c>
      <c r="AB24" s="36">
        <v>0</v>
      </c>
      <c r="AC24" s="36">
        <v>0</v>
      </c>
      <c r="AD24" s="36">
        <v>0</v>
      </c>
      <c r="AE24" s="36">
        <v>0</v>
      </c>
      <c r="AF24" s="36">
        <v>0</v>
      </c>
      <c r="AG24" s="36">
        <v>0</v>
      </c>
      <c r="AH24" s="36">
        <v>0</v>
      </c>
      <c r="AI24" s="36">
        <v>0</v>
      </c>
      <c r="AJ24" s="36">
        <v>0</v>
      </c>
      <c r="AK24" s="36">
        <v>0</v>
      </c>
      <c r="AL24" s="36">
        <v>0</v>
      </c>
      <c r="AM24" s="36">
        <v>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0</v>
      </c>
      <c r="BK24" s="36">
        <v>0</v>
      </c>
      <c r="BL24" s="36">
        <v>0</v>
      </c>
      <c r="BM24" s="36">
        <v>0</v>
      </c>
      <c r="BN24" s="36">
        <v>0</v>
      </c>
      <c r="BO24" s="36">
        <v>0</v>
      </c>
      <c r="BP24" s="36">
        <v>0</v>
      </c>
      <c r="BQ24" s="36">
        <v>0</v>
      </c>
      <c r="BR24" s="36">
        <v>0</v>
      </c>
      <c r="BS24" s="36">
        <v>0</v>
      </c>
      <c r="BT24" s="36">
        <v>0</v>
      </c>
      <c r="BU24" s="36">
        <v>0</v>
      </c>
      <c r="BV24" s="36">
        <v>0</v>
      </c>
      <c r="BW24" s="36">
        <v>0</v>
      </c>
      <c r="BX24" s="36">
        <v>0</v>
      </c>
      <c r="BY24" s="36">
        <v>0</v>
      </c>
      <c r="BZ24" s="36">
        <v>0</v>
      </c>
      <c r="CA24" s="36">
        <v>0</v>
      </c>
      <c r="CB24" s="36">
        <v>0</v>
      </c>
      <c r="CC24" s="36">
        <v>0</v>
      </c>
      <c r="CD24" s="36">
        <v>0</v>
      </c>
      <c r="CE24" s="36">
        <v>0</v>
      </c>
      <c r="CF24" s="36">
        <v>0</v>
      </c>
      <c r="CG24" s="36">
        <v>0</v>
      </c>
      <c r="CH24" s="36">
        <v>0</v>
      </c>
      <c r="CI24" s="36">
        <v>0</v>
      </c>
      <c r="CJ24" s="36">
        <v>0</v>
      </c>
      <c r="CK24" s="36">
        <v>0</v>
      </c>
      <c r="CL24" s="36">
        <v>0</v>
      </c>
      <c r="CM24" s="36">
        <v>0</v>
      </c>
      <c r="CN24" s="36">
        <v>0</v>
      </c>
      <c r="CO24" s="36">
        <v>0</v>
      </c>
      <c r="CP24" s="36">
        <v>1</v>
      </c>
      <c r="CQ24" s="36">
        <v>0</v>
      </c>
      <c r="CR24" s="36">
        <v>0</v>
      </c>
      <c r="CS24" s="36">
        <v>0</v>
      </c>
      <c r="CT24" s="36">
        <v>0</v>
      </c>
      <c r="CU24" s="36">
        <v>0</v>
      </c>
      <c r="CV24" s="36">
        <v>0</v>
      </c>
      <c r="CW24" s="36">
        <v>0</v>
      </c>
      <c r="CX24" s="36">
        <v>0</v>
      </c>
      <c r="CY24" s="36">
        <v>0</v>
      </c>
      <c r="CZ24" s="36">
        <v>0</v>
      </c>
      <c r="DA24" s="36">
        <v>0</v>
      </c>
      <c r="DB24" s="36">
        <v>0</v>
      </c>
      <c r="DC24" s="36">
        <v>0</v>
      </c>
      <c r="DD24" s="36">
        <v>0</v>
      </c>
      <c r="DE24" s="36">
        <v>0</v>
      </c>
      <c r="DF24" s="36">
        <v>0</v>
      </c>
      <c r="DG24" s="36">
        <v>0</v>
      </c>
      <c r="DH24" s="36">
        <v>0</v>
      </c>
      <c r="DI24" s="36">
        <v>0</v>
      </c>
      <c r="DJ24" s="36">
        <v>0</v>
      </c>
      <c r="DK24" s="36">
        <v>0</v>
      </c>
      <c r="DL24" s="36">
        <v>0</v>
      </c>
      <c r="DM24" s="36">
        <v>0</v>
      </c>
      <c r="DN24" s="36">
        <v>0</v>
      </c>
      <c r="DO24" s="36">
        <v>0</v>
      </c>
      <c r="DP24" s="36">
        <v>0</v>
      </c>
      <c r="DQ24" s="36">
        <v>0</v>
      </c>
      <c r="DR24" s="36">
        <v>0</v>
      </c>
      <c r="DS24" s="36">
        <v>0</v>
      </c>
      <c r="DT24" s="36">
        <v>0</v>
      </c>
      <c r="DU24" s="36">
        <v>0</v>
      </c>
      <c r="DV24" s="36">
        <v>0</v>
      </c>
      <c r="DW24" s="36">
        <v>0</v>
      </c>
      <c r="DX24" s="36">
        <v>0</v>
      </c>
      <c r="DY24" s="36">
        <v>0</v>
      </c>
      <c r="DZ24" s="36">
        <v>1</v>
      </c>
      <c r="EA24" s="36">
        <v>0</v>
      </c>
      <c r="EB24" s="36">
        <v>0</v>
      </c>
      <c r="EC24" s="36">
        <v>0</v>
      </c>
      <c r="ED24" s="36">
        <v>0</v>
      </c>
      <c r="EE24" s="36">
        <v>0</v>
      </c>
      <c r="EF24" s="36">
        <v>0</v>
      </c>
      <c r="EG24" s="36">
        <v>0</v>
      </c>
      <c r="EH24" s="36">
        <v>0</v>
      </c>
      <c r="EI24" s="36">
        <v>0</v>
      </c>
      <c r="EJ24" s="36">
        <v>0</v>
      </c>
      <c r="EK24" s="36">
        <v>0</v>
      </c>
      <c r="EL24" s="36">
        <v>0</v>
      </c>
      <c r="EM24" s="36">
        <v>0</v>
      </c>
      <c r="EN24" s="36">
        <v>0</v>
      </c>
      <c r="EO24" s="36">
        <v>0</v>
      </c>
      <c r="EP24" s="36">
        <v>0</v>
      </c>
      <c r="ET24" t="s">
        <v>448</v>
      </c>
      <c r="EU24" t="s">
        <v>449</v>
      </c>
      <c r="EV24" s="36">
        <v>-3</v>
      </c>
      <c r="EW24" s="36">
        <v>31</v>
      </c>
      <c r="EX24" s="36">
        <v>42</v>
      </c>
      <c r="EY24" s="36">
        <v>6</v>
      </c>
      <c r="EZ24" s="36">
        <v>16</v>
      </c>
      <c r="FA24" s="36">
        <v>1</v>
      </c>
      <c r="FB24" s="36">
        <v>0</v>
      </c>
      <c r="FC24" s="42">
        <f t="shared" si="6"/>
        <v>124</v>
      </c>
      <c r="FE24">
        <f t="shared" si="1"/>
        <v>5.5483870967741939</v>
      </c>
      <c r="FF24">
        <f t="shared" si="2"/>
        <v>4</v>
      </c>
      <c r="FG24">
        <f t="shared" si="3"/>
        <v>4.580645161290323</v>
      </c>
      <c r="FM24" s="43">
        <f t="shared" si="5"/>
        <v>0</v>
      </c>
      <c r="FN24" s="43">
        <f t="shared" si="5"/>
        <v>0</v>
      </c>
      <c r="FO24" s="43">
        <f t="shared" si="5"/>
        <v>0</v>
      </c>
      <c r="FP24" s="43">
        <f t="shared" si="5"/>
        <v>0</v>
      </c>
      <c r="FQ24" s="43">
        <f t="shared" si="5"/>
        <v>0</v>
      </c>
      <c r="FR24" s="43">
        <f t="shared" si="5"/>
        <v>0</v>
      </c>
      <c r="FS24" s="43">
        <f t="shared" si="5"/>
        <v>0</v>
      </c>
      <c r="FV24" t="s">
        <v>450</v>
      </c>
      <c r="FW24" t="s">
        <v>451</v>
      </c>
    </row>
    <row r="25" spans="1:179" ht="19.5" customHeight="1" x14ac:dyDescent="0.35">
      <c r="A25" t="s">
        <v>452</v>
      </c>
      <c r="B25" s="36">
        <v>0</v>
      </c>
      <c r="C25" s="36">
        <v>0</v>
      </c>
      <c r="D25" s="36">
        <v>0</v>
      </c>
      <c r="E25" s="36">
        <v>0</v>
      </c>
      <c r="F25" s="36">
        <v>0</v>
      </c>
      <c r="G25" s="36">
        <v>0</v>
      </c>
      <c r="H25" s="36">
        <v>0</v>
      </c>
      <c r="I25" s="36">
        <v>0</v>
      </c>
      <c r="J25" s="36">
        <v>0</v>
      </c>
      <c r="K25" s="36">
        <v>0</v>
      </c>
      <c r="L25" s="36">
        <v>0</v>
      </c>
      <c r="M25" s="36">
        <v>0</v>
      </c>
      <c r="N25" s="36">
        <v>0</v>
      </c>
      <c r="O25" s="36">
        <v>0</v>
      </c>
      <c r="P25" s="36">
        <v>0</v>
      </c>
      <c r="Q25" s="36">
        <v>0</v>
      </c>
      <c r="R25" s="36">
        <v>0</v>
      </c>
      <c r="S25" s="36">
        <v>0</v>
      </c>
      <c r="T25" s="36">
        <v>0</v>
      </c>
      <c r="U25" s="36">
        <v>0</v>
      </c>
      <c r="V25" s="36">
        <v>0</v>
      </c>
      <c r="W25" s="36">
        <v>0</v>
      </c>
      <c r="X25" s="36">
        <v>0</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0</v>
      </c>
      <c r="BK25" s="36">
        <v>0</v>
      </c>
      <c r="BL25" s="36">
        <v>0</v>
      </c>
      <c r="BM25" s="36">
        <v>0</v>
      </c>
      <c r="BN25" s="36">
        <v>0</v>
      </c>
      <c r="BO25" s="36">
        <v>0</v>
      </c>
      <c r="BP25" s="36">
        <v>0</v>
      </c>
      <c r="BQ25" s="36">
        <v>0</v>
      </c>
      <c r="BR25" s="36">
        <v>0</v>
      </c>
      <c r="BS25" s="36">
        <v>0</v>
      </c>
      <c r="BT25" s="36">
        <v>0</v>
      </c>
      <c r="BU25" s="36">
        <v>0</v>
      </c>
      <c r="BV25" s="36">
        <v>0</v>
      </c>
      <c r="BW25" s="36">
        <v>0</v>
      </c>
      <c r="BX25" s="36">
        <v>0</v>
      </c>
      <c r="BY25" s="36">
        <v>0</v>
      </c>
      <c r="BZ25" s="36">
        <v>0</v>
      </c>
      <c r="CA25" s="36">
        <v>0</v>
      </c>
      <c r="CB25" s="36">
        <v>0</v>
      </c>
      <c r="CC25" s="36">
        <v>0</v>
      </c>
      <c r="CD25" s="36">
        <v>0</v>
      </c>
      <c r="CE25" s="36">
        <v>0</v>
      </c>
      <c r="CF25" s="36">
        <v>0</v>
      </c>
      <c r="CG25" s="36">
        <v>0</v>
      </c>
      <c r="CH25" s="36">
        <v>0</v>
      </c>
      <c r="CI25" s="36">
        <v>0</v>
      </c>
      <c r="CJ25" s="36">
        <v>0</v>
      </c>
      <c r="CK25" s="36">
        <v>0</v>
      </c>
      <c r="CL25" s="36">
        <v>0</v>
      </c>
      <c r="CM25" s="36">
        <v>0</v>
      </c>
      <c r="CN25" s="36">
        <v>0</v>
      </c>
      <c r="CO25" s="36">
        <v>0</v>
      </c>
      <c r="CP25" s="36">
        <v>0</v>
      </c>
      <c r="CQ25" s="36">
        <v>0</v>
      </c>
      <c r="CR25" s="36">
        <v>0</v>
      </c>
      <c r="CS25" s="36">
        <v>0</v>
      </c>
      <c r="CT25" s="36">
        <v>0</v>
      </c>
      <c r="CU25" s="36">
        <v>-1</v>
      </c>
      <c r="CV25" s="36">
        <v>0</v>
      </c>
      <c r="CW25" s="36">
        <v>0</v>
      </c>
      <c r="CX25" s="36">
        <v>0</v>
      </c>
      <c r="CY25" s="36">
        <v>0</v>
      </c>
      <c r="CZ25" s="36">
        <v>0</v>
      </c>
      <c r="DA25" s="36">
        <v>0</v>
      </c>
      <c r="DB25" s="36">
        <v>0</v>
      </c>
      <c r="DC25" s="36">
        <v>0</v>
      </c>
      <c r="DD25" s="36">
        <v>0</v>
      </c>
      <c r="DE25" s="36">
        <v>0</v>
      </c>
      <c r="DF25" s="36">
        <v>0</v>
      </c>
      <c r="DG25" s="36">
        <v>0</v>
      </c>
      <c r="DH25" s="36">
        <v>0</v>
      </c>
      <c r="DI25" s="36">
        <v>0</v>
      </c>
      <c r="DJ25" s="36">
        <v>0</v>
      </c>
      <c r="DK25" s="36">
        <v>0</v>
      </c>
      <c r="DL25" s="36">
        <v>0</v>
      </c>
      <c r="DM25" s="36">
        <v>0</v>
      </c>
      <c r="DN25" s="36">
        <v>0</v>
      </c>
      <c r="DO25" s="36">
        <v>0</v>
      </c>
      <c r="DP25" s="36">
        <v>0</v>
      </c>
      <c r="DQ25" s="36">
        <v>0</v>
      </c>
      <c r="DR25" s="36">
        <v>0</v>
      </c>
      <c r="DS25" s="36">
        <v>0</v>
      </c>
      <c r="DT25" s="36">
        <v>0</v>
      </c>
      <c r="DU25" s="36">
        <v>0</v>
      </c>
      <c r="DV25" s="36">
        <v>0</v>
      </c>
      <c r="DW25" s="36">
        <v>1</v>
      </c>
      <c r="DX25" s="36">
        <v>1</v>
      </c>
      <c r="DY25" s="36">
        <v>0</v>
      </c>
      <c r="DZ25" s="36">
        <v>-1</v>
      </c>
      <c r="EA25" s="36">
        <v>0</v>
      </c>
      <c r="EB25" s="36">
        <v>0</v>
      </c>
      <c r="EC25" s="36">
        <v>0</v>
      </c>
      <c r="ED25" s="36">
        <v>0</v>
      </c>
      <c r="EE25" s="36">
        <v>0</v>
      </c>
      <c r="EF25" s="36">
        <v>0</v>
      </c>
      <c r="EG25" s="36">
        <v>0</v>
      </c>
      <c r="EH25" s="36">
        <v>0</v>
      </c>
      <c r="EI25" s="36">
        <v>0</v>
      </c>
      <c r="EJ25" s="36">
        <v>0</v>
      </c>
      <c r="EK25" s="36">
        <v>0</v>
      </c>
      <c r="EL25" s="36">
        <v>0</v>
      </c>
      <c r="EM25" s="36">
        <v>0</v>
      </c>
      <c r="EN25" s="36">
        <v>0</v>
      </c>
      <c r="EO25" s="36">
        <v>0</v>
      </c>
      <c r="EP25" s="36">
        <v>0</v>
      </c>
      <c r="ET25" t="s">
        <v>453</v>
      </c>
      <c r="EU25" t="s">
        <v>454</v>
      </c>
      <c r="EV25" s="36">
        <v>-3</v>
      </c>
      <c r="EW25" s="36">
        <v>31</v>
      </c>
      <c r="EX25" s="36">
        <v>42</v>
      </c>
      <c r="EY25" s="36">
        <v>6</v>
      </c>
      <c r="EZ25" s="36">
        <v>17</v>
      </c>
      <c r="FA25" s="36">
        <v>1</v>
      </c>
      <c r="FB25" s="36">
        <v>0</v>
      </c>
      <c r="FC25" s="42">
        <f t="shared" si="6"/>
        <v>122</v>
      </c>
      <c r="FE25">
        <f t="shared" si="1"/>
        <v>5.4838709677419351</v>
      </c>
      <c r="FF25">
        <f t="shared" si="2"/>
        <v>3.935483870967742</v>
      </c>
      <c r="FG25">
        <f t="shared" si="3"/>
        <v>4.5161290322580649</v>
      </c>
      <c r="FM25" s="43">
        <f t="shared" si="5"/>
        <v>0</v>
      </c>
      <c r="FN25" s="43">
        <f t="shared" si="5"/>
        <v>0</v>
      </c>
      <c r="FO25" s="43">
        <f t="shared" si="5"/>
        <v>0</v>
      </c>
      <c r="FP25" s="43">
        <f t="shared" si="5"/>
        <v>0</v>
      </c>
      <c r="FQ25" s="43">
        <f t="shared" si="5"/>
        <v>0</v>
      </c>
      <c r="FR25" s="43">
        <f t="shared" si="5"/>
        <v>0</v>
      </c>
      <c r="FS25" s="43">
        <f t="shared" si="5"/>
        <v>0</v>
      </c>
      <c r="FV25" t="s">
        <v>455</v>
      </c>
      <c r="FW25" t="s">
        <v>456</v>
      </c>
    </row>
    <row r="26" spans="1:179" ht="19.5" customHeight="1" x14ac:dyDescent="0.35">
      <c r="A26" t="s">
        <v>457</v>
      </c>
      <c r="B26" s="36">
        <v>1</v>
      </c>
      <c r="C26" s="36">
        <v>0</v>
      </c>
      <c r="D26" s="36">
        <v>0</v>
      </c>
      <c r="E26" s="36">
        <v>0</v>
      </c>
      <c r="F26" s="36">
        <v>0</v>
      </c>
      <c r="G26" s="36">
        <v>0</v>
      </c>
      <c r="H26" s="36">
        <v>0</v>
      </c>
      <c r="I26" s="36">
        <v>0</v>
      </c>
      <c r="J26" s="36">
        <v>0</v>
      </c>
      <c r="K26" s="36">
        <v>1</v>
      </c>
      <c r="L26" s="36">
        <v>0</v>
      </c>
      <c r="M26" s="36">
        <v>0</v>
      </c>
      <c r="N26" s="36">
        <v>0</v>
      </c>
      <c r="O26" s="36">
        <v>0</v>
      </c>
      <c r="P26" s="36">
        <v>0</v>
      </c>
      <c r="Q26" s="36">
        <v>0</v>
      </c>
      <c r="R26" s="36">
        <v>0</v>
      </c>
      <c r="S26" s="36">
        <v>0</v>
      </c>
      <c r="T26" s="36">
        <v>0</v>
      </c>
      <c r="U26" s="36">
        <v>0</v>
      </c>
      <c r="V26" s="36">
        <v>0</v>
      </c>
      <c r="W26" s="36">
        <v>0</v>
      </c>
      <c r="X26" s="36">
        <v>0</v>
      </c>
      <c r="Y26" s="36">
        <v>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0</v>
      </c>
      <c r="AZ26" s="36">
        <v>0</v>
      </c>
      <c r="BA26" s="36">
        <v>0</v>
      </c>
      <c r="BB26" s="36">
        <v>0</v>
      </c>
      <c r="BC26" s="36">
        <v>0</v>
      </c>
      <c r="BD26" s="36">
        <v>0</v>
      </c>
      <c r="BE26" s="36">
        <v>0</v>
      </c>
      <c r="BF26" s="36">
        <v>0</v>
      </c>
      <c r="BG26" s="36">
        <v>0</v>
      </c>
      <c r="BH26" s="36">
        <v>0</v>
      </c>
      <c r="BI26" s="36">
        <v>0</v>
      </c>
      <c r="BJ26" s="36">
        <v>0</v>
      </c>
      <c r="BK26" s="36">
        <v>0</v>
      </c>
      <c r="BL26" s="36">
        <v>0</v>
      </c>
      <c r="BM26" s="36">
        <v>0</v>
      </c>
      <c r="BN26" s="36">
        <v>0</v>
      </c>
      <c r="BO26" s="36">
        <v>0</v>
      </c>
      <c r="BP26" s="36">
        <v>0</v>
      </c>
      <c r="BQ26" s="36">
        <v>0</v>
      </c>
      <c r="BR26" s="36">
        <v>0</v>
      </c>
      <c r="BS26" s="36">
        <v>0</v>
      </c>
      <c r="BT26" s="36">
        <v>0</v>
      </c>
      <c r="BU26" s="36">
        <v>0</v>
      </c>
      <c r="BV26" s="36">
        <v>0</v>
      </c>
      <c r="BW26" s="36">
        <v>0</v>
      </c>
      <c r="BX26" s="36">
        <v>0</v>
      </c>
      <c r="BY26" s="36">
        <v>0</v>
      </c>
      <c r="BZ26" s="36">
        <v>0</v>
      </c>
      <c r="CA26" s="36">
        <v>0</v>
      </c>
      <c r="CB26" s="36">
        <v>0</v>
      </c>
      <c r="CC26" s="36">
        <v>0</v>
      </c>
      <c r="CD26" s="36">
        <v>0</v>
      </c>
      <c r="CE26" s="36">
        <v>0</v>
      </c>
      <c r="CF26" s="36">
        <v>0</v>
      </c>
      <c r="CG26" s="36">
        <v>0</v>
      </c>
      <c r="CH26" s="36">
        <v>0</v>
      </c>
      <c r="CI26" s="36">
        <v>0</v>
      </c>
      <c r="CJ26" s="36">
        <v>0</v>
      </c>
      <c r="CK26" s="36">
        <v>0</v>
      </c>
      <c r="CL26" s="36">
        <v>-1</v>
      </c>
      <c r="CM26" s="36">
        <v>0</v>
      </c>
      <c r="CN26" s="36">
        <v>0</v>
      </c>
      <c r="CO26" s="36">
        <v>0</v>
      </c>
      <c r="CP26" s="36">
        <v>0</v>
      </c>
      <c r="CQ26" s="36">
        <v>0</v>
      </c>
      <c r="CR26" s="36">
        <v>0</v>
      </c>
      <c r="CS26" s="36">
        <v>0</v>
      </c>
      <c r="CT26" s="36">
        <v>0</v>
      </c>
      <c r="CU26" s="36">
        <v>0</v>
      </c>
      <c r="CV26" s="36">
        <v>0</v>
      </c>
      <c r="CW26" s="36">
        <v>0</v>
      </c>
      <c r="CX26" s="36">
        <v>0</v>
      </c>
      <c r="CY26" s="36">
        <v>0</v>
      </c>
      <c r="CZ26" s="36">
        <v>0</v>
      </c>
      <c r="DA26" s="36">
        <v>0</v>
      </c>
      <c r="DB26" s="36">
        <v>0</v>
      </c>
      <c r="DC26" s="36">
        <v>0</v>
      </c>
      <c r="DD26" s="36">
        <v>0</v>
      </c>
      <c r="DE26" s="36">
        <v>0</v>
      </c>
      <c r="DF26" s="36">
        <v>0</v>
      </c>
      <c r="DG26" s="36">
        <v>0</v>
      </c>
      <c r="DH26" s="36">
        <v>0</v>
      </c>
      <c r="DI26" s="36">
        <v>0</v>
      </c>
      <c r="DJ26" s="36">
        <v>0</v>
      </c>
      <c r="DK26" s="36">
        <v>1</v>
      </c>
      <c r="DL26" s="36">
        <v>-1</v>
      </c>
      <c r="DM26" s="36">
        <v>0</v>
      </c>
      <c r="DN26" s="36">
        <v>0</v>
      </c>
      <c r="DO26" s="36">
        <v>0</v>
      </c>
      <c r="DP26" s="36">
        <v>0</v>
      </c>
      <c r="DQ26" s="36">
        <v>0</v>
      </c>
      <c r="DR26" s="36">
        <v>0</v>
      </c>
      <c r="DS26" s="36">
        <v>0</v>
      </c>
      <c r="DT26" s="36">
        <v>0</v>
      </c>
      <c r="DU26" s="36">
        <v>0</v>
      </c>
      <c r="DV26" s="36">
        <v>0</v>
      </c>
      <c r="DW26" s="36">
        <v>-1</v>
      </c>
      <c r="DX26" s="36">
        <v>0</v>
      </c>
      <c r="DY26" s="36">
        <v>0</v>
      </c>
      <c r="DZ26" s="36">
        <v>0</v>
      </c>
      <c r="EA26" s="36">
        <v>0</v>
      </c>
      <c r="EB26" s="36">
        <v>0</v>
      </c>
      <c r="EC26" s="36">
        <v>0</v>
      </c>
      <c r="ED26" s="36">
        <v>0</v>
      </c>
      <c r="EE26" s="36">
        <v>0</v>
      </c>
      <c r="EF26" s="36">
        <v>0</v>
      </c>
      <c r="EG26" s="36">
        <v>0</v>
      </c>
      <c r="EH26" s="36">
        <v>0</v>
      </c>
      <c r="EI26" s="36">
        <v>0</v>
      </c>
      <c r="EJ26" s="36">
        <v>0</v>
      </c>
      <c r="EK26" s="36">
        <v>0</v>
      </c>
      <c r="EL26" s="36">
        <v>0</v>
      </c>
      <c r="EM26" s="36">
        <v>0</v>
      </c>
      <c r="EN26" s="36">
        <v>0</v>
      </c>
      <c r="EO26" s="36">
        <v>0</v>
      </c>
      <c r="EP26" s="36">
        <v>0</v>
      </c>
      <c r="ET26" t="s">
        <v>458</v>
      </c>
      <c r="EU26" t="s">
        <v>459</v>
      </c>
      <c r="EV26" s="36">
        <v>-2</v>
      </c>
      <c r="EW26" s="36">
        <v>6</v>
      </c>
      <c r="EX26" s="36">
        <v>9</v>
      </c>
      <c r="EY26" s="36">
        <v>0</v>
      </c>
      <c r="EZ26" s="36">
        <v>9</v>
      </c>
      <c r="FA26" s="36">
        <v>1</v>
      </c>
      <c r="FB26" s="36">
        <v>0</v>
      </c>
      <c r="FC26" s="42">
        <f t="shared" si="6"/>
        <v>22</v>
      </c>
      <c r="FE26">
        <f t="shared" si="1"/>
        <v>3.6666666666666665</v>
      </c>
      <c r="FF26">
        <f t="shared" si="2"/>
        <v>3.6666666666666665</v>
      </c>
      <c r="FG26">
        <f t="shared" si="3"/>
        <v>3.6666666666666665</v>
      </c>
      <c r="FM26" s="43">
        <f t="shared" si="5"/>
        <v>0</v>
      </c>
      <c r="FN26" s="43">
        <f t="shared" si="5"/>
        <v>0</v>
      </c>
      <c r="FO26" s="43">
        <f t="shared" si="5"/>
        <v>0</v>
      </c>
      <c r="FP26" s="43">
        <f t="shared" si="5"/>
        <v>0</v>
      </c>
      <c r="FQ26" s="43">
        <f t="shared" si="5"/>
        <v>0</v>
      </c>
      <c r="FR26" s="43">
        <f t="shared" si="5"/>
        <v>0</v>
      </c>
      <c r="FS26" s="43">
        <f t="shared" si="5"/>
        <v>0</v>
      </c>
      <c r="FV26" t="s">
        <v>460</v>
      </c>
      <c r="FW26" t="s">
        <v>461</v>
      </c>
    </row>
    <row r="27" spans="1:179" ht="19.5" customHeight="1" x14ac:dyDescent="0.25">
      <c r="A27" t="s">
        <v>462</v>
      </c>
      <c r="B27" s="36">
        <v>1</v>
      </c>
      <c r="C27" s="36">
        <v>0</v>
      </c>
      <c r="D27" s="36">
        <v>0</v>
      </c>
      <c r="E27" s="36">
        <v>0</v>
      </c>
      <c r="F27" s="36">
        <v>0</v>
      </c>
      <c r="G27" s="36">
        <v>0</v>
      </c>
      <c r="H27" s="36">
        <v>0</v>
      </c>
      <c r="I27" s="36">
        <v>0</v>
      </c>
      <c r="J27" s="36">
        <v>0</v>
      </c>
      <c r="K27" s="36">
        <v>-1</v>
      </c>
      <c r="L27" s="36">
        <v>1</v>
      </c>
      <c r="M27" s="36">
        <v>0</v>
      </c>
      <c r="N27" s="36">
        <v>0</v>
      </c>
      <c r="O27" s="36">
        <v>0</v>
      </c>
      <c r="P27" s="36">
        <v>0</v>
      </c>
      <c r="Q27" s="36">
        <v>0</v>
      </c>
      <c r="R27" s="36">
        <v>0</v>
      </c>
      <c r="S27" s="36">
        <v>0</v>
      </c>
      <c r="T27" s="36">
        <v>0</v>
      </c>
      <c r="U27" s="36">
        <v>0</v>
      </c>
      <c r="V27" s="36">
        <v>0</v>
      </c>
      <c r="W27" s="36">
        <v>0</v>
      </c>
      <c r="X27" s="36">
        <v>0</v>
      </c>
      <c r="Y27" s="36">
        <v>0</v>
      </c>
      <c r="Z27" s="36">
        <v>0</v>
      </c>
      <c r="AA27" s="36">
        <v>0</v>
      </c>
      <c r="AB27" s="36">
        <v>0</v>
      </c>
      <c r="AC27" s="36">
        <v>0</v>
      </c>
      <c r="AD27" s="36">
        <v>0</v>
      </c>
      <c r="AE27" s="36">
        <v>0</v>
      </c>
      <c r="AF27" s="36">
        <v>0</v>
      </c>
      <c r="AG27" s="36">
        <v>0</v>
      </c>
      <c r="AH27" s="36">
        <v>0</v>
      </c>
      <c r="AI27" s="36">
        <v>0</v>
      </c>
      <c r="AJ27" s="36">
        <v>0</v>
      </c>
      <c r="AK27" s="36">
        <v>0</v>
      </c>
      <c r="AL27" s="36">
        <v>1</v>
      </c>
      <c r="AM27" s="36">
        <v>0</v>
      </c>
      <c r="AN27" s="36">
        <v>0</v>
      </c>
      <c r="AO27" s="36">
        <v>0</v>
      </c>
      <c r="AP27" s="36">
        <v>0</v>
      </c>
      <c r="AQ27" s="36">
        <v>0</v>
      </c>
      <c r="AR27" s="36">
        <v>-1</v>
      </c>
      <c r="AS27" s="36">
        <v>0</v>
      </c>
      <c r="AT27" s="36">
        <v>0</v>
      </c>
      <c r="AU27" s="36">
        <v>0</v>
      </c>
      <c r="AV27" s="36">
        <v>0</v>
      </c>
      <c r="AW27" s="36">
        <v>0</v>
      </c>
      <c r="AX27" s="36">
        <v>0</v>
      </c>
      <c r="AY27" s="36">
        <v>0</v>
      </c>
      <c r="AZ27" s="36">
        <v>0</v>
      </c>
      <c r="BA27" s="36">
        <v>0</v>
      </c>
      <c r="BB27" s="36">
        <v>0</v>
      </c>
      <c r="BC27" s="36">
        <v>-1</v>
      </c>
      <c r="BD27" s="36">
        <v>0</v>
      </c>
      <c r="BE27" s="36">
        <v>0</v>
      </c>
      <c r="BF27" s="36">
        <v>0</v>
      </c>
      <c r="BG27" s="36">
        <v>0</v>
      </c>
      <c r="BH27" s="36">
        <v>0</v>
      </c>
      <c r="BI27" s="36">
        <v>0</v>
      </c>
      <c r="BJ27" s="36">
        <v>0</v>
      </c>
      <c r="BK27" s="36">
        <v>0</v>
      </c>
      <c r="BL27" s="36">
        <v>0</v>
      </c>
      <c r="BM27" s="36">
        <v>0</v>
      </c>
      <c r="BN27" s="36">
        <v>0</v>
      </c>
      <c r="BO27" s="36">
        <v>0</v>
      </c>
      <c r="BP27" s="36">
        <v>0</v>
      </c>
      <c r="BQ27" s="36">
        <v>0</v>
      </c>
      <c r="BR27" s="36">
        <v>0</v>
      </c>
      <c r="BS27" s="36">
        <v>0</v>
      </c>
      <c r="BT27" s="36">
        <v>0</v>
      </c>
      <c r="BU27" s="36">
        <v>0</v>
      </c>
      <c r="BV27" s="36">
        <v>0</v>
      </c>
      <c r="BW27" s="36">
        <v>0</v>
      </c>
      <c r="BX27" s="36">
        <v>0</v>
      </c>
      <c r="BY27" s="36">
        <v>0</v>
      </c>
      <c r="BZ27" s="36">
        <v>0</v>
      </c>
      <c r="CA27" s="36">
        <v>0</v>
      </c>
      <c r="CB27" s="36">
        <v>0</v>
      </c>
      <c r="CC27" s="36">
        <v>0</v>
      </c>
      <c r="CD27" s="36">
        <v>0</v>
      </c>
      <c r="CE27" s="36">
        <v>0</v>
      </c>
      <c r="CF27" s="36">
        <v>0</v>
      </c>
      <c r="CG27" s="36">
        <v>0</v>
      </c>
      <c r="CH27" s="36">
        <v>0</v>
      </c>
      <c r="CI27" s="36">
        <v>0</v>
      </c>
      <c r="CJ27" s="36">
        <v>0</v>
      </c>
      <c r="CK27" s="36">
        <v>0</v>
      </c>
      <c r="CL27" s="36">
        <v>0</v>
      </c>
      <c r="CM27" s="36">
        <v>0</v>
      </c>
      <c r="CN27" s="36">
        <v>0</v>
      </c>
      <c r="CO27" s="36">
        <v>0</v>
      </c>
      <c r="CP27" s="36">
        <v>0</v>
      </c>
      <c r="CQ27" s="36">
        <v>0</v>
      </c>
      <c r="CR27" s="36">
        <v>0</v>
      </c>
      <c r="CS27" s="36">
        <v>0</v>
      </c>
      <c r="CT27" s="36">
        <v>0</v>
      </c>
      <c r="CU27" s="36">
        <v>0</v>
      </c>
      <c r="CV27" s="36">
        <v>0</v>
      </c>
      <c r="CW27" s="36">
        <v>0</v>
      </c>
      <c r="CX27" s="36">
        <v>0</v>
      </c>
      <c r="CY27" s="36">
        <v>0</v>
      </c>
      <c r="CZ27" s="36">
        <v>0</v>
      </c>
      <c r="DA27" s="36">
        <v>0</v>
      </c>
      <c r="DB27" s="36">
        <v>0</v>
      </c>
      <c r="DC27" s="36">
        <v>0</v>
      </c>
      <c r="DD27" s="36">
        <v>0</v>
      </c>
      <c r="DE27" s="36">
        <v>0</v>
      </c>
      <c r="DF27" s="36">
        <v>0</v>
      </c>
      <c r="DG27" s="36">
        <v>0</v>
      </c>
      <c r="DH27" s="36">
        <v>0</v>
      </c>
      <c r="DI27" s="36">
        <v>0</v>
      </c>
      <c r="DJ27" s="36">
        <v>0</v>
      </c>
      <c r="DK27" s="36">
        <v>0</v>
      </c>
      <c r="DL27" s="36">
        <v>0</v>
      </c>
      <c r="DM27" s="36">
        <v>0</v>
      </c>
      <c r="DN27" s="36">
        <v>0</v>
      </c>
      <c r="DO27" s="36">
        <v>0</v>
      </c>
      <c r="DP27" s="36">
        <v>0</v>
      </c>
      <c r="DQ27" s="36">
        <v>0</v>
      </c>
      <c r="DR27" s="36">
        <v>0</v>
      </c>
      <c r="DS27" s="36">
        <v>0</v>
      </c>
      <c r="DT27" s="36">
        <v>0</v>
      </c>
      <c r="DU27" s="36">
        <v>0</v>
      </c>
      <c r="DV27" s="36">
        <v>0</v>
      </c>
      <c r="DW27" s="36">
        <v>0</v>
      </c>
      <c r="DX27" s="36">
        <v>1</v>
      </c>
      <c r="DY27" s="36">
        <v>0</v>
      </c>
      <c r="DZ27" s="36">
        <v>0</v>
      </c>
      <c r="EA27" s="36">
        <v>0</v>
      </c>
      <c r="EB27" s="36">
        <v>0</v>
      </c>
      <c r="EC27" s="36">
        <v>0</v>
      </c>
      <c r="ED27" s="36">
        <v>0</v>
      </c>
      <c r="EE27" s="36">
        <v>0</v>
      </c>
      <c r="EF27" s="36">
        <v>0</v>
      </c>
      <c r="EG27" s="36">
        <v>0</v>
      </c>
      <c r="EH27" s="36">
        <v>0</v>
      </c>
      <c r="EI27" s="36">
        <v>0</v>
      </c>
      <c r="EJ27" s="36">
        <v>0</v>
      </c>
      <c r="EK27" s="36">
        <v>0</v>
      </c>
      <c r="EL27" s="36">
        <v>0</v>
      </c>
      <c r="EM27" s="36">
        <v>0</v>
      </c>
      <c r="EN27" s="36">
        <v>0</v>
      </c>
      <c r="EO27" s="36">
        <v>0</v>
      </c>
      <c r="EP27" s="36">
        <v>0</v>
      </c>
      <c r="ET27" t="s">
        <v>239</v>
      </c>
      <c r="EU27" s="44" t="s">
        <v>463</v>
      </c>
      <c r="EV27" s="36">
        <v>0</v>
      </c>
      <c r="EW27" s="36">
        <v>2</v>
      </c>
      <c r="EX27" s="36">
        <v>4</v>
      </c>
      <c r="EY27" s="36">
        <v>0</v>
      </c>
      <c r="EZ27" s="36">
        <v>1</v>
      </c>
      <c r="FA27" s="36">
        <v>0</v>
      </c>
      <c r="FB27" s="36">
        <v>0</v>
      </c>
      <c r="FC27" s="42">
        <f t="shared" si="6"/>
        <v>10</v>
      </c>
      <c r="FE27">
        <f t="shared" si="1"/>
        <v>5</v>
      </c>
      <c r="FF27">
        <f t="shared" si="2"/>
        <v>5</v>
      </c>
      <c r="FG27">
        <f t="shared" si="3"/>
        <v>5</v>
      </c>
      <c r="FM27" s="43">
        <f t="shared" si="5"/>
        <v>0</v>
      </c>
      <c r="FN27" s="43">
        <f t="shared" si="5"/>
        <v>0</v>
      </c>
      <c r="FO27" s="43">
        <f t="shared" si="5"/>
        <v>0</v>
      </c>
      <c r="FP27" s="43">
        <f t="shared" si="5"/>
        <v>0</v>
      </c>
      <c r="FQ27" s="43">
        <f t="shared" si="5"/>
        <v>0</v>
      </c>
      <c r="FR27" s="43">
        <f t="shared" si="5"/>
        <v>0</v>
      </c>
      <c r="FS27" s="43">
        <f t="shared" si="5"/>
        <v>0</v>
      </c>
      <c r="FV27" t="s">
        <v>464</v>
      </c>
      <c r="FW27" t="s">
        <v>465</v>
      </c>
    </row>
    <row r="28" spans="1:179" ht="19.5" customHeight="1" x14ac:dyDescent="0.35">
      <c r="A28" t="s">
        <v>466</v>
      </c>
      <c r="B28" s="36">
        <v>1</v>
      </c>
      <c r="C28" s="36">
        <v>0</v>
      </c>
      <c r="D28" s="36">
        <v>0</v>
      </c>
      <c r="E28" s="36">
        <v>0</v>
      </c>
      <c r="F28" s="36">
        <v>0</v>
      </c>
      <c r="G28" s="36">
        <v>0</v>
      </c>
      <c r="H28" s="36">
        <v>0</v>
      </c>
      <c r="I28" s="36">
        <v>0</v>
      </c>
      <c r="J28" s="36">
        <v>0</v>
      </c>
      <c r="K28" s="36">
        <v>0</v>
      </c>
      <c r="L28" s="36">
        <v>-1</v>
      </c>
      <c r="M28" s="36">
        <v>0</v>
      </c>
      <c r="N28" s="36">
        <v>0</v>
      </c>
      <c r="O28" s="36">
        <v>0</v>
      </c>
      <c r="P28" s="36">
        <v>0</v>
      </c>
      <c r="Q28" s="36">
        <v>0</v>
      </c>
      <c r="R28" s="36">
        <v>0</v>
      </c>
      <c r="S28" s="36">
        <v>0</v>
      </c>
      <c r="T28" s="36">
        <v>0</v>
      </c>
      <c r="U28" s="36">
        <v>0</v>
      </c>
      <c r="V28" s="36">
        <v>0</v>
      </c>
      <c r="W28" s="36">
        <v>0</v>
      </c>
      <c r="X28" s="36">
        <v>0</v>
      </c>
      <c r="Y28" s="36">
        <v>0</v>
      </c>
      <c r="Z28" s="36">
        <v>0</v>
      </c>
      <c r="AA28" s="36">
        <v>0</v>
      </c>
      <c r="AB28" s="36">
        <v>0</v>
      </c>
      <c r="AC28" s="36">
        <v>0</v>
      </c>
      <c r="AD28" s="36">
        <v>0</v>
      </c>
      <c r="AE28" s="36">
        <v>0</v>
      </c>
      <c r="AF28" s="36">
        <v>0</v>
      </c>
      <c r="AG28" s="36">
        <v>0</v>
      </c>
      <c r="AH28" s="36">
        <v>0</v>
      </c>
      <c r="AI28" s="36">
        <v>0</v>
      </c>
      <c r="AJ28" s="36">
        <v>1</v>
      </c>
      <c r="AK28" s="36">
        <v>0</v>
      </c>
      <c r="AL28" s="36">
        <v>0</v>
      </c>
      <c r="AM28" s="36">
        <v>0</v>
      </c>
      <c r="AN28" s="36">
        <v>0</v>
      </c>
      <c r="AO28" s="36">
        <v>0</v>
      </c>
      <c r="AP28" s="36">
        <v>0</v>
      </c>
      <c r="AQ28" s="36">
        <v>0</v>
      </c>
      <c r="AR28" s="36">
        <v>0</v>
      </c>
      <c r="AS28" s="36">
        <v>0</v>
      </c>
      <c r="AT28" s="36">
        <v>0</v>
      </c>
      <c r="AU28" s="36">
        <v>0</v>
      </c>
      <c r="AV28" s="36">
        <v>0</v>
      </c>
      <c r="AW28" s="36">
        <v>0</v>
      </c>
      <c r="AX28" s="36">
        <v>0</v>
      </c>
      <c r="AY28" s="36">
        <v>0</v>
      </c>
      <c r="AZ28" s="36">
        <v>0</v>
      </c>
      <c r="BA28" s="36">
        <v>0</v>
      </c>
      <c r="BB28" s="36">
        <v>0</v>
      </c>
      <c r="BC28" s="36">
        <v>0</v>
      </c>
      <c r="BD28" s="36">
        <v>0</v>
      </c>
      <c r="BE28" s="36">
        <v>0</v>
      </c>
      <c r="BF28" s="36">
        <v>0</v>
      </c>
      <c r="BG28" s="36">
        <v>0</v>
      </c>
      <c r="BH28" s="36">
        <v>0</v>
      </c>
      <c r="BI28" s="36">
        <v>0</v>
      </c>
      <c r="BJ28" s="36">
        <v>0</v>
      </c>
      <c r="BK28" s="36">
        <v>0</v>
      </c>
      <c r="BL28" s="36">
        <v>0</v>
      </c>
      <c r="BM28" s="36">
        <v>0</v>
      </c>
      <c r="BN28" s="36">
        <v>0</v>
      </c>
      <c r="BO28" s="36">
        <v>0</v>
      </c>
      <c r="BP28" s="36">
        <v>0</v>
      </c>
      <c r="BQ28" s="36">
        <v>0</v>
      </c>
      <c r="BR28" s="36">
        <v>0</v>
      </c>
      <c r="BS28" s="36">
        <v>0</v>
      </c>
      <c r="BT28" s="36">
        <v>0</v>
      </c>
      <c r="BU28" s="36">
        <v>0</v>
      </c>
      <c r="BV28" s="36">
        <v>0</v>
      </c>
      <c r="BW28" s="36">
        <v>0</v>
      </c>
      <c r="BX28" s="36">
        <v>0</v>
      </c>
      <c r="BY28" s="36">
        <v>0</v>
      </c>
      <c r="BZ28" s="36">
        <v>0</v>
      </c>
      <c r="CA28" s="36">
        <v>0</v>
      </c>
      <c r="CB28" s="36">
        <v>0</v>
      </c>
      <c r="CC28" s="36">
        <v>0</v>
      </c>
      <c r="CD28" s="36">
        <v>0</v>
      </c>
      <c r="CE28" s="36">
        <v>0</v>
      </c>
      <c r="CF28" s="36">
        <v>0</v>
      </c>
      <c r="CG28" s="36">
        <v>0</v>
      </c>
      <c r="CH28" s="36">
        <v>1</v>
      </c>
      <c r="CI28" s="36">
        <v>0</v>
      </c>
      <c r="CJ28" s="36">
        <v>0</v>
      </c>
      <c r="CK28" s="36">
        <v>0</v>
      </c>
      <c r="CL28" s="36">
        <v>0</v>
      </c>
      <c r="CM28" s="36">
        <v>0</v>
      </c>
      <c r="CN28" s="36">
        <v>0</v>
      </c>
      <c r="CO28" s="36">
        <v>0</v>
      </c>
      <c r="CP28" s="36">
        <v>0</v>
      </c>
      <c r="CQ28" s="36">
        <v>0</v>
      </c>
      <c r="CR28" s="36">
        <v>0</v>
      </c>
      <c r="CS28" s="36">
        <v>0</v>
      </c>
      <c r="CT28" s="36">
        <v>0</v>
      </c>
      <c r="CU28" s="36">
        <v>0</v>
      </c>
      <c r="CV28" s="36">
        <v>0</v>
      </c>
      <c r="CW28" s="36">
        <v>0</v>
      </c>
      <c r="CX28" s="36">
        <v>0</v>
      </c>
      <c r="CY28" s="36">
        <v>0</v>
      </c>
      <c r="CZ28" s="36">
        <v>0</v>
      </c>
      <c r="DA28" s="36">
        <v>0</v>
      </c>
      <c r="DB28" s="36">
        <v>0</v>
      </c>
      <c r="DC28" s="36">
        <v>0</v>
      </c>
      <c r="DD28" s="36">
        <v>0</v>
      </c>
      <c r="DE28" s="36">
        <v>0</v>
      </c>
      <c r="DF28" s="36">
        <v>0</v>
      </c>
      <c r="DG28" s="36">
        <v>0</v>
      </c>
      <c r="DH28" s="36">
        <v>0</v>
      </c>
      <c r="DI28" s="36">
        <v>0</v>
      </c>
      <c r="DJ28" s="36">
        <v>0</v>
      </c>
      <c r="DK28" s="36">
        <v>0</v>
      </c>
      <c r="DL28" s="36">
        <v>0</v>
      </c>
      <c r="DM28" s="36">
        <v>0</v>
      </c>
      <c r="DN28" s="36">
        <v>0</v>
      </c>
      <c r="DO28" s="36">
        <v>0</v>
      </c>
      <c r="DP28" s="36">
        <v>0</v>
      </c>
      <c r="DQ28" s="36">
        <v>0</v>
      </c>
      <c r="DR28" s="36">
        <v>0</v>
      </c>
      <c r="DS28" s="36">
        <v>0</v>
      </c>
      <c r="DT28" s="36">
        <v>0</v>
      </c>
      <c r="DU28" s="36">
        <v>0</v>
      </c>
      <c r="DV28" s="36">
        <v>0</v>
      </c>
      <c r="DW28" s="36">
        <v>0</v>
      </c>
      <c r="DX28" s="36">
        <v>0</v>
      </c>
      <c r="DY28" s="36">
        <v>0</v>
      </c>
      <c r="DZ28" s="36">
        <v>0</v>
      </c>
      <c r="EA28" s="36">
        <v>0</v>
      </c>
      <c r="EB28" s="36">
        <v>0</v>
      </c>
      <c r="EC28" s="36">
        <v>0</v>
      </c>
      <c r="ED28" s="36">
        <v>0</v>
      </c>
      <c r="EE28" s="36">
        <v>0</v>
      </c>
      <c r="EF28" s="36">
        <v>0</v>
      </c>
      <c r="EG28" s="36">
        <v>0</v>
      </c>
      <c r="EH28" s="36">
        <v>0</v>
      </c>
      <c r="EI28" s="36">
        <v>0</v>
      </c>
      <c r="EJ28" s="36">
        <v>0</v>
      </c>
      <c r="EK28" s="36">
        <v>0</v>
      </c>
      <c r="EL28" s="36">
        <v>0</v>
      </c>
      <c r="EM28" s="36">
        <v>0</v>
      </c>
      <c r="EN28" s="36">
        <v>0</v>
      </c>
      <c r="EO28" s="36">
        <v>0</v>
      </c>
      <c r="EP28" s="36">
        <v>0</v>
      </c>
      <c r="ET28" t="s">
        <v>240</v>
      </c>
      <c r="EU28" t="s">
        <v>467</v>
      </c>
      <c r="EV28" s="36">
        <v>-1</v>
      </c>
      <c r="EW28" s="36">
        <v>2</v>
      </c>
      <c r="EX28" s="36">
        <v>3</v>
      </c>
      <c r="EY28" s="36">
        <v>0</v>
      </c>
      <c r="EZ28" s="36">
        <v>2</v>
      </c>
      <c r="FA28" s="36">
        <v>0</v>
      </c>
      <c r="FB28" s="36">
        <v>0</v>
      </c>
      <c r="FC28" s="42">
        <f t="shared" si="6"/>
        <v>8</v>
      </c>
      <c r="FE28">
        <f t="shared" si="1"/>
        <v>4</v>
      </c>
      <c r="FF28">
        <f t="shared" si="2"/>
        <v>4</v>
      </c>
      <c r="FG28">
        <f t="shared" si="3"/>
        <v>4</v>
      </c>
      <c r="FM28" s="43">
        <f t="shared" si="5"/>
        <v>0</v>
      </c>
      <c r="FN28" s="43">
        <f t="shared" si="5"/>
        <v>0</v>
      </c>
      <c r="FO28" s="43">
        <f t="shared" si="5"/>
        <v>0</v>
      </c>
      <c r="FP28" s="43">
        <f t="shared" si="5"/>
        <v>0</v>
      </c>
      <c r="FQ28" s="43">
        <f t="shared" si="5"/>
        <v>0</v>
      </c>
      <c r="FR28" s="43">
        <f t="shared" si="5"/>
        <v>0</v>
      </c>
      <c r="FS28" s="43">
        <f t="shared" si="5"/>
        <v>0</v>
      </c>
      <c r="FV28" t="s">
        <v>468</v>
      </c>
      <c r="FW28" t="s">
        <v>469</v>
      </c>
    </row>
    <row r="29" spans="1:179" ht="19.5" customHeight="1" x14ac:dyDescent="0.35">
      <c r="A29" t="s">
        <v>470</v>
      </c>
      <c r="B29" s="36">
        <v>1</v>
      </c>
      <c r="C29" s="36">
        <v>0</v>
      </c>
      <c r="D29" s="36">
        <v>0</v>
      </c>
      <c r="E29" s="36">
        <v>0</v>
      </c>
      <c r="F29" s="36">
        <v>0</v>
      </c>
      <c r="G29" s="36">
        <v>0</v>
      </c>
      <c r="H29" s="36">
        <v>0</v>
      </c>
      <c r="I29" s="36">
        <v>0</v>
      </c>
      <c r="J29" s="36">
        <v>0</v>
      </c>
      <c r="K29" s="36">
        <v>0</v>
      </c>
      <c r="L29" s="36">
        <v>0</v>
      </c>
      <c r="M29" s="36">
        <v>0</v>
      </c>
      <c r="N29" s="36">
        <v>0</v>
      </c>
      <c r="O29" s="36">
        <v>0</v>
      </c>
      <c r="P29" s="36">
        <v>0</v>
      </c>
      <c r="Q29" s="36">
        <v>0</v>
      </c>
      <c r="R29" s="36">
        <v>0</v>
      </c>
      <c r="S29" s="36">
        <v>0</v>
      </c>
      <c r="T29" s="36">
        <v>0</v>
      </c>
      <c r="U29" s="36">
        <v>0</v>
      </c>
      <c r="V29" s="36">
        <v>0</v>
      </c>
      <c r="W29" s="36">
        <v>0</v>
      </c>
      <c r="X29" s="36">
        <v>0</v>
      </c>
      <c r="Y29" s="36">
        <v>0</v>
      </c>
      <c r="Z29" s="36">
        <v>0</v>
      </c>
      <c r="AA29" s="36">
        <v>0</v>
      </c>
      <c r="AB29" s="36">
        <v>0</v>
      </c>
      <c r="AC29" s="36">
        <v>0</v>
      </c>
      <c r="AD29" s="36">
        <v>0</v>
      </c>
      <c r="AE29" s="36">
        <v>0</v>
      </c>
      <c r="AF29" s="36">
        <v>1</v>
      </c>
      <c r="AG29" s="36">
        <v>0</v>
      </c>
      <c r="AH29" s="36">
        <v>0</v>
      </c>
      <c r="AI29" s="36">
        <v>0</v>
      </c>
      <c r="AJ29" s="36">
        <v>-2</v>
      </c>
      <c r="AK29" s="36">
        <v>0</v>
      </c>
      <c r="AL29" s="36">
        <v>0</v>
      </c>
      <c r="AM29" s="36">
        <v>0</v>
      </c>
      <c r="AN29" s="36">
        <v>0</v>
      </c>
      <c r="AO29" s="36">
        <v>0</v>
      </c>
      <c r="AP29" s="36">
        <v>0</v>
      </c>
      <c r="AQ29" s="36">
        <v>0</v>
      </c>
      <c r="AR29" s="36">
        <v>0</v>
      </c>
      <c r="AS29" s="36">
        <v>0</v>
      </c>
      <c r="AT29" s="36">
        <v>0</v>
      </c>
      <c r="AU29" s="36">
        <v>0</v>
      </c>
      <c r="AV29" s="36">
        <v>0</v>
      </c>
      <c r="AW29" s="36">
        <v>0</v>
      </c>
      <c r="AX29" s="36">
        <v>0</v>
      </c>
      <c r="AY29" s="36">
        <v>0</v>
      </c>
      <c r="AZ29" s="36">
        <v>0</v>
      </c>
      <c r="BA29" s="36">
        <v>0</v>
      </c>
      <c r="BB29" s="36">
        <v>0</v>
      </c>
      <c r="BC29" s="36">
        <v>1</v>
      </c>
      <c r="BD29" s="36">
        <v>0</v>
      </c>
      <c r="BE29" s="36">
        <v>0</v>
      </c>
      <c r="BF29" s="36">
        <v>0</v>
      </c>
      <c r="BG29" s="36">
        <v>0</v>
      </c>
      <c r="BH29" s="36">
        <v>0</v>
      </c>
      <c r="BI29" s="36">
        <v>0</v>
      </c>
      <c r="BJ29" s="36">
        <v>0</v>
      </c>
      <c r="BK29" s="36">
        <v>0</v>
      </c>
      <c r="BL29" s="36">
        <v>0</v>
      </c>
      <c r="BM29" s="36">
        <v>0</v>
      </c>
      <c r="BN29" s="36">
        <v>0</v>
      </c>
      <c r="BO29" s="36">
        <v>0</v>
      </c>
      <c r="BP29" s="36">
        <v>0</v>
      </c>
      <c r="BQ29" s="36">
        <v>0</v>
      </c>
      <c r="BR29" s="36">
        <v>0</v>
      </c>
      <c r="BS29" s="36">
        <v>0</v>
      </c>
      <c r="BT29" s="36">
        <v>0</v>
      </c>
      <c r="BU29" s="36">
        <v>0</v>
      </c>
      <c r="BV29" s="36">
        <v>0</v>
      </c>
      <c r="BW29" s="36">
        <v>0</v>
      </c>
      <c r="BX29" s="36">
        <v>0</v>
      </c>
      <c r="BY29" s="36">
        <v>0</v>
      </c>
      <c r="BZ29" s="36">
        <v>0</v>
      </c>
      <c r="CA29" s="36">
        <v>0</v>
      </c>
      <c r="CB29" s="36">
        <v>0</v>
      </c>
      <c r="CC29" s="36">
        <v>0</v>
      </c>
      <c r="CD29" s="36">
        <v>0</v>
      </c>
      <c r="CE29" s="36">
        <v>0</v>
      </c>
      <c r="CF29" s="36">
        <v>0</v>
      </c>
      <c r="CG29" s="36">
        <v>0</v>
      </c>
      <c r="CH29" s="36">
        <v>0</v>
      </c>
      <c r="CI29" s="36">
        <v>0</v>
      </c>
      <c r="CJ29" s="36">
        <v>0</v>
      </c>
      <c r="CK29" s="36">
        <v>0</v>
      </c>
      <c r="CL29" s="36">
        <v>0</v>
      </c>
      <c r="CM29" s="36">
        <v>0</v>
      </c>
      <c r="CN29" s="36">
        <v>0</v>
      </c>
      <c r="CO29" s="36">
        <v>0</v>
      </c>
      <c r="CP29" s="36">
        <v>0</v>
      </c>
      <c r="CQ29" s="36">
        <v>0</v>
      </c>
      <c r="CR29" s="36">
        <v>0</v>
      </c>
      <c r="CS29" s="36">
        <v>0</v>
      </c>
      <c r="CT29" s="36">
        <v>0</v>
      </c>
      <c r="CU29" s="36">
        <v>0</v>
      </c>
      <c r="CV29" s="36">
        <v>0</v>
      </c>
      <c r="CW29" s="36">
        <v>0</v>
      </c>
      <c r="CX29" s="36">
        <v>0</v>
      </c>
      <c r="CY29" s="36">
        <v>0</v>
      </c>
      <c r="CZ29" s="36">
        <v>0</v>
      </c>
      <c r="DA29" s="36">
        <v>0</v>
      </c>
      <c r="DB29" s="36">
        <v>0</v>
      </c>
      <c r="DC29" s="36">
        <v>0</v>
      </c>
      <c r="DD29" s="36">
        <v>0</v>
      </c>
      <c r="DE29" s="36">
        <v>0</v>
      </c>
      <c r="DF29" s="36">
        <v>0</v>
      </c>
      <c r="DG29" s="36">
        <v>0</v>
      </c>
      <c r="DH29" s="36">
        <v>0</v>
      </c>
      <c r="DI29" s="36">
        <v>0</v>
      </c>
      <c r="DJ29" s="36">
        <v>0</v>
      </c>
      <c r="DK29" s="36">
        <v>0</v>
      </c>
      <c r="DL29" s="36">
        <v>0</v>
      </c>
      <c r="DM29" s="36">
        <v>0</v>
      </c>
      <c r="DN29" s="36">
        <v>0</v>
      </c>
      <c r="DO29" s="36">
        <v>0</v>
      </c>
      <c r="DP29" s="36">
        <v>0</v>
      </c>
      <c r="DQ29" s="36">
        <v>0</v>
      </c>
      <c r="DR29" s="36">
        <v>0</v>
      </c>
      <c r="DS29" s="36">
        <v>0</v>
      </c>
      <c r="DT29" s="36">
        <v>0</v>
      </c>
      <c r="DU29" s="36">
        <v>0</v>
      </c>
      <c r="DV29" s="36">
        <v>0</v>
      </c>
      <c r="DW29" s="36">
        <v>0</v>
      </c>
      <c r="DX29" s="36">
        <v>0</v>
      </c>
      <c r="DY29" s="36">
        <v>0</v>
      </c>
      <c r="DZ29" s="36">
        <v>0</v>
      </c>
      <c r="EA29" s="36">
        <v>0</v>
      </c>
      <c r="EB29" s="36">
        <v>0</v>
      </c>
      <c r="EC29" s="36">
        <v>0</v>
      </c>
      <c r="ED29" s="36">
        <v>0</v>
      </c>
      <c r="EE29" s="36">
        <v>0</v>
      </c>
      <c r="EF29" s="36">
        <v>0</v>
      </c>
      <c r="EG29" s="36">
        <v>0</v>
      </c>
      <c r="EH29" s="36">
        <v>0</v>
      </c>
      <c r="EI29" s="36">
        <v>0</v>
      </c>
      <c r="EJ29" s="36">
        <v>0</v>
      </c>
      <c r="EK29" s="36">
        <v>0</v>
      </c>
      <c r="EL29" s="36">
        <v>0</v>
      </c>
      <c r="EM29" s="36">
        <v>0</v>
      </c>
      <c r="EN29" s="36">
        <v>0</v>
      </c>
      <c r="EO29" s="36">
        <v>0</v>
      </c>
      <c r="EP29" s="36">
        <v>0</v>
      </c>
      <c r="ET29" t="s">
        <v>241</v>
      </c>
      <c r="EU29" t="s">
        <v>467</v>
      </c>
      <c r="EV29" s="36">
        <v>-1</v>
      </c>
      <c r="EW29" s="36">
        <v>2</v>
      </c>
      <c r="EX29" s="36">
        <v>3</v>
      </c>
      <c r="EY29" s="36">
        <v>0</v>
      </c>
      <c r="EZ29" s="36">
        <v>2</v>
      </c>
      <c r="FA29" s="36">
        <v>0</v>
      </c>
      <c r="FB29" s="36">
        <v>0</v>
      </c>
      <c r="FC29" s="42">
        <f t="shared" si="6"/>
        <v>8</v>
      </c>
      <c r="FE29">
        <f t="shared" si="1"/>
        <v>4</v>
      </c>
      <c r="FF29">
        <f t="shared" si="2"/>
        <v>4</v>
      </c>
      <c r="FG29">
        <f t="shared" si="3"/>
        <v>4</v>
      </c>
      <c r="FM29" s="43">
        <f t="shared" si="5"/>
        <v>0</v>
      </c>
      <c r="FN29" s="43">
        <f t="shared" si="5"/>
        <v>0</v>
      </c>
      <c r="FO29" s="43">
        <f t="shared" si="5"/>
        <v>0</v>
      </c>
      <c r="FP29" s="43">
        <f t="shared" si="5"/>
        <v>0</v>
      </c>
      <c r="FQ29" s="43">
        <f t="shared" si="5"/>
        <v>0</v>
      </c>
      <c r="FR29" s="43">
        <f t="shared" si="5"/>
        <v>0</v>
      </c>
      <c r="FS29" s="43">
        <f t="shared" si="5"/>
        <v>0</v>
      </c>
      <c r="FV29" t="s">
        <v>471</v>
      </c>
      <c r="FW29" t="s">
        <v>472</v>
      </c>
    </row>
    <row r="30" spans="1:179" ht="19.5" customHeight="1" x14ac:dyDescent="0.35">
      <c r="A30" t="s">
        <v>473</v>
      </c>
      <c r="B30" s="36">
        <v>0</v>
      </c>
      <c r="C30" s="36">
        <v>0</v>
      </c>
      <c r="D30" s="36">
        <v>0</v>
      </c>
      <c r="E30" s="36">
        <v>0</v>
      </c>
      <c r="F30" s="36">
        <v>0</v>
      </c>
      <c r="G30" s="36">
        <v>1</v>
      </c>
      <c r="H30" s="36">
        <v>0</v>
      </c>
      <c r="I30" s="36">
        <v>0</v>
      </c>
      <c r="J30" s="36">
        <v>0</v>
      </c>
      <c r="K30" s="36">
        <v>0</v>
      </c>
      <c r="L30" s="36">
        <v>0</v>
      </c>
      <c r="M30" s="36">
        <v>0</v>
      </c>
      <c r="N30" s="36">
        <v>0</v>
      </c>
      <c r="O30" s="36">
        <v>0</v>
      </c>
      <c r="P30" s="36">
        <v>0</v>
      </c>
      <c r="Q30" s="36">
        <v>0</v>
      </c>
      <c r="R30" s="36">
        <v>0</v>
      </c>
      <c r="S30" s="36">
        <v>0</v>
      </c>
      <c r="T30" s="36">
        <v>0</v>
      </c>
      <c r="U30" s="36">
        <v>0</v>
      </c>
      <c r="V30" s="36">
        <v>0</v>
      </c>
      <c r="W30" s="36">
        <v>0</v>
      </c>
      <c r="X30" s="36">
        <v>0</v>
      </c>
      <c r="Y30" s="36">
        <v>0</v>
      </c>
      <c r="Z30" s="36">
        <v>0</v>
      </c>
      <c r="AA30" s="36">
        <v>0</v>
      </c>
      <c r="AB30" s="36">
        <v>0</v>
      </c>
      <c r="AC30" s="36">
        <v>0</v>
      </c>
      <c r="AD30" s="36">
        <v>0</v>
      </c>
      <c r="AE30" s="36">
        <v>0</v>
      </c>
      <c r="AF30" s="36">
        <v>-1</v>
      </c>
      <c r="AG30" s="36">
        <v>0</v>
      </c>
      <c r="AH30" s="36">
        <v>0</v>
      </c>
      <c r="AI30" s="36">
        <v>0</v>
      </c>
      <c r="AJ30" s="36">
        <v>0</v>
      </c>
      <c r="AK30" s="36">
        <v>0</v>
      </c>
      <c r="AL30" s="36">
        <v>0</v>
      </c>
      <c r="AM30" s="36">
        <v>0</v>
      </c>
      <c r="AN30" s="36">
        <v>0</v>
      </c>
      <c r="AO30" s="36">
        <v>0</v>
      </c>
      <c r="AP30" s="36">
        <v>0</v>
      </c>
      <c r="AQ30" s="36">
        <v>0</v>
      </c>
      <c r="AR30" s="36">
        <v>0</v>
      </c>
      <c r="AS30" s="36">
        <v>0</v>
      </c>
      <c r="AT30" s="36">
        <v>0</v>
      </c>
      <c r="AU30" s="36">
        <v>0</v>
      </c>
      <c r="AV30" s="36">
        <v>0</v>
      </c>
      <c r="AW30" s="36">
        <v>0</v>
      </c>
      <c r="AX30" s="36">
        <v>0</v>
      </c>
      <c r="AY30" s="36">
        <v>0</v>
      </c>
      <c r="AZ30" s="36">
        <v>0</v>
      </c>
      <c r="BA30" s="36">
        <v>0</v>
      </c>
      <c r="BB30" s="36">
        <v>0</v>
      </c>
      <c r="BC30" s="36">
        <v>0</v>
      </c>
      <c r="BD30" s="36">
        <v>0</v>
      </c>
      <c r="BE30" s="36">
        <v>0</v>
      </c>
      <c r="BF30" s="36">
        <v>0</v>
      </c>
      <c r="BG30" s="36">
        <v>0</v>
      </c>
      <c r="BH30" s="36">
        <v>0</v>
      </c>
      <c r="BI30" s="36">
        <v>0</v>
      </c>
      <c r="BJ30" s="36">
        <v>0</v>
      </c>
      <c r="BK30" s="36">
        <v>0</v>
      </c>
      <c r="BL30" s="36">
        <v>0</v>
      </c>
      <c r="BM30" s="36">
        <v>0</v>
      </c>
      <c r="BN30" s="36">
        <v>0</v>
      </c>
      <c r="BO30" s="36">
        <v>0</v>
      </c>
      <c r="BP30" s="36">
        <v>0</v>
      </c>
      <c r="BQ30" s="36">
        <v>0</v>
      </c>
      <c r="BR30" s="36">
        <v>0</v>
      </c>
      <c r="BS30" s="36">
        <v>0</v>
      </c>
      <c r="BT30" s="36">
        <v>0</v>
      </c>
      <c r="BU30" s="36">
        <v>0</v>
      </c>
      <c r="BV30" s="36">
        <v>0</v>
      </c>
      <c r="BW30" s="36">
        <v>0</v>
      </c>
      <c r="BX30" s="36">
        <v>0</v>
      </c>
      <c r="BY30" s="36">
        <v>0</v>
      </c>
      <c r="BZ30" s="36">
        <v>0</v>
      </c>
      <c r="CA30" s="36">
        <v>0</v>
      </c>
      <c r="CB30" s="36">
        <v>0</v>
      </c>
      <c r="CC30" s="36">
        <v>0</v>
      </c>
      <c r="CD30" s="36">
        <v>0</v>
      </c>
      <c r="CE30" s="36">
        <v>0</v>
      </c>
      <c r="CF30" s="36">
        <v>0</v>
      </c>
      <c r="CG30" s="36">
        <v>0</v>
      </c>
      <c r="CH30" s="36">
        <v>0</v>
      </c>
      <c r="CI30" s="36">
        <v>0</v>
      </c>
      <c r="CJ30" s="36">
        <v>0</v>
      </c>
      <c r="CK30" s="36">
        <v>0</v>
      </c>
      <c r="CL30" s="36">
        <v>-1</v>
      </c>
      <c r="CM30" s="36">
        <v>0</v>
      </c>
      <c r="CN30" s="36">
        <v>0</v>
      </c>
      <c r="CO30" s="36">
        <v>0</v>
      </c>
      <c r="CP30" s="36">
        <v>0</v>
      </c>
      <c r="CQ30" s="36">
        <v>0</v>
      </c>
      <c r="CR30" s="36">
        <v>0</v>
      </c>
      <c r="CS30" s="36">
        <v>0</v>
      </c>
      <c r="CT30" s="36">
        <v>0</v>
      </c>
      <c r="CU30" s="36">
        <v>0</v>
      </c>
      <c r="CV30" s="36">
        <v>0</v>
      </c>
      <c r="CW30" s="36">
        <v>0</v>
      </c>
      <c r="CX30" s="36">
        <v>0</v>
      </c>
      <c r="CY30" s="36">
        <v>0</v>
      </c>
      <c r="CZ30" s="36">
        <v>0</v>
      </c>
      <c r="DA30" s="36">
        <v>0</v>
      </c>
      <c r="DB30" s="36">
        <v>0</v>
      </c>
      <c r="DC30" s="36">
        <v>0</v>
      </c>
      <c r="DD30" s="36">
        <v>0</v>
      </c>
      <c r="DE30" s="36">
        <v>0</v>
      </c>
      <c r="DF30" s="36">
        <v>0</v>
      </c>
      <c r="DG30" s="36">
        <v>0</v>
      </c>
      <c r="DH30" s="36">
        <v>0</v>
      </c>
      <c r="DI30" s="36">
        <v>0</v>
      </c>
      <c r="DJ30" s="36">
        <v>0</v>
      </c>
      <c r="DK30" s="36">
        <v>0</v>
      </c>
      <c r="DL30" s="36">
        <v>0</v>
      </c>
      <c r="DM30" s="36">
        <v>1</v>
      </c>
      <c r="DN30" s="36">
        <v>-1</v>
      </c>
      <c r="DO30" s="36">
        <v>0</v>
      </c>
      <c r="DP30" s="36">
        <v>0</v>
      </c>
      <c r="DQ30" s="36">
        <v>0</v>
      </c>
      <c r="DR30" s="36">
        <v>0</v>
      </c>
      <c r="DS30" s="36">
        <v>0</v>
      </c>
      <c r="DT30" s="36">
        <v>0</v>
      </c>
      <c r="DU30" s="36">
        <v>0</v>
      </c>
      <c r="DV30" s="36">
        <v>0</v>
      </c>
      <c r="DW30" s="36">
        <v>0</v>
      </c>
      <c r="DX30" s="36">
        <v>0</v>
      </c>
      <c r="DY30" s="36">
        <v>0</v>
      </c>
      <c r="DZ30" s="36">
        <v>0</v>
      </c>
      <c r="EA30" s="36">
        <v>0</v>
      </c>
      <c r="EB30" s="36">
        <v>0</v>
      </c>
      <c r="EC30" s="36">
        <v>0</v>
      </c>
      <c r="ED30" s="36">
        <v>0</v>
      </c>
      <c r="EE30" s="36">
        <v>0</v>
      </c>
      <c r="EF30" s="36">
        <v>0</v>
      </c>
      <c r="EG30" s="36">
        <v>0</v>
      </c>
      <c r="EH30" s="36">
        <v>0</v>
      </c>
      <c r="EI30" s="36">
        <v>0</v>
      </c>
      <c r="EJ30" s="36">
        <v>0</v>
      </c>
      <c r="EK30" s="36">
        <v>0</v>
      </c>
      <c r="EL30" s="36">
        <v>0</v>
      </c>
      <c r="EM30" s="36">
        <v>0</v>
      </c>
      <c r="EN30" s="36">
        <v>0</v>
      </c>
      <c r="EO30" s="36">
        <v>0</v>
      </c>
      <c r="EP30" s="36">
        <v>0</v>
      </c>
      <c r="ET30" t="s">
        <v>242</v>
      </c>
      <c r="EU30" t="s">
        <v>474</v>
      </c>
      <c r="EV30" s="36">
        <v>-1</v>
      </c>
      <c r="EW30" s="36">
        <v>4</v>
      </c>
      <c r="EX30" s="36">
        <v>5</v>
      </c>
      <c r="EY30" s="36">
        <v>0</v>
      </c>
      <c r="EZ30" s="36">
        <v>3</v>
      </c>
      <c r="FA30" s="36">
        <v>0</v>
      </c>
      <c r="FB30" s="36">
        <v>0</v>
      </c>
      <c r="FC30" s="42">
        <f t="shared" si="6"/>
        <v>16</v>
      </c>
      <c r="FE30">
        <f t="shared" si="1"/>
        <v>4</v>
      </c>
      <c r="FF30">
        <f t="shared" si="2"/>
        <v>4</v>
      </c>
      <c r="FG30">
        <f t="shared" si="3"/>
        <v>4</v>
      </c>
      <c r="FM30" s="43">
        <f t="shared" si="5"/>
        <v>0</v>
      </c>
      <c r="FN30" s="43">
        <f t="shared" si="5"/>
        <v>0</v>
      </c>
      <c r="FO30" s="43">
        <f t="shared" si="5"/>
        <v>0</v>
      </c>
      <c r="FP30" s="43">
        <f t="shared" si="5"/>
        <v>0</v>
      </c>
      <c r="FQ30" s="43">
        <f t="shared" si="5"/>
        <v>0</v>
      </c>
      <c r="FR30" s="43">
        <f t="shared" si="5"/>
        <v>0</v>
      </c>
      <c r="FS30" s="43">
        <f t="shared" si="5"/>
        <v>0</v>
      </c>
      <c r="FV30" t="s">
        <v>475</v>
      </c>
      <c r="FW30" t="s">
        <v>476</v>
      </c>
    </row>
    <row r="31" spans="1:179" ht="19.5" customHeight="1" x14ac:dyDescent="0.35">
      <c r="A31" t="s">
        <v>477</v>
      </c>
      <c r="B31" s="36">
        <v>1</v>
      </c>
      <c r="C31" s="36">
        <v>0</v>
      </c>
      <c r="D31" s="36">
        <v>0</v>
      </c>
      <c r="E31" s="36">
        <v>0</v>
      </c>
      <c r="F31" s="36">
        <v>0</v>
      </c>
      <c r="G31" s="36">
        <v>-1</v>
      </c>
      <c r="H31" s="36">
        <v>0</v>
      </c>
      <c r="I31" s="36">
        <v>0</v>
      </c>
      <c r="J31" s="36">
        <v>0</v>
      </c>
      <c r="K31" s="36">
        <v>0</v>
      </c>
      <c r="L31" s="36">
        <v>0</v>
      </c>
      <c r="M31" s="36">
        <v>0</v>
      </c>
      <c r="N31" s="36">
        <v>0</v>
      </c>
      <c r="O31" s="36">
        <v>0</v>
      </c>
      <c r="P31" s="36">
        <v>0</v>
      </c>
      <c r="Q31" s="36">
        <v>0</v>
      </c>
      <c r="R31" s="36">
        <v>0</v>
      </c>
      <c r="S31" s="36">
        <v>0</v>
      </c>
      <c r="T31" s="36">
        <v>0</v>
      </c>
      <c r="U31" s="36">
        <v>0</v>
      </c>
      <c r="V31" s="36">
        <v>0</v>
      </c>
      <c r="W31" s="36">
        <v>0</v>
      </c>
      <c r="X31" s="36">
        <v>0</v>
      </c>
      <c r="Y31" s="36">
        <v>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0</v>
      </c>
      <c r="AX31" s="36">
        <v>0</v>
      </c>
      <c r="AY31" s="36">
        <v>0</v>
      </c>
      <c r="AZ31" s="36">
        <v>0</v>
      </c>
      <c r="BA31" s="36">
        <v>0</v>
      </c>
      <c r="BB31" s="36">
        <v>0</v>
      </c>
      <c r="BC31" s="36">
        <v>0</v>
      </c>
      <c r="BD31" s="36">
        <v>1</v>
      </c>
      <c r="BE31" s="36">
        <v>0</v>
      </c>
      <c r="BF31" s="36">
        <v>0</v>
      </c>
      <c r="BG31" s="36">
        <v>0</v>
      </c>
      <c r="BH31" s="36">
        <v>0</v>
      </c>
      <c r="BI31" s="36">
        <v>0</v>
      </c>
      <c r="BJ31" s="36">
        <v>0</v>
      </c>
      <c r="BK31" s="36">
        <v>0</v>
      </c>
      <c r="BL31" s="36">
        <v>0</v>
      </c>
      <c r="BM31" s="36">
        <v>0</v>
      </c>
      <c r="BN31" s="36">
        <v>0</v>
      </c>
      <c r="BO31" s="36">
        <v>0</v>
      </c>
      <c r="BP31" s="36">
        <v>0</v>
      </c>
      <c r="BQ31" s="36">
        <v>0</v>
      </c>
      <c r="BR31" s="36">
        <v>0</v>
      </c>
      <c r="BS31" s="36">
        <v>0</v>
      </c>
      <c r="BT31" s="36">
        <v>0</v>
      </c>
      <c r="BU31" s="36">
        <v>0</v>
      </c>
      <c r="BV31" s="36">
        <v>0</v>
      </c>
      <c r="BW31" s="36">
        <v>0</v>
      </c>
      <c r="BX31" s="36">
        <v>0</v>
      </c>
      <c r="BY31" s="36">
        <v>0</v>
      </c>
      <c r="BZ31" s="36">
        <v>0</v>
      </c>
      <c r="CA31" s="36">
        <v>0</v>
      </c>
      <c r="CB31" s="36">
        <v>0</v>
      </c>
      <c r="CC31" s="36">
        <v>0</v>
      </c>
      <c r="CD31" s="36">
        <v>0</v>
      </c>
      <c r="CE31" s="36">
        <v>0</v>
      </c>
      <c r="CF31" s="36">
        <v>0</v>
      </c>
      <c r="CG31" s="36">
        <v>0</v>
      </c>
      <c r="CH31" s="36">
        <v>0</v>
      </c>
      <c r="CI31" s="36">
        <v>0</v>
      </c>
      <c r="CJ31" s="36">
        <v>0</v>
      </c>
      <c r="CK31" s="36">
        <v>0</v>
      </c>
      <c r="CL31" s="36">
        <v>0</v>
      </c>
      <c r="CM31" s="36">
        <v>0</v>
      </c>
      <c r="CN31" s="36">
        <v>0</v>
      </c>
      <c r="CO31" s="36">
        <v>0</v>
      </c>
      <c r="CP31" s="36">
        <v>1</v>
      </c>
      <c r="CQ31" s="36">
        <v>0</v>
      </c>
      <c r="CR31" s="36">
        <v>0</v>
      </c>
      <c r="CS31" s="36">
        <v>0</v>
      </c>
      <c r="CT31" s="36">
        <v>0</v>
      </c>
      <c r="CU31" s="36">
        <v>0</v>
      </c>
      <c r="CV31" s="36">
        <v>0</v>
      </c>
      <c r="CW31" s="36">
        <v>0</v>
      </c>
      <c r="CX31" s="36">
        <v>0</v>
      </c>
      <c r="CY31" s="36">
        <v>0</v>
      </c>
      <c r="CZ31" s="36">
        <v>0</v>
      </c>
      <c r="DA31" s="36">
        <v>0</v>
      </c>
      <c r="DB31" s="36">
        <v>0</v>
      </c>
      <c r="DC31" s="36">
        <v>0</v>
      </c>
      <c r="DD31" s="36">
        <v>0</v>
      </c>
      <c r="DE31" s="36">
        <v>0</v>
      </c>
      <c r="DF31" s="36">
        <v>0</v>
      </c>
      <c r="DG31" s="36">
        <v>0</v>
      </c>
      <c r="DH31" s="36">
        <v>0</v>
      </c>
      <c r="DI31" s="36">
        <v>0</v>
      </c>
      <c r="DJ31" s="36">
        <v>0</v>
      </c>
      <c r="DK31" s="36">
        <v>0</v>
      </c>
      <c r="DL31" s="36">
        <v>0</v>
      </c>
      <c r="DM31" s="36">
        <v>0</v>
      </c>
      <c r="DN31" s="36">
        <v>0</v>
      </c>
      <c r="DO31" s="36">
        <v>0</v>
      </c>
      <c r="DP31" s="36">
        <v>0</v>
      </c>
      <c r="DQ31" s="36">
        <v>0</v>
      </c>
      <c r="DR31" s="36">
        <v>0</v>
      </c>
      <c r="DS31" s="36">
        <v>0</v>
      </c>
      <c r="DT31" s="36">
        <v>0</v>
      </c>
      <c r="DU31" s="36">
        <v>0</v>
      </c>
      <c r="DV31" s="36">
        <v>0</v>
      </c>
      <c r="DW31" s="36">
        <v>0</v>
      </c>
      <c r="DX31" s="36">
        <v>0</v>
      </c>
      <c r="DY31" s="36">
        <v>0</v>
      </c>
      <c r="DZ31" s="36">
        <v>0</v>
      </c>
      <c r="EA31" s="36">
        <v>0</v>
      </c>
      <c r="EB31" s="36">
        <v>0</v>
      </c>
      <c r="EC31" s="36">
        <v>0</v>
      </c>
      <c r="ED31" s="36">
        <v>0</v>
      </c>
      <c r="EE31" s="36">
        <v>0</v>
      </c>
      <c r="EF31" s="36">
        <v>0</v>
      </c>
      <c r="EG31" s="36">
        <v>0</v>
      </c>
      <c r="EH31" s="36">
        <v>0</v>
      </c>
      <c r="EI31" s="36">
        <v>0</v>
      </c>
      <c r="EJ31" s="36">
        <v>0</v>
      </c>
      <c r="EK31" s="36">
        <v>0</v>
      </c>
      <c r="EL31" s="36">
        <v>0</v>
      </c>
      <c r="EM31" s="36">
        <v>0</v>
      </c>
      <c r="EN31" s="36">
        <v>0</v>
      </c>
      <c r="EO31" s="36">
        <v>0</v>
      </c>
      <c r="EP31" s="36">
        <v>0</v>
      </c>
      <c r="ET31" t="s">
        <v>478</v>
      </c>
      <c r="EU31" t="s">
        <v>479</v>
      </c>
      <c r="EV31" s="36">
        <v>-4</v>
      </c>
      <c r="EW31" s="36">
        <v>25</v>
      </c>
      <c r="EX31" s="36">
        <v>36</v>
      </c>
      <c r="EY31" s="36">
        <v>7</v>
      </c>
      <c r="EZ31" s="36">
        <v>18</v>
      </c>
      <c r="FA31" s="36">
        <v>3</v>
      </c>
      <c r="FB31" s="36">
        <v>1</v>
      </c>
      <c r="FC31" s="42">
        <f t="shared" si="6"/>
        <v>96</v>
      </c>
      <c r="FE31">
        <f t="shared" si="1"/>
        <v>6.4</v>
      </c>
      <c r="FF31">
        <f t="shared" si="2"/>
        <v>4.16</v>
      </c>
      <c r="FG31">
        <f t="shared" si="3"/>
        <v>5</v>
      </c>
      <c r="FM31" s="43">
        <f t="shared" si="5"/>
        <v>0</v>
      </c>
      <c r="FN31" s="43">
        <f t="shared" si="5"/>
        <v>0</v>
      </c>
      <c r="FO31" s="43">
        <f t="shared" si="5"/>
        <v>0</v>
      </c>
      <c r="FP31" s="43">
        <f t="shared" si="5"/>
        <v>0</v>
      </c>
      <c r="FQ31" s="43">
        <f t="shared" si="5"/>
        <v>0</v>
      </c>
      <c r="FR31" s="43">
        <f t="shared" si="5"/>
        <v>0</v>
      </c>
      <c r="FS31" s="43">
        <f t="shared" si="5"/>
        <v>0</v>
      </c>
      <c r="FV31" t="s">
        <v>480</v>
      </c>
      <c r="FW31" t="s">
        <v>481</v>
      </c>
    </row>
    <row r="32" spans="1:179" ht="19.5" customHeight="1" x14ac:dyDescent="0.35">
      <c r="A32" t="s">
        <v>482</v>
      </c>
      <c r="B32" s="36">
        <v>0</v>
      </c>
      <c r="C32" s="36">
        <v>0</v>
      </c>
      <c r="D32" s="36">
        <v>0</v>
      </c>
      <c r="E32" s="36">
        <v>1</v>
      </c>
      <c r="F32" s="36">
        <v>0</v>
      </c>
      <c r="G32" s="36">
        <v>0</v>
      </c>
      <c r="H32" s="36">
        <v>0</v>
      </c>
      <c r="I32" s="36">
        <v>0</v>
      </c>
      <c r="J32" s="36">
        <v>0</v>
      </c>
      <c r="K32" s="36">
        <v>0</v>
      </c>
      <c r="L32" s="36">
        <v>0</v>
      </c>
      <c r="M32" s="36">
        <v>0</v>
      </c>
      <c r="N32" s="36">
        <v>0</v>
      </c>
      <c r="O32" s="36">
        <v>0</v>
      </c>
      <c r="P32" s="36">
        <v>0</v>
      </c>
      <c r="Q32" s="36">
        <v>0</v>
      </c>
      <c r="R32" s="36">
        <v>0</v>
      </c>
      <c r="S32" s="36">
        <v>0</v>
      </c>
      <c r="T32" s="36">
        <v>0</v>
      </c>
      <c r="U32" s="36">
        <v>0</v>
      </c>
      <c r="V32" s="36">
        <v>0</v>
      </c>
      <c r="W32" s="36">
        <v>0</v>
      </c>
      <c r="X32" s="36">
        <v>0</v>
      </c>
      <c r="Y32" s="36">
        <v>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-1</v>
      </c>
      <c r="AZ32" s="36">
        <v>0</v>
      </c>
      <c r="BA32" s="36">
        <v>0</v>
      </c>
      <c r="BB32" s="36">
        <v>0</v>
      </c>
      <c r="BC32" s="36">
        <v>0</v>
      </c>
      <c r="BD32" s="36">
        <v>-1</v>
      </c>
      <c r="BE32" s="36">
        <v>0</v>
      </c>
      <c r="BF32" s="36">
        <v>0</v>
      </c>
      <c r="BG32" s="36">
        <v>0</v>
      </c>
      <c r="BH32" s="36">
        <v>0</v>
      </c>
      <c r="BI32" s="36">
        <v>0</v>
      </c>
      <c r="BJ32" s="36">
        <v>0</v>
      </c>
      <c r="BK32" s="36">
        <v>0</v>
      </c>
      <c r="BL32" s="36">
        <v>0</v>
      </c>
      <c r="BM32" s="36">
        <v>0</v>
      </c>
      <c r="BN32" s="36">
        <v>0</v>
      </c>
      <c r="BO32" s="36">
        <v>0</v>
      </c>
      <c r="BP32" s="36">
        <v>0</v>
      </c>
      <c r="BQ32" s="36">
        <v>0</v>
      </c>
      <c r="BR32" s="36">
        <v>0</v>
      </c>
      <c r="BS32" s="36">
        <v>0</v>
      </c>
      <c r="BT32" s="36">
        <v>0</v>
      </c>
      <c r="BU32" s="36">
        <v>0</v>
      </c>
      <c r="BV32" s="36">
        <v>0</v>
      </c>
      <c r="BW32" s="36">
        <v>0</v>
      </c>
      <c r="BX32" s="36">
        <v>0</v>
      </c>
      <c r="BY32" s="36">
        <v>0</v>
      </c>
      <c r="BZ32" s="36">
        <v>0</v>
      </c>
      <c r="CA32" s="36">
        <v>0</v>
      </c>
      <c r="CB32" s="36">
        <v>0</v>
      </c>
      <c r="CC32" s="36">
        <v>0</v>
      </c>
      <c r="CD32" s="36">
        <v>0</v>
      </c>
      <c r="CE32" s="36">
        <v>0</v>
      </c>
      <c r="CF32" s="36">
        <v>0</v>
      </c>
      <c r="CG32" s="36">
        <v>0</v>
      </c>
      <c r="CH32" s="36">
        <v>0</v>
      </c>
      <c r="CI32" s="36">
        <v>0</v>
      </c>
      <c r="CJ32" s="36">
        <v>0</v>
      </c>
      <c r="CK32" s="36">
        <v>0</v>
      </c>
      <c r="CL32" s="36">
        <v>0</v>
      </c>
      <c r="CM32" s="36">
        <v>0</v>
      </c>
      <c r="CN32" s="36">
        <v>0</v>
      </c>
      <c r="CO32" s="36">
        <v>0</v>
      </c>
      <c r="CP32" s="36">
        <v>0</v>
      </c>
      <c r="CQ32" s="36">
        <v>0</v>
      </c>
      <c r="CR32" s="36">
        <v>0</v>
      </c>
      <c r="CS32" s="36">
        <v>0</v>
      </c>
      <c r="CT32" s="36">
        <v>0</v>
      </c>
      <c r="CU32" s="36">
        <v>0</v>
      </c>
      <c r="CV32" s="36">
        <v>0</v>
      </c>
      <c r="CW32" s="36">
        <v>0</v>
      </c>
      <c r="CX32" s="36">
        <v>0</v>
      </c>
      <c r="CY32" s="36">
        <v>0</v>
      </c>
      <c r="CZ32" s="36">
        <v>0</v>
      </c>
      <c r="DA32" s="36">
        <v>0</v>
      </c>
      <c r="DB32" s="36">
        <v>0</v>
      </c>
      <c r="DC32" s="36">
        <v>0</v>
      </c>
      <c r="DD32" s="36">
        <v>0</v>
      </c>
      <c r="DE32" s="36">
        <v>0</v>
      </c>
      <c r="DF32" s="36">
        <v>0</v>
      </c>
      <c r="DG32" s="36">
        <v>0</v>
      </c>
      <c r="DH32" s="36">
        <v>0</v>
      </c>
      <c r="DI32" s="36">
        <v>0</v>
      </c>
      <c r="DJ32" s="36">
        <v>0</v>
      </c>
      <c r="DK32" s="36">
        <v>0</v>
      </c>
      <c r="DL32" s="36">
        <v>0</v>
      </c>
      <c r="DM32" s="36">
        <v>1</v>
      </c>
      <c r="DN32" s="36">
        <v>-1</v>
      </c>
      <c r="DO32" s="36">
        <v>0</v>
      </c>
      <c r="DP32" s="36">
        <v>0</v>
      </c>
      <c r="DQ32" s="36">
        <v>0</v>
      </c>
      <c r="DR32" s="36">
        <v>0</v>
      </c>
      <c r="DS32" s="36">
        <v>0</v>
      </c>
      <c r="DT32" s="36">
        <v>0</v>
      </c>
      <c r="DU32" s="36">
        <v>0</v>
      </c>
      <c r="DV32" s="36">
        <v>0</v>
      </c>
      <c r="DW32" s="36">
        <v>0</v>
      </c>
      <c r="DX32" s="36">
        <v>0</v>
      </c>
      <c r="DY32" s="36">
        <v>0</v>
      </c>
      <c r="DZ32" s="36">
        <v>0</v>
      </c>
      <c r="EA32" s="36">
        <v>0</v>
      </c>
      <c r="EB32" s="36">
        <v>0</v>
      </c>
      <c r="EC32" s="36">
        <v>0</v>
      </c>
      <c r="ED32" s="36">
        <v>0</v>
      </c>
      <c r="EE32" s="36">
        <v>0</v>
      </c>
      <c r="EF32" s="36">
        <v>0</v>
      </c>
      <c r="EG32" s="36">
        <v>0</v>
      </c>
      <c r="EH32" s="36">
        <v>0</v>
      </c>
      <c r="EI32" s="36">
        <v>0</v>
      </c>
      <c r="EJ32" s="36">
        <v>0</v>
      </c>
      <c r="EK32" s="36">
        <v>0</v>
      </c>
      <c r="EL32" s="36">
        <v>0</v>
      </c>
      <c r="EM32" s="36">
        <v>0</v>
      </c>
      <c r="EN32" s="36">
        <v>0</v>
      </c>
      <c r="EO32" s="36">
        <v>0</v>
      </c>
      <c r="EP32" s="36">
        <v>0</v>
      </c>
      <c r="ET32" t="s">
        <v>244</v>
      </c>
      <c r="EU32" t="s">
        <v>483</v>
      </c>
      <c r="EV32" s="36">
        <v>0</v>
      </c>
      <c r="EW32" s="36">
        <v>3</v>
      </c>
      <c r="EX32" s="36">
        <v>6</v>
      </c>
      <c r="EY32" s="36">
        <v>0</v>
      </c>
      <c r="EZ32" s="36">
        <v>1</v>
      </c>
      <c r="FA32" s="36">
        <v>0</v>
      </c>
      <c r="FB32" s="36">
        <v>0</v>
      </c>
      <c r="FC32" s="42">
        <f t="shared" si="6"/>
        <v>16</v>
      </c>
      <c r="FE32">
        <f t="shared" si="1"/>
        <v>5.333333333333333</v>
      </c>
      <c r="FF32">
        <f t="shared" si="2"/>
        <v>5.333333333333333</v>
      </c>
      <c r="FG32">
        <f t="shared" si="3"/>
        <v>5.333333333333333</v>
      </c>
      <c r="FM32" s="43">
        <f t="shared" si="5"/>
        <v>0</v>
      </c>
      <c r="FN32" s="43">
        <f t="shared" si="5"/>
        <v>0</v>
      </c>
      <c r="FO32" s="43">
        <f t="shared" si="5"/>
        <v>0</v>
      </c>
      <c r="FP32" s="43">
        <f t="shared" si="5"/>
        <v>0</v>
      </c>
      <c r="FQ32" s="43">
        <f t="shared" si="5"/>
        <v>0</v>
      </c>
      <c r="FR32" s="43">
        <f t="shared" si="5"/>
        <v>0</v>
      </c>
      <c r="FS32" s="43">
        <f t="shared" si="5"/>
        <v>0</v>
      </c>
      <c r="FV32" t="s">
        <v>484</v>
      </c>
      <c r="FW32" t="s">
        <v>485</v>
      </c>
    </row>
    <row r="33" spans="1:179" ht="19.5" customHeight="1" x14ac:dyDescent="0.35">
      <c r="A33" t="s">
        <v>486</v>
      </c>
      <c r="B33" s="36">
        <v>0</v>
      </c>
      <c r="C33" s="36">
        <v>1</v>
      </c>
      <c r="D33" s="36">
        <v>0</v>
      </c>
      <c r="E33" s="36">
        <v>-1</v>
      </c>
      <c r="F33" s="36">
        <v>0</v>
      </c>
      <c r="G33" s="36">
        <v>0</v>
      </c>
      <c r="H33" s="36">
        <v>0</v>
      </c>
      <c r="I33" s="36">
        <v>0</v>
      </c>
      <c r="J33" s="36">
        <v>0</v>
      </c>
      <c r="K33" s="36">
        <v>0</v>
      </c>
      <c r="L33" s="36">
        <v>0</v>
      </c>
      <c r="M33" s="36">
        <v>0</v>
      </c>
      <c r="N33" s="36">
        <v>0</v>
      </c>
      <c r="O33" s="36">
        <v>0</v>
      </c>
      <c r="P33" s="36">
        <v>0</v>
      </c>
      <c r="Q33" s="36">
        <v>0</v>
      </c>
      <c r="R33" s="36">
        <v>0</v>
      </c>
      <c r="S33" s="36">
        <v>0</v>
      </c>
      <c r="T33" s="36">
        <v>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0</v>
      </c>
      <c r="AS33" s="36">
        <v>0</v>
      </c>
      <c r="AT33" s="36">
        <v>0</v>
      </c>
      <c r="AU33" s="36">
        <v>0</v>
      </c>
      <c r="AV33" s="36">
        <v>0</v>
      </c>
      <c r="AW33" s="36">
        <v>0</v>
      </c>
      <c r="AX33" s="36">
        <v>0</v>
      </c>
      <c r="AY33" s="36">
        <v>0</v>
      </c>
      <c r="AZ33" s="36">
        <v>0</v>
      </c>
      <c r="BA33" s="36">
        <v>0</v>
      </c>
      <c r="BB33" s="36">
        <v>0</v>
      </c>
      <c r="BC33" s="36">
        <v>0</v>
      </c>
      <c r="BD33" s="36">
        <v>0</v>
      </c>
      <c r="BE33" s="36">
        <v>0</v>
      </c>
      <c r="BF33" s="36">
        <v>0</v>
      </c>
      <c r="BG33" s="36">
        <v>0</v>
      </c>
      <c r="BH33" s="36">
        <v>0</v>
      </c>
      <c r="BI33" s="36">
        <v>0</v>
      </c>
      <c r="BJ33" s="36">
        <v>0</v>
      </c>
      <c r="BK33" s="36">
        <v>0</v>
      </c>
      <c r="BL33" s="36">
        <v>0</v>
      </c>
      <c r="BM33" s="36">
        <v>0</v>
      </c>
      <c r="BN33" s="36">
        <v>0</v>
      </c>
      <c r="BO33" s="36">
        <v>0</v>
      </c>
      <c r="BP33" s="36">
        <v>0</v>
      </c>
      <c r="BQ33" s="36">
        <v>0</v>
      </c>
      <c r="BR33" s="36">
        <v>0</v>
      </c>
      <c r="BS33" s="36">
        <v>0</v>
      </c>
      <c r="BT33" s="36">
        <v>0</v>
      </c>
      <c r="BU33" s="36">
        <v>0</v>
      </c>
      <c r="BV33" s="36">
        <v>0</v>
      </c>
      <c r="BW33" s="36">
        <v>0</v>
      </c>
      <c r="BX33" s="36">
        <v>0</v>
      </c>
      <c r="BY33" s="36">
        <v>0</v>
      </c>
      <c r="BZ33" s="36">
        <v>0</v>
      </c>
      <c r="CA33" s="36">
        <v>0</v>
      </c>
      <c r="CB33" s="36">
        <v>0</v>
      </c>
      <c r="CC33" s="36">
        <v>0</v>
      </c>
      <c r="CD33" s="36">
        <v>0</v>
      </c>
      <c r="CE33" s="36">
        <v>0</v>
      </c>
      <c r="CF33" s="36">
        <v>0</v>
      </c>
      <c r="CG33" s="36">
        <v>0</v>
      </c>
      <c r="CH33" s="36">
        <v>0</v>
      </c>
      <c r="CI33" s="36">
        <v>0</v>
      </c>
      <c r="CJ33" s="36">
        <v>0</v>
      </c>
      <c r="CK33" s="36">
        <v>0</v>
      </c>
      <c r="CL33" s="36">
        <v>0</v>
      </c>
      <c r="CM33" s="36">
        <v>0</v>
      </c>
      <c r="CN33" s="36">
        <v>0</v>
      </c>
      <c r="CO33" s="36">
        <v>0</v>
      </c>
      <c r="CP33" s="36">
        <v>0</v>
      </c>
      <c r="CQ33" s="36">
        <v>0</v>
      </c>
      <c r="CR33" s="36">
        <v>0</v>
      </c>
      <c r="CS33" s="36">
        <v>0</v>
      </c>
      <c r="CT33" s="36">
        <v>0</v>
      </c>
      <c r="CU33" s="36">
        <v>0</v>
      </c>
      <c r="CV33" s="36">
        <v>0</v>
      </c>
      <c r="CW33" s="36">
        <v>0</v>
      </c>
      <c r="CX33" s="36">
        <v>0</v>
      </c>
      <c r="CY33" s="36">
        <v>0</v>
      </c>
      <c r="CZ33" s="36">
        <v>0</v>
      </c>
      <c r="DA33" s="36">
        <v>0</v>
      </c>
      <c r="DB33" s="36">
        <v>0</v>
      </c>
      <c r="DC33" s="36">
        <v>0</v>
      </c>
      <c r="DD33" s="36">
        <v>0</v>
      </c>
      <c r="DE33" s="36">
        <v>0</v>
      </c>
      <c r="DF33" s="36">
        <v>0</v>
      </c>
      <c r="DG33" s="36">
        <v>0</v>
      </c>
      <c r="DH33" s="36">
        <v>0</v>
      </c>
      <c r="DI33" s="36">
        <v>0</v>
      </c>
      <c r="DJ33" s="36">
        <v>0</v>
      </c>
      <c r="DK33" s="36">
        <v>0</v>
      </c>
      <c r="DL33" s="36">
        <v>0</v>
      </c>
      <c r="DM33" s="36">
        <v>0</v>
      </c>
      <c r="DN33" s="36">
        <v>0</v>
      </c>
      <c r="DO33" s="36">
        <v>0</v>
      </c>
      <c r="DP33" s="36">
        <v>0</v>
      </c>
      <c r="DQ33" s="36">
        <v>0</v>
      </c>
      <c r="DR33" s="36">
        <v>0</v>
      </c>
      <c r="DS33" s="36">
        <v>0</v>
      </c>
      <c r="DT33" s="36">
        <v>0</v>
      </c>
      <c r="DU33" s="36">
        <v>0</v>
      </c>
      <c r="DV33" s="36">
        <v>0</v>
      </c>
      <c r="DW33" s="36">
        <v>0</v>
      </c>
      <c r="DX33" s="36">
        <v>0</v>
      </c>
      <c r="DY33" s="36">
        <v>0</v>
      </c>
      <c r="DZ33" s="36">
        <v>0</v>
      </c>
      <c r="EA33" s="36">
        <v>0</v>
      </c>
      <c r="EB33" s="36">
        <v>0</v>
      </c>
      <c r="EC33" s="36">
        <v>0</v>
      </c>
      <c r="ED33" s="36">
        <v>0</v>
      </c>
      <c r="EE33" s="36">
        <v>0</v>
      </c>
      <c r="EF33" s="36">
        <v>0</v>
      </c>
      <c r="EG33" s="36">
        <v>0</v>
      </c>
      <c r="EH33" s="36">
        <v>0</v>
      </c>
      <c r="EI33" s="36">
        <v>0</v>
      </c>
      <c r="EJ33" s="36">
        <v>0</v>
      </c>
      <c r="EK33" s="36">
        <v>0</v>
      </c>
      <c r="EL33" s="36">
        <v>0</v>
      </c>
      <c r="EM33" s="36">
        <v>0</v>
      </c>
      <c r="EN33" s="36">
        <v>0</v>
      </c>
      <c r="EO33" s="36">
        <v>0</v>
      </c>
      <c r="EP33" s="36">
        <v>0</v>
      </c>
      <c r="ET33" t="s">
        <v>245</v>
      </c>
      <c r="EU33" t="s">
        <v>483</v>
      </c>
      <c r="EV33" s="36">
        <v>0</v>
      </c>
      <c r="EW33" s="36">
        <v>3</v>
      </c>
      <c r="EX33" s="36">
        <v>6</v>
      </c>
      <c r="EY33" s="36">
        <v>0</v>
      </c>
      <c r="EZ33" s="36">
        <v>1</v>
      </c>
      <c r="FA33" s="36">
        <v>0</v>
      </c>
      <c r="FB33" s="36">
        <v>0</v>
      </c>
      <c r="FC33" s="42">
        <f t="shared" si="6"/>
        <v>16</v>
      </c>
      <c r="FE33">
        <f t="shared" si="1"/>
        <v>5.333333333333333</v>
      </c>
      <c r="FF33">
        <f t="shared" si="2"/>
        <v>5.333333333333333</v>
      </c>
      <c r="FG33">
        <f t="shared" si="3"/>
        <v>5.333333333333333</v>
      </c>
      <c r="FM33" s="43">
        <f t="shared" si="5"/>
        <v>0</v>
      </c>
      <c r="FN33" s="43">
        <f t="shared" si="5"/>
        <v>0</v>
      </c>
      <c r="FO33" s="43">
        <f t="shared" si="5"/>
        <v>0</v>
      </c>
      <c r="FP33" s="43">
        <f t="shared" si="5"/>
        <v>0</v>
      </c>
      <c r="FQ33" s="43">
        <f t="shared" si="5"/>
        <v>0</v>
      </c>
      <c r="FR33" s="43">
        <f t="shared" si="5"/>
        <v>0</v>
      </c>
      <c r="FS33" s="43">
        <f t="shared" si="5"/>
        <v>0</v>
      </c>
      <c r="FV33" t="s">
        <v>487</v>
      </c>
      <c r="FW33" t="s">
        <v>488</v>
      </c>
    </row>
    <row r="34" spans="1:179" ht="19.5" customHeight="1" x14ac:dyDescent="0.35">
      <c r="A34" t="s">
        <v>489</v>
      </c>
      <c r="B34" s="36">
        <v>0</v>
      </c>
      <c r="C34" s="36">
        <v>-1</v>
      </c>
      <c r="D34" s="36">
        <v>0</v>
      </c>
      <c r="E34" s="36">
        <v>0</v>
      </c>
      <c r="F34" s="36">
        <v>1</v>
      </c>
      <c r="G34" s="36">
        <v>0</v>
      </c>
      <c r="H34" s="36">
        <v>0</v>
      </c>
      <c r="I34" s="36">
        <v>0</v>
      </c>
      <c r="J34" s="36">
        <v>0</v>
      </c>
      <c r="K34" s="36">
        <v>0</v>
      </c>
      <c r="L34" s="36">
        <v>0</v>
      </c>
      <c r="M34" s="36">
        <v>0</v>
      </c>
      <c r="N34" s="36">
        <v>0</v>
      </c>
      <c r="O34" s="36">
        <v>0</v>
      </c>
      <c r="P34" s="36">
        <v>0</v>
      </c>
      <c r="Q34" s="36">
        <v>0</v>
      </c>
      <c r="R34" s="36">
        <v>0</v>
      </c>
      <c r="S34" s="36">
        <v>0</v>
      </c>
      <c r="T34" s="36">
        <v>0</v>
      </c>
      <c r="U34" s="36">
        <v>0</v>
      </c>
      <c r="V34" s="36">
        <v>0</v>
      </c>
      <c r="W34" s="36">
        <v>0</v>
      </c>
      <c r="X34" s="36">
        <v>0</v>
      </c>
      <c r="Y34" s="36">
        <v>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0</v>
      </c>
      <c r="AS34" s="36">
        <v>0</v>
      </c>
      <c r="AT34" s="36">
        <v>0</v>
      </c>
      <c r="AU34" s="36">
        <v>0</v>
      </c>
      <c r="AV34" s="36">
        <v>0</v>
      </c>
      <c r="AW34" s="36">
        <v>0</v>
      </c>
      <c r="AX34" s="36">
        <v>0</v>
      </c>
      <c r="AY34" s="36">
        <v>0</v>
      </c>
      <c r="AZ34" s="36">
        <v>0</v>
      </c>
      <c r="BA34" s="36">
        <v>0</v>
      </c>
      <c r="BB34" s="36">
        <v>0</v>
      </c>
      <c r="BC34" s="36">
        <v>0</v>
      </c>
      <c r="BD34" s="36">
        <v>0</v>
      </c>
      <c r="BE34" s="36">
        <v>0</v>
      </c>
      <c r="BF34" s="36">
        <v>0</v>
      </c>
      <c r="BG34" s="36">
        <v>0</v>
      </c>
      <c r="BH34" s="36">
        <v>0</v>
      </c>
      <c r="BI34" s="36">
        <v>0</v>
      </c>
      <c r="BJ34" s="36">
        <v>0</v>
      </c>
      <c r="BK34" s="36">
        <v>0</v>
      </c>
      <c r="BL34" s="36">
        <v>0</v>
      </c>
      <c r="BM34" s="36">
        <v>0</v>
      </c>
      <c r="BN34" s="36">
        <v>0</v>
      </c>
      <c r="BO34" s="36">
        <v>0</v>
      </c>
      <c r="BP34" s="36">
        <v>0</v>
      </c>
      <c r="BQ34" s="36">
        <v>0</v>
      </c>
      <c r="BR34" s="36">
        <v>0</v>
      </c>
      <c r="BS34" s="36">
        <v>0</v>
      </c>
      <c r="BT34" s="36">
        <v>0</v>
      </c>
      <c r="BU34" s="36">
        <v>0</v>
      </c>
      <c r="BV34" s="36">
        <v>0</v>
      </c>
      <c r="BW34" s="36">
        <v>0</v>
      </c>
      <c r="BX34" s="36">
        <v>0</v>
      </c>
      <c r="BY34" s="36">
        <v>0</v>
      </c>
      <c r="BZ34" s="36">
        <v>0</v>
      </c>
      <c r="CA34" s="36">
        <v>0</v>
      </c>
      <c r="CB34" s="36">
        <v>0</v>
      </c>
      <c r="CC34" s="36">
        <v>0</v>
      </c>
      <c r="CD34" s="36">
        <v>0</v>
      </c>
      <c r="CE34" s="36">
        <v>0</v>
      </c>
      <c r="CF34" s="36">
        <v>0</v>
      </c>
      <c r="CG34" s="36">
        <v>0</v>
      </c>
      <c r="CH34" s="36">
        <v>0</v>
      </c>
      <c r="CI34" s="36">
        <v>0</v>
      </c>
      <c r="CJ34" s="36">
        <v>0</v>
      </c>
      <c r="CK34" s="36">
        <v>0</v>
      </c>
      <c r="CL34" s="36">
        <v>0</v>
      </c>
      <c r="CM34" s="36">
        <v>0</v>
      </c>
      <c r="CN34" s="36">
        <v>0</v>
      </c>
      <c r="CO34" s="36">
        <v>0</v>
      </c>
      <c r="CP34" s="36">
        <v>0</v>
      </c>
      <c r="CQ34" s="36">
        <v>0</v>
      </c>
      <c r="CR34" s="36">
        <v>0</v>
      </c>
      <c r="CS34" s="36">
        <v>0</v>
      </c>
      <c r="CT34" s="36">
        <v>0</v>
      </c>
      <c r="CU34" s="36">
        <v>0</v>
      </c>
      <c r="CV34" s="36">
        <v>0</v>
      </c>
      <c r="CW34" s="36">
        <v>0</v>
      </c>
      <c r="CX34" s="36">
        <v>0</v>
      </c>
      <c r="CY34" s="36">
        <v>0</v>
      </c>
      <c r="CZ34" s="36">
        <v>0</v>
      </c>
      <c r="DA34" s="36">
        <v>0</v>
      </c>
      <c r="DB34" s="36">
        <v>0</v>
      </c>
      <c r="DC34" s="36">
        <v>0</v>
      </c>
      <c r="DD34" s="36">
        <v>0</v>
      </c>
      <c r="DE34" s="36">
        <v>0</v>
      </c>
      <c r="DF34" s="36">
        <v>0</v>
      </c>
      <c r="DG34" s="36">
        <v>0</v>
      </c>
      <c r="DH34" s="36">
        <v>0</v>
      </c>
      <c r="DI34" s="36">
        <v>0</v>
      </c>
      <c r="DJ34" s="36">
        <v>0</v>
      </c>
      <c r="DK34" s="36">
        <v>0</v>
      </c>
      <c r="DL34" s="36">
        <v>0</v>
      </c>
      <c r="DM34" s="36">
        <v>0</v>
      </c>
      <c r="DN34" s="36">
        <v>0</v>
      </c>
      <c r="DO34" s="36">
        <v>0</v>
      </c>
      <c r="DP34" s="36">
        <v>0</v>
      </c>
      <c r="DQ34" s="36">
        <v>0</v>
      </c>
      <c r="DR34" s="36">
        <v>0</v>
      </c>
      <c r="DS34" s="36">
        <v>0</v>
      </c>
      <c r="DT34" s="36">
        <v>0</v>
      </c>
      <c r="DU34" s="36">
        <v>0</v>
      </c>
      <c r="DV34" s="36">
        <v>0</v>
      </c>
      <c r="DW34" s="36">
        <v>0</v>
      </c>
      <c r="DX34" s="36">
        <v>0</v>
      </c>
      <c r="DY34" s="36">
        <v>0</v>
      </c>
      <c r="DZ34" s="36">
        <v>0</v>
      </c>
      <c r="EA34" s="36">
        <v>0</v>
      </c>
      <c r="EB34" s="36">
        <v>0</v>
      </c>
      <c r="EC34" s="36">
        <v>0</v>
      </c>
      <c r="ED34" s="36">
        <v>0</v>
      </c>
      <c r="EE34" s="36">
        <v>0</v>
      </c>
      <c r="EF34" s="36">
        <v>0</v>
      </c>
      <c r="EG34" s="36">
        <v>0</v>
      </c>
      <c r="EH34" s="36">
        <v>0</v>
      </c>
      <c r="EI34" s="36">
        <v>0</v>
      </c>
      <c r="EJ34" s="36">
        <v>0</v>
      </c>
      <c r="EK34" s="36">
        <v>0</v>
      </c>
      <c r="EL34" s="36">
        <v>0</v>
      </c>
      <c r="EM34" s="36">
        <v>0</v>
      </c>
      <c r="EN34" s="36">
        <v>0</v>
      </c>
      <c r="EO34" s="36">
        <v>0</v>
      </c>
      <c r="EP34" s="36">
        <v>0</v>
      </c>
      <c r="ET34" t="s">
        <v>246</v>
      </c>
      <c r="EU34" t="s">
        <v>490</v>
      </c>
      <c r="EV34" s="36">
        <v>-2</v>
      </c>
      <c r="EW34" s="36">
        <v>2</v>
      </c>
      <c r="EX34" s="36">
        <v>3</v>
      </c>
      <c r="EY34" s="36">
        <v>0</v>
      </c>
      <c r="EZ34" s="36">
        <v>5</v>
      </c>
      <c r="FA34" s="36">
        <v>1</v>
      </c>
      <c r="FB34" s="36">
        <v>0</v>
      </c>
      <c r="FC34" s="42">
        <f t="shared" si="6"/>
        <v>8</v>
      </c>
      <c r="FE34">
        <f t="shared" si="1"/>
        <v>4</v>
      </c>
      <c r="FF34">
        <f t="shared" si="2"/>
        <v>4</v>
      </c>
      <c r="FG34">
        <f t="shared" si="3"/>
        <v>4</v>
      </c>
      <c r="FM34" s="43">
        <f t="shared" si="5"/>
        <v>0</v>
      </c>
      <c r="FN34" s="43">
        <f t="shared" si="5"/>
        <v>0</v>
      </c>
      <c r="FO34" s="43">
        <f t="shared" si="5"/>
        <v>0</v>
      </c>
      <c r="FP34" s="43">
        <f t="shared" si="5"/>
        <v>0</v>
      </c>
      <c r="FQ34" s="43">
        <f t="shared" si="5"/>
        <v>0</v>
      </c>
      <c r="FR34" s="43">
        <f t="shared" si="5"/>
        <v>0</v>
      </c>
      <c r="FS34" s="43">
        <f t="shared" si="5"/>
        <v>0</v>
      </c>
      <c r="FV34" t="s">
        <v>491</v>
      </c>
      <c r="FW34" t="s">
        <v>492</v>
      </c>
    </row>
    <row r="35" spans="1:179" ht="19.5" customHeight="1" x14ac:dyDescent="0.35">
      <c r="A35" t="s">
        <v>493</v>
      </c>
      <c r="B35" s="36">
        <v>0</v>
      </c>
      <c r="C35" s="36">
        <v>0</v>
      </c>
      <c r="D35" s="36">
        <v>0</v>
      </c>
      <c r="E35" s="36">
        <v>0</v>
      </c>
      <c r="F35" s="36">
        <v>-1</v>
      </c>
      <c r="G35" s="36">
        <v>0</v>
      </c>
      <c r="H35" s="36">
        <v>0</v>
      </c>
      <c r="I35" s="36">
        <v>0</v>
      </c>
      <c r="J35" s="36">
        <v>0</v>
      </c>
      <c r="K35" s="36">
        <v>0</v>
      </c>
      <c r="L35" s="36">
        <v>0</v>
      </c>
      <c r="M35" s="36">
        <v>0</v>
      </c>
      <c r="N35" s="36">
        <v>0</v>
      </c>
      <c r="O35" s="36">
        <v>0</v>
      </c>
      <c r="P35" s="36">
        <v>1</v>
      </c>
      <c r="Q35" s="36">
        <v>0</v>
      </c>
      <c r="R35" s="36">
        <v>0</v>
      </c>
      <c r="S35" s="36">
        <v>0</v>
      </c>
      <c r="T35" s="36">
        <v>0</v>
      </c>
      <c r="U35" s="36">
        <v>0</v>
      </c>
      <c r="V35" s="36">
        <v>0</v>
      </c>
      <c r="W35" s="36">
        <v>0</v>
      </c>
      <c r="X35" s="36">
        <v>0</v>
      </c>
      <c r="Y35" s="36">
        <v>0</v>
      </c>
      <c r="Z35" s="36">
        <v>0</v>
      </c>
      <c r="AA35" s="36">
        <v>0</v>
      </c>
      <c r="AB35" s="36">
        <v>0</v>
      </c>
      <c r="AC35" s="36">
        <v>0</v>
      </c>
      <c r="AD35" s="36">
        <v>0</v>
      </c>
      <c r="AE35" s="36">
        <v>0</v>
      </c>
      <c r="AF35" s="36">
        <v>0</v>
      </c>
      <c r="AG35" s="36">
        <v>0</v>
      </c>
      <c r="AH35" s="36">
        <v>0</v>
      </c>
      <c r="AI35" s="36">
        <v>0</v>
      </c>
      <c r="AJ35" s="36">
        <v>0</v>
      </c>
      <c r="AK35" s="36">
        <v>0</v>
      </c>
      <c r="AL35" s="36">
        <v>0</v>
      </c>
      <c r="AM35" s="36">
        <v>0</v>
      </c>
      <c r="AN35" s="36">
        <v>0</v>
      </c>
      <c r="AO35" s="36">
        <v>0</v>
      </c>
      <c r="AP35" s="36">
        <v>0</v>
      </c>
      <c r="AQ35" s="36">
        <v>0</v>
      </c>
      <c r="AR35" s="36">
        <v>0</v>
      </c>
      <c r="AS35" s="36">
        <v>0</v>
      </c>
      <c r="AT35" s="36">
        <v>0</v>
      </c>
      <c r="AU35" s="36">
        <v>0</v>
      </c>
      <c r="AV35" s="36">
        <v>0</v>
      </c>
      <c r="AW35" s="36">
        <v>0</v>
      </c>
      <c r="AX35" s="36">
        <v>0</v>
      </c>
      <c r="AY35" s="36">
        <v>0</v>
      </c>
      <c r="AZ35" s="36">
        <v>0</v>
      </c>
      <c r="BA35" s="36">
        <v>0</v>
      </c>
      <c r="BB35" s="36">
        <v>0</v>
      </c>
      <c r="BC35" s="36">
        <v>0</v>
      </c>
      <c r="BD35" s="36">
        <v>0</v>
      </c>
      <c r="BE35" s="36">
        <v>0</v>
      </c>
      <c r="BF35" s="36">
        <v>0</v>
      </c>
      <c r="BG35" s="36">
        <v>0</v>
      </c>
      <c r="BH35" s="36">
        <v>0</v>
      </c>
      <c r="BI35" s="36">
        <v>0</v>
      </c>
      <c r="BJ35" s="36">
        <v>0</v>
      </c>
      <c r="BK35" s="36">
        <v>0</v>
      </c>
      <c r="BL35" s="36">
        <v>0</v>
      </c>
      <c r="BM35" s="36">
        <v>0</v>
      </c>
      <c r="BN35" s="36">
        <v>0</v>
      </c>
      <c r="BO35" s="36">
        <v>0</v>
      </c>
      <c r="BP35" s="36">
        <v>0</v>
      </c>
      <c r="BQ35" s="36">
        <v>0</v>
      </c>
      <c r="BR35" s="36">
        <v>0</v>
      </c>
      <c r="BS35" s="36">
        <v>0</v>
      </c>
      <c r="BT35" s="36">
        <v>0</v>
      </c>
      <c r="BU35" s="36">
        <v>0</v>
      </c>
      <c r="BV35" s="36">
        <v>0</v>
      </c>
      <c r="BW35" s="36">
        <v>0</v>
      </c>
      <c r="BX35" s="36">
        <v>0</v>
      </c>
      <c r="BY35" s="36">
        <v>0</v>
      </c>
      <c r="BZ35" s="36">
        <v>0</v>
      </c>
      <c r="CA35" s="36">
        <v>0</v>
      </c>
      <c r="CB35" s="36">
        <v>0</v>
      </c>
      <c r="CC35" s="36">
        <v>0</v>
      </c>
      <c r="CD35" s="36">
        <v>0</v>
      </c>
      <c r="CE35" s="36">
        <v>0</v>
      </c>
      <c r="CF35" s="36">
        <v>0</v>
      </c>
      <c r="CG35" s="36">
        <v>0</v>
      </c>
      <c r="CH35" s="36">
        <v>0</v>
      </c>
      <c r="CI35" s="36">
        <v>0</v>
      </c>
      <c r="CJ35" s="36">
        <v>0</v>
      </c>
      <c r="CK35" s="36">
        <v>0</v>
      </c>
      <c r="CL35" s="36">
        <v>0</v>
      </c>
      <c r="CM35" s="36">
        <v>0</v>
      </c>
      <c r="CN35" s="36">
        <v>0</v>
      </c>
      <c r="CO35" s="36">
        <v>0</v>
      </c>
      <c r="CP35" s="36">
        <v>0</v>
      </c>
      <c r="CQ35" s="36">
        <v>0</v>
      </c>
      <c r="CR35" s="36">
        <v>0</v>
      </c>
      <c r="CS35" s="36">
        <v>0</v>
      </c>
      <c r="CT35" s="36">
        <v>0</v>
      </c>
      <c r="CU35" s="36">
        <v>0</v>
      </c>
      <c r="CV35" s="36">
        <v>0</v>
      </c>
      <c r="CW35" s="36">
        <v>0</v>
      </c>
      <c r="CX35" s="36">
        <v>0</v>
      </c>
      <c r="CY35" s="36">
        <v>0</v>
      </c>
      <c r="CZ35" s="36">
        <v>0</v>
      </c>
      <c r="DA35" s="36">
        <v>0</v>
      </c>
      <c r="DB35" s="36">
        <v>0</v>
      </c>
      <c r="DC35" s="36">
        <v>0</v>
      </c>
      <c r="DD35" s="36">
        <v>0</v>
      </c>
      <c r="DE35" s="36">
        <v>0</v>
      </c>
      <c r="DF35" s="36">
        <v>0</v>
      </c>
      <c r="DG35" s="36">
        <v>0</v>
      </c>
      <c r="DH35" s="36">
        <v>0</v>
      </c>
      <c r="DI35" s="36">
        <v>0</v>
      </c>
      <c r="DJ35" s="36">
        <v>0</v>
      </c>
      <c r="DK35" s="36">
        <v>0</v>
      </c>
      <c r="DL35" s="36">
        <v>0</v>
      </c>
      <c r="DM35" s="36">
        <v>0</v>
      </c>
      <c r="DN35" s="36">
        <v>0</v>
      </c>
      <c r="DO35" s="36">
        <v>0</v>
      </c>
      <c r="DP35" s="36">
        <v>0</v>
      </c>
      <c r="DQ35" s="36">
        <v>0</v>
      </c>
      <c r="DR35" s="36">
        <v>0</v>
      </c>
      <c r="DS35" s="36">
        <v>0</v>
      </c>
      <c r="DT35" s="36">
        <v>0</v>
      </c>
      <c r="DU35" s="36">
        <v>0</v>
      </c>
      <c r="DV35" s="36">
        <v>0</v>
      </c>
      <c r="DW35" s="36">
        <v>0</v>
      </c>
      <c r="DX35" s="36">
        <v>0</v>
      </c>
      <c r="DY35" s="36">
        <v>0</v>
      </c>
      <c r="DZ35" s="36">
        <v>0</v>
      </c>
      <c r="EA35" s="36">
        <v>0</v>
      </c>
      <c r="EB35" s="36">
        <v>0</v>
      </c>
      <c r="EC35" s="36">
        <v>0</v>
      </c>
      <c r="ED35" s="36">
        <v>0</v>
      </c>
      <c r="EE35" s="36">
        <v>0</v>
      </c>
      <c r="EF35" s="36">
        <v>0</v>
      </c>
      <c r="EG35" s="36">
        <v>0</v>
      </c>
      <c r="EH35" s="36">
        <v>0</v>
      </c>
      <c r="EI35" s="36">
        <v>0</v>
      </c>
      <c r="EJ35" s="36">
        <v>-1</v>
      </c>
      <c r="EK35" s="36">
        <v>1</v>
      </c>
      <c r="EL35" s="36">
        <v>0</v>
      </c>
      <c r="EM35" s="36">
        <v>0</v>
      </c>
      <c r="EN35" s="36">
        <v>0</v>
      </c>
      <c r="EO35" s="36">
        <v>0</v>
      </c>
      <c r="EP35" s="36">
        <v>0</v>
      </c>
      <c r="ET35" t="s">
        <v>162</v>
      </c>
      <c r="EU35" t="s">
        <v>494</v>
      </c>
      <c r="EV35" s="36">
        <v>-4</v>
      </c>
      <c r="EW35" s="36">
        <v>23</v>
      </c>
      <c r="EX35" s="36">
        <v>34</v>
      </c>
      <c r="EY35" s="36">
        <v>7</v>
      </c>
      <c r="EZ35" s="36">
        <v>17</v>
      </c>
      <c r="FA35" s="36">
        <v>3</v>
      </c>
      <c r="FB35" s="36">
        <v>1</v>
      </c>
      <c r="FC35" s="42">
        <f t="shared" si="6"/>
        <v>88</v>
      </c>
      <c r="FE35">
        <f t="shared" si="1"/>
        <v>6.6086956521739131</v>
      </c>
      <c r="FF35">
        <f t="shared" si="2"/>
        <v>4.1739130434782608</v>
      </c>
      <c r="FG35">
        <f t="shared" si="3"/>
        <v>5.0869565217391308</v>
      </c>
      <c r="FM35" s="43">
        <f t="shared" si="5"/>
        <v>0</v>
      </c>
      <c r="FN35" s="43">
        <f t="shared" si="5"/>
        <v>0</v>
      </c>
      <c r="FO35" s="43">
        <f t="shared" si="5"/>
        <v>0</v>
      </c>
      <c r="FP35" s="43">
        <f t="shared" si="5"/>
        <v>0</v>
      </c>
      <c r="FQ35" s="43">
        <f t="shared" si="5"/>
        <v>0</v>
      </c>
      <c r="FR35" s="43">
        <f t="shared" si="5"/>
        <v>0</v>
      </c>
      <c r="FS35" s="43">
        <f t="shared" si="5"/>
        <v>0</v>
      </c>
      <c r="FV35" t="s">
        <v>495</v>
      </c>
      <c r="FW35" t="s">
        <v>496</v>
      </c>
    </row>
    <row r="36" spans="1:179" ht="19.5" customHeight="1" x14ac:dyDescent="0.25">
      <c r="A36" t="s">
        <v>497</v>
      </c>
      <c r="B36" s="36">
        <v>1</v>
      </c>
      <c r="C36" s="36">
        <v>0</v>
      </c>
      <c r="D36" s="36">
        <v>1</v>
      </c>
      <c r="E36" s="36">
        <v>0</v>
      </c>
      <c r="F36" s="36">
        <v>0</v>
      </c>
      <c r="G36" s="36">
        <v>0</v>
      </c>
      <c r="H36" s="36">
        <v>0</v>
      </c>
      <c r="I36" s="36">
        <v>0</v>
      </c>
      <c r="J36" s="36">
        <v>0</v>
      </c>
      <c r="K36" s="36">
        <v>0</v>
      </c>
      <c r="L36" s="36">
        <v>0</v>
      </c>
      <c r="M36" s="36">
        <v>0</v>
      </c>
      <c r="N36" s="36">
        <v>0</v>
      </c>
      <c r="O36" s="36">
        <v>0</v>
      </c>
      <c r="P36" s="36">
        <v>-1</v>
      </c>
      <c r="Q36" s="36">
        <v>0</v>
      </c>
      <c r="R36" s="36">
        <v>0</v>
      </c>
      <c r="S36" s="36">
        <v>0</v>
      </c>
      <c r="T36" s="36">
        <v>0</v>
      </c>
      <c r="U36" s="36">
        <v>0</v>
      </c>
      <c r="V36" s="36">
        <v>0</v>
      </c>
      <c r="W36" s="36">
        <v>0</v>
      </c>
      <c r="X36" s="36">
        <v>0</v>
      </c>
      <c r="Y36" s="36">
        <v>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0</v>
      </c>
      <c r="AZ36" s="36">
        <v>0</v>
      </c>
      <c r="BA36" s="36">
        <v>0</v>
      </c>
      <c r="BB36" s="36">
        <v>0</v>
      </c>
      <c r="BC36" s="36">
        <v>0</v>
      </c>
      <c r="BD36" s="36">
        <v>0</v>
      </c>
      <c r="BE36" s="36">
        <v>0</v>
      </c>
      <c r="BF36" s="36">
        <v>0</v>
      </c>
      <c r="BG36" s="36">
        <v>0</v>
      </c>
      <c r="BH36" s="36">
        <v>0</v>
      </c>
      <c r="BI36" s="36">
        <v>0</v>
      </c>
      <c r="BJ36" s="36">
        <v>0</v>
      </c>
      <c r="BK36" s="36">
        <v>0</v>
      </c>
      <c r="BL36" s="36">
        <v>0</v>
      </c>
      <c r="BM36" s="36">
        <v>0</v>
      </c>
      <c r="BN36" s="36">
        <v>0</v>
      </c>
      <c r="BO36" s="36">
        <v>0</v>
      </c>
      <c r="BP36" s="36">
        <v>0</v>
      </c>
      <c r="BQ36" s="36">
        <v>0</v>
      </c>
      <c r="BR36" s="36">
        <v>0</v>
      </c>
      <c r="BS36" s="36">
        <v>0</v>
      </c>
      <c r="BT36" s="36">
        <v>0</v>
      </c>
      <c r="BU36" s="36">
        <v>0</v>
      </c>
      <c r="BV36" s="36">
        <v>0</v>
      </c>
      <c r="BW36" s="36">
        <v>0</v>
      </c>
      <c r="BX36" s="36">
        <v>0</v>
      </c>
      <c r="BY36" s="36">
        <v>0</v>
      </c>
      <c r="BZ36" s="36">
        <v>0</v>
      </c>
      <c r="CA36" s="36">
        <v>0</v>
      </c>
      <c r="CB36" s="36">
        <v>0</v>
      </c>
      <c r="CC36" s="36">
        <v>0</v>
      </c>
      <c r="CD36" s="36">
        <v>0</v>
      </c>
      <c r="CE36" s="36">
        <v>0</v>
      </c>
      <c r="CF36" s="36">
        <v>0</v>
      </c>
      <c r="CG36" s="36">
        <v>0</v>
      </c>
      <c r="CH36" s="36">
        <v>0</v>
      </c>
      <c r="CI36" s="36">
        <v>0</v>
      </c>
      <c r="CJ36" s="36">
        <v>0</v>
      </c>
      <c r="CK36" s="36">
        <v>0</v>
      </c>
      <c r="CL36" s="36">
        <v>0</v>
      </c>
      <c r="CM36" s="36">
        <v>0</v>
      </c>
      <c r="CN36" s="36">
        <v>0</v>
      </c>
      <c r="CO36" s="36">
        <v>0</v>
      </c>
      <c r="CP36" s="36">
        <v>-1</v>
      </c>
      <c r="CQ36" s="36">
        <v>0</v>
      </c>
      <c r="CR36" s="36">
        <v>0</v>
      </c>
      <c r="CS36" s="36">
        <v>0</v>
      </c>
      <c r="CT36" s="36">
        <v>0</v>
      </c>
      <c r="CU36" s="36">
        <v>0</v>
      </c>
      <c r="CV36" s="36">
        <v>0</v>
      </c>
      <c r="CW36" s="36">
        <v>0</v>
      </c>
      <c r="CX36" s="36">
        <v>0</v>
      </c>
      <c r="CY36" s="36">
        <v>0</v>
      </c>
      <c r="CZ36" s="36">
        <v>0</v>
      </c>
      <c r="DA36" s="36">
        <v>0</v>
      </c>
      <c r="DB36" s="36">
        <v>0</v>
      </c>
      <c r="DC36" s="36">
        <v>0</v>
      </c>
      <c r="DD36" s="36">
        <v>0</v>
      </c>
      <c r="DE36" s="36">
        <v>0</v>
      </c>
      <c r="DF36" s="36">
        <v>0</v>
      </c>
      <c r="DG36" s="36">
        <v>0</v>
      </c>
      <c r="DH36" s="36">
        <v>0</v>
      </c>
      <c r="DI36" s="36">
        <v>0</v>
      </c>
      <c r="DJ36" s="36">
        <v>0</v>
      </c>
      <c r="DK36" s="36">
        <v>0</v>
      </c>
      <c r="DL36" s="36">
        <v>0</v>
      </c>
      <c r="DM36" s="36">
        <v>0</v>
      </c>
      <c r="DN36" s="36">
        <v>0</v>
      </c>
      <c r="DO36" s="36">
        <v>0</v>
      </c>
      <c r="DP36" s="36">
        <v>0</v>
      </c>
      <c r="DQ36" s="36">
        <v>0</v>
      </c>
      <c r="DR36" s="36">
        <v>0</v>
      </c>
      <c r="DS36" s="36">
        <v>0</v>
      </c>
      <c r="DT36" s="36">
        <v>0</v>
      </c>
      <c r="DU36" s="36">
        <v>0</v>
      </c>
      <c r="DV36" s="36">
        <v>0</v>
      </c>
      <c r="DW36" s="36">
        <v>0</v>
      </c>
      <c r="DX36" s="36">
        <v>0</v>
      </c>
      <c r="DY36" s="36">
        <v>0</v>
      </c>
      <c r="DZ36" s="36">
        <v>0</v>
      </c>
      <c r="EA36" s="36">
        <v>0</v>
      </c>
      <c r="EB36" s="36">
        <v>0</v>
      </c>
      <c r="EC36" s="36">
        <v>0</v>
      </c>
      <c r="ED36" s="36">
        <v>0</v>
      </c>
      <c r="EE36" s="36">
        <v>0</v>
      </c>
      <c r="EF36" s="36">
        <v>0</v>
      </c>
      <c r="EG36" s="36">
        <v>0</v>
      </c>
      <c r="EH36" s="36">
        <v>0</v>
      </c>
      <c r="EI36" s="36">
        <v>0</v>
      </c>
      <c r="EJ36" s="36">
        <v>0</v>
      </c>
      <c r="EK36" s="36">
        <v>0</v>
      </c>
      <c r="EL36" s="36">
        <v>0</v>
      </c>
      <c r="EM36" s="36">
        <v>0</v>
      </c>
      <c r="EN36" s="36">
        <v>0</v>
      </c>
      <c r="EO36" s="36">
        <v>0</v>
      </c>
      <c r="EP36" s="36">
        <v>0</v>
      </c>
      <c r="ET36" t="s">
        <v>498</v>
      </c>
      <c r="EU36" s="44" t="s">
        <v>499</v>
      </c>
      <c r="EV36" s="36">
        <v>-2</v>
      </c>
      <c r="EW36" s="36">
        <v>6</v>
      </c>
      <c r="EX36" s="36">
        <v>11</v>
      </c>
      <c r="EY36" s="36">
        <v>0</v>
      </c>
      <c r="EZ36" s="36">
        <v>9</v>
      </c>
      <c r="FA36" s="36">
        <v>1</v>
      </c>
      <c r="FB36" s="36">
        <v>0</v>
      </c>
      <c r="FC36" s="42">
        <f t="shared" si="6"/>
        <v>24</v>
      </c>
      <c r="FE36">
        <f t="shared" si="1"/>
        <v>4</v>
      </c>
      <c r="FF36">
        <f t="shared" si="2"/>
        <v>4</v>
      </c>
      <c r="FG36">
        <f t="shared" si="3"/>
        <v>4</v>
      </c>
      <c r="FM36" s="43">
        <f t="shared" si="5"/>
        <v>0</v>
      </c>
      <c r="FN36" s="43">
        <f t="shared" si="5"/>
        <v>0</v>
      </c>
      <c r="FO36" s="43">
        <f t="shared" si="5"/>
        <v>0</v>
      </c>
      <c r="FP36" s="43">
        <f t="shared" si="5"/>
        <v>0</v>
      </c>
      <c r="FQ36" s="43">
        <f t="shared" si="5"/>
        <v>0</v>
      </c>
      <c r="FR36" s="43">
        <f t="shared" si="5"/>
        <v>0</v>
      </c>
      <c r="FS36" s="43">
        <f t="shared" si="5"/>
        <v>0</v>
      </c>
      <c r="FV36" t="s">
        <v>500</v>
      </c>
      <c r="FW36" t="s">
        <v>501</v>
      </c>
    </row>
    <row r="37" spans="1:179" ht="19.5" customHeight="1" x14ac:dyDescent="0.35">
      <c r="A37" t="s">
        <v>502</v>
      </c>
      <c r="B37" s="36">
        <v>1</v>
      </c>
      <c r="C37" s="36">
        <v>0</v>
      </c>
      <c r="D37" s="36">
        <v>-1</v>
      </c>
      <c r="E37" s="36">
        <v>0</v>
      </c>
      <c r="F37" s="36">
        <v>0</v>
      </c>
      <c r="G37" s="36">
        <v>0</v>
      </c>
      <c r="H37" s="36">
        <v>0</v>
      </c>
      <c r="I37" s="36">
        <v>0</v>
      </c>
      <c r="J37" s="36">
        <v>0</v>
      </c>
      <c r="K37" s="36">
        <v>0</v>
      </c>
      <c r="L37" s="36">
        <v>0</v>
      </c>
      <c r="M37" s="36">
        <v>0</v>
      </c>
      <c r="N37" s="36">
        <v>0</v>
      </c>
      <c r="O37" s="36">
        <v>0</v>
      </c>
      <c r="P37" s="36">
        <v>0</v>
      </c>
      <c r="Q37" s="36">
        <v>0</v>
      </c>
      <c r="R37" s="36">
        <v>0</v>
      </c>
      <c r="S37" s="36">
        <v>0</v>
      </c>
      <c r="T37" s="36">
        <v>0</v>
      </c>
      <c r="U37" s="36">
        <v>0</v>
      </c>
      <c r="V37" s="36">
        <v>0</v>
      </c>
      <c r="W37" s="36">
        <v>0</v>
      </c>
      <c r="X37" s="36">
        <v>0</v>
      </c>
      <c r="Y37" s="36">
        <v>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0</v>
      </c>
      <c r="BK37" s="36">
        <v>0</v>
      </c>
      <c r="BL37" s="36">
        <v>0</v>
      </c>
      <c r="BM37" s="36">
        <v>0</v>
      </c>
      <c r="BN37" s="36">
        <v>0</v>
      </c>
      <c r="BO37" s="36">
        <v>0</v>
      </c>
      <c r="BP37" s="36">
        <v>0</v>
      </c>
      <c r="BQ37" s="36">
        <v>0</v>
      </c>
      <c r="BR37" s="36">
        <v>0</v>
      </c>
      <c r="BS37" s="36">
        <v>0</v>
      </c>
      <c r="BT37" s="36">
        <v>0</v>
      </c>
      <c r="BU37" s="36">
        <v>0</v>
      </c>
      <c r="BV37" s="36">
        <v>0</v>
      </c>
      <c r="BW37" s="36">
        <v>0</v>
      </c>
      <c r="BX37" s="36">
        <v>0</v>
      </c>
      <c r="BY37" s="36">
        <v>0</v>
      </c>
      <c r="BZ37" s="36">
        <v>0</v>
      </c>
      <c r="CA37" s="36">
        <v>0</v>
      </c>
      <c r="CB37" s="36">
        <v>0</v>
      </c>
      <c r="CC37" s="36">
        <v>0</v>
      </c>
      <c r="CD37" s="36">
        <v>0</v>
      </c>
      <c r="CE37" s="36">
        <v>0</v>
      </c>
      <c r="CF37" s="36">
        <v>0</v>
      </c>
      <c r="CG37" s="36">
        <v>0</v>
      </c>
      <c r="CH37" s="36">
        <v>1</v>
      </c>
      <c r="CI37" s="36">
        <v>0</v>
      </c>
      <c r="CJ37" s="36">
        <v>0</v>
      </c>
      <c r="CK37" s="36">
        <v>0</v>
      </c>
      <c r="CL37" s="36">
        <v>0</v>
      </c>
      <c r="CM37" s="36">
        <v>0</v>
      </c>
      <c r="CN37" s="36">
        <v>0</v>
      </c>
      <c r="CO37" s="36">
        <v>0</v>
      </c>
      <c r="CP37" s="36">
        <v>0</v>
      </c>
      <c r="CQ37" s="36">
        <v>0</v>
      </c>
      <c r="CR37" s="36">
        <v>0</v>
      </c>
      <c r="CS37" s="36">
        <v>0</v>
      </c>
      <c r="CT37" s="36">
        <v>0</v>
      </c>
      <c r="CU37" s="36">
        <v>0</v>
      </c>
      <c r="CV37" s="36">
        <v>0</v>
      </c>
      <c r="CW37" s="36">
        <v>0</v>
      </c>
      <c r="CX37" s="36">
        <v>0</v>
      </c>
      <c r="CY37" s="36">
        <v>0</v>
      </c>
      <c r="CZ37" s="36">
        <v>0</v>
      </c>
      <c r="DA37" s="36">
        <v>0</v>
      </c>
      <c r="DB37" s="36">
        <v>0</v>
      </c>
      <c r="DC37" s="36">
        <v>0</v>
      </c>
      <c r="DD37" s="36">
        <v>0</v>
      </c>
      <c r="DE37" s="36">
        <v>0</v>
      </c>
      <c r="DF37" s="36">
        <v>0</v>
      </c>
      <c r="DG37" s="36">
        <v>0</v>
      </c>
      <c r="DH37" s="36">
        <v>0</v>
      </c>
      <c r="DI37" s="36">
        <v>0</v>
      </c>
      <c r="DJ37" s="36">
        <v>0</v>
      </c>
      <c r="DK37" s="36">
        <v>0</v>
      </c>
      <c r="DL37" s="36">
        <v>0</v>
      </c>
      <c r="DM37" s="36">
        <v>0</v>
      </c>
      <c r="DN37" s="36">
        <v>0</v>
      </c>
      <c r="DO37" s="36">
        <v>0</v>
      </c>
      <c r="DP37" s="36">
        <v>0</v>
      </c>
      <c r="DQ37" s="36">
        <v>0</v>
      </c>
      <c r="DR37" s="36">
        <v>0</v>
      </c>
      <c r="DS37" s="36">
        <v>0</v>
      </c>
      <c r="DT37" s="36">
        <v>0</v>
      </c>
      <c r="DU37" s="36">
        <v>0</v>
      </c>
      <c r="DV37" s="36">
        <v>0</v>
      </c>
      <c r="DW37" s="36">
        <v>0</v>
      </c>
      <c r="DX37" s="36">
        <v>0</v>
      </c>
      <c r="DY37" s="36">
        <v>0</v>
      </c>
      <c r="DZ37" s="36">
        <v>0</v>
      </c>
      <c r="EA37" s="36">
        <v>0</v>
      </c>
      <c r="EB37" s="36">
        <v>0</v>
      </c>
      <c r="EC37" s="36">
        <v>0</v>
      </c>
      <c r="ED37" s="36">
        <v>0</v>
      </c>
      <c r="EE37" s="36">
        <v>1</v>
      </c>
      <c r="EF37" s="36">
        <v>0</v>
      </c>
      <c r="EG37" s="36">
        <v>0</v>
      </c>
      <c r="EH37" s="36">
        <v>0</v>
      </c>
      <c r="EI37" s="36">
        <v>0</v>
      </c>
      <c r="EJ37" s="36">
        <v>0</v>
      </c>
      <c r="EK37" s="36">
        <v>0</v>
      </c>
      <c r="EL37" s="36">
        <v>0</v>
      </c>
      <c r="EM37" s="36">
        <v>0</v>
      </c>
      <c r="EN37" s="36">
        <v>0</v>
      </c>
      <c r="EO37" s="36">
        <v>0</v>
      </c>
      <c r="EP37" s="36">
        <v>0</v>
      </c>
      <c r="ET37" t="s">
        <v>130</v>
      </c>
      <c r="EU37" s="4" t="s">
        <v>136</v>
      </c>
      <c r="EV37" s="36">
        <v>-3</v>
      </c>
      <c r="EW37" s="36">
        <v>10</v>
      </c>
      <c r="EX37" s="36">
        <v>12</v>
      </c>
      <c r="EY37" s="36">
        <v>5</v>
      </c>
      <c r="EZ37" s="36">
        <v>10</v>
      </c>
      <c r="FA37" s="36">
        <v>2</v>
      </c>
      <c r="FB37" s="36">
        <v>0</v>
      </c>
      <c r="FC37" s="42">
        <f t="shared" si="6"/>
        <v>30</v>
      </c>
      <c r="FE37">
        <f t="shared" si="1"/>
        <v>7</v>
      </c>
      <c r="FF37">
        <f t="shared" si="2"/>
        <v>3</v>
      </c>
      <c r="FG37">
        <f t="shared" si="3"/>
        <v>4.5</v>
      </c>
      <c r="FM37" s="43">
        <f t="shared" si="5"/>
        <v>0</v>
      </c>
      <c r="FN37" s="43">
        <f t="shared" si="5"/>
        <v>0</v>
      </c>
      <c r="FO37" s="43">
        <f t="shared" si="5"/>
        <v>0</v>
      </c>
      <c r="FP37" s="43">
        <f t="shared" si="5"/>
        <v>0</v>
      </c>
      <c r="FQ37" s="43">
        <f t="shared" si="5"/>
        <v>0</v>
      </c>
      <c r="FR37" s="43">
        <f t="shared" si="5"/>
        <v>0</v>
      </c>
      <c r="FS37" s="43">
        <f t="shared" si="5"/>
        <v>0</v>
      </c>
      <c r="FV37" t="s">
        <v>503</v>
      </c>
      <c r="FW37" t="s">
        <v>504</v>
      </c>
    </row>
    <row r="38" spans="1:179" ht="19.5" customHeight="1" x14ac:dyDescent="0.35">
      <c r="A38" t="s">
        <v>505</v>
      </c>
      <c r="B38" s="36">
        <v>1</v>
      </c>
      <c r="C38" s="36">
        <v>0</v>
      </c>
      <c r="D38" s="36">
        <v>0</v>
      </c>
      <c r="E38" s="36">
        <v>0</v>
      </c>
      <c r="F38" s="36">
        <v>0</v>
      </c>
      <c r="G38" s="36">
        <v>0</v>
      </c>
      <c r="H38" s="36">
        <v>0</v>
      </c>
      <c r="I38" s="36">
        <v>0</v>
      </c>
      <c r="J38" s="36">
        <v>0</v>
      </c>
      <c r="K38" s="36">
        <v>0</v>
      </c>
      <c r="L38" s="36">
        <v>0</v>
      </c>
      <c r="M38" s="36">
        <v>1</v>
      </c>
      <c r="N38" s="36">
        <v>0</v>
      </c>
      <c r="O38" s="36">
        <v>0</v>
      </c>
      <c r="P38" s="36">
        <v>0</v>
      </c>
      <c r="Q38" s="36">
        <v>0</v>
      </c>
      <c r="R38" s="36">
        <v>0</v>
      </c>
      <c r="S38" s="36">
        <v>0</v>
      </c>
      <c r="T38" s="36">
        <v>0</v>
      </c>
      <c r="U38" s="36">
        <v>0</v>
      </c>
      <c r="V38" s="36">
        <v>0</v>
      </c>
      <c r="W38" s="36">
        <v>0</v>
      </c>
      <c r="X38" s="36">
        <v>0</v>
      </c>
      <c r="Y38" s="36">
        <v>0</v>
      </c>
      <c r="Z38" s="36">
        <v>0</v>
      </c>
      <c r="AA38" s="36">
        <v>0</v>
      </c>
      <c r="AB38" s="36">
        <v>0</v>
      </c>
      <c r="AC38" s="36">
        <v>0</v>
      </c>
      <c r="AD38" s="36">
        <v>0</v>
      </c>
      <c r="AE38" s="36">
        <v>0</v>
      </c>
      <c r="AF38" s="36">
        <v>0</v>
      </c>
      <c r="AG38" s="36">
        <v>0</v>
      </c>
      <c r="AH38" s="36">
        <v>0</v>
      </c>
      <c r="AI38" s="36">
        <v>0</v>
      </c>
      <c r="AJ38" s="36">
        <v>0</v>
      </c>
      <c r="AK38" s="36">
        <v>0</v>
      </c>
      <c r="AL38" s="36">
        <v>1</v>
      </c>
      <c r="AM38" s="36">
        <v>0</v>
      </c>
      <c r="AN38" s="36">
        <v>0</v>
      </c>
      <c r="AO38" s="36">
        <v>0</v>
      </c>
      <c r="AP38" s="36">
        <v>0</v>
      </c>
      <c r="AQ38" s="36">
        <v>0</v>
      </c>
      <c r="AR38" s="36">
        <v>-1</v>
      </c>
      <c r="AS38" s="36">
        <v>0</v>
      </c>
      <c r="AT38" s="36">
        <v>0</v>
      </c>
      <c r="AU38" s="36">
        <v>0</v>
      </c>
      <c r="AV38" s="36">
        <v>0</v>
      </c>
      <c r="AW38" s="36">
        <v>0</v>
      </c>
      <c r="AX38" s="36">
        <v>0</v>
      </c>
      <c r="AY38" s="36">
        <v>0</v>
      </c>
      <c r="AZ38" s="36">
        <v>0</v>
      </c>
      <c r="BA38" s="36">
        <v>0</v>
      </c>
      <c r="BB38" s="36">
        <v>0</v>
      </c>
      <c r="BC38" s="36">
        <v>0</v>
      </c>
      <c r="BD38" s="36">
        <v>0</v>
      </c>
      <c r="BE38" s="36">
        <v>0</v>
      </c>
      <c r="BF38" s="36">
        <v>0</v>
      </c>
      <c r="BG38" s="36">
        <v>0</v>
      </c>
      <c r="BH38" s="36">
        <v>0</v>
      </c>
      <c r="BI38" s="36">
        <v>0</v>
      </c>
      <c r="BJ38" s="36">
        <v>0</v>
      </c>
      <c r="BK38" s="36">
        <v>0</v>
      </c>
      <c r="BL38" s="36">
        <v>0</v>
      </c>
      <c r="BM38" s="36">
        <v>0</v>
      </c>
      <c r="BN38" s="36">
        <v>0</v>
      </c>
      <c r="BO38" s="36">
        <v>0</v>
      </c>
      <c r="BP38" s="36">
        <v>0</v>
      </c>
      <c r="BQ38" s="36">
        <v>0</v>
      </c>
      <c r="BR38" s="36">
        <v>0</v>
      </c>
      <c r="BS38" s="36">
        <v>0</v>
      </c>
      <c r="BT38" s="36">
        <v>0</v>
      </c>
      <c r="BU38" s="36">
        <v>0</v>
      </c>
      <c r="BV38" s="36">
        <v>0</v>
      </c>
      <c r="BW38" s="36">
        <v>0</v>
      </c>
      <c r="BX38" s="36">
        <v>0</v>
      </c>
      <c r="BY38" s="36">
        <v>0</v>
      </c>
      <c r="BZ38" s="36">
        <v>0</v>
      </c>
      <c r="CA38" s="36">
        <v>0</v>
      </c>
      <c r="CB38" s="36">
        <v>0</v>
      </c>
      <c r="CC38" s="36">
        <v>0</v>
      </c>
      <c r="CD38" s="36">
        <v>0</v>
      </c>
      <c r="CE38" s="36">
        <v>0</v>
      </c>
      <c r="CF38" s="36">
        <v>0</v>
      </c>
      <c r="CG38" s="36">
        <v>0</v>
      </c>
      <c r="CH38" s="36">
        <v>0</v>
      </c>
      <c r="CI38" s="36">
        <v>0</v>
      </c>
      <c r="CJ38" s="36">
        <v>0</v>
      </c>
      <c r="CK38" s="36">
        <v>0</v>
      </c>
      <c r="CL38" s="36">
        <v>1</v>
      </c>
      <c r="CM38" s="36">
        <v>0</v>
      </c>
      <c r="CN38" s="36">
        <v>0</v>
      </c>
      <c r="CO38" s="36">
        <v>0</v>
      </c>
      <c r="CP38" s="36">
        <v>0</v>
      </c>
      <c r="CQ38" s="36">
        <v>0</v>
      </c>
      <c r="CR38" s="36">
        <v>0</v>
      </c>
      <c r="CS38" s="36">
        <v>0</v>
      </c>
      <c r="CT38" s="36">
        <v>0</v>
      </c>
      <c r="CU38" s="36">
        <v>-1</v>
      </c>
      <c r="CV38" s="36">
        <v>0</v>
      </c>
      <c r="CW38" s="36">
        <v>0</v>
      </c>
      <c r="CX38" s="36">
        <v>0</v>
      </c>
      <c r="CY38" s="36">
        <v>0</v>
      </c>
      <c r="CZ38" s="36">
        <v>0</v>
      </c>
      <c r="DA38" s="36">
        <v>0</v>
      </c>
      <c r="DB38" s="36">
        <v>0</v>
      </c>
      <c r="DC38" s="36">
        <v>0</v>
      </c>
      <c r="DD38" s="36">
        <v>0</v>
      </c>
      <c r="DE38" s="36">
        <v>0</v>
      </c>
      <c r="DF38" s="36">
        <v>0</v>
      </c>
      <c r="DG38" s="36">
        <v>0</v>
      </c>
      <c r="DH38" s="36">
        <v>0</v>
      </c>
      <c r="DI38" s="36">
        <v>0</v>
      </c>
      <c r="DJ38" s="36">
        <v>0</v>
      </c>
      <c r="DK38" s="36">
        <v>0</v>
      </c>
      <c r="DL38" s="36">
        <v>0</v>
      </c>
      <c r="DM38" s="36">
        <v>0</v>
      </c>
      <c r="DN38" s="36">
        <v>0</v>
      </c>
      <c r="DO38" s="36">
        <v>0</v>
      </c>
      <c r="DP38" s="36">
        <v>0</v>
      </c>
      <c r="DQ38" s="36">
        <v>0</v>
      </c>
      <c r="DR38" s="36">
        <v>0</v>
      </c>
      <c r="DS38" s="36">
        <v>0</v>
      </c>
      <c r="DT38" s="36">
        <v>0</v>
      </c>
      <c r="DU38" s="36">
        <v>0</v>
      </c>
      <c r="DV38" s="36">
        <v>0</v>
      </c>
      <c r="DW38" s="36">
        <v>0</v>
      </c>
      <c r="DX38" s="36">
        <v>1</v>
      </c>
      <c r="DY38" s="36">
        <v>0</v>
      </c>
      <c r="DZ38" s="36">
        <v>0</v>
      </c>
      <c r="EA38" s="36">
        <v>0</v>
      </c>
      <c r="EB38" s="36">
        <v>0</v>
      </c>
      <c r="EC38" s="36">
        <v>0</v>
      </c>
      <c r="ED38" s="36">
        <v>0</v>
      </c>
      <c r="EE38" s="36">
        <v>-1</v>
      </c>
      <c r="EF38" s="36">
        <v>0</v>
      </c>
      <c r="EG38" s="36">
        <v>0</v>
      </c>
      <c r="EH38" s="36">
        <v>0</v>
      </c>
      <c r="EI38" s="36">
        <v>0</v>
      </c>
      <c r="EJ38" s="36">
        <v>0</v>
      </c>
      <c r="EK38" s="36">
        <v>0</v>
      </c>
      <c r="EL38" s="36">
        <v>0</v>
      </c>
      <c r="EM38" s="36">
        <v>0</v>
      </c>
      <c r="EN38" s="36">
        <v>0</v>
      </c>
      <c r="EO38" s="36">
        <v>0</v>
      </c>
      <c r="EP38" s="36">
        <v>0</v>
      </c>
      <c r="ET38" t="s">
        <v>506</v>
      </c>
      <c r="EU38" t="s">
        <v>507</v>
      </c>
      <c r="EV38" s="36">
        <v>-3</v>
      </c>
      <c r="EW38" s="36">
        <v>16</v>
      </c>
      <c r="EX38" s="36">
        <v>23</v>
      </c>
      <c r="EY38" s="36">
        <v>5</v>
      </c>
      <c r="EZ38" s="36">
        <v>15</v>
      </c>
      <c r="FA38" s="36">
        <v>2</v>
      </c>
      <c r="FB38" s="36">
        <v>0</v>
      </c>
      <c r="FC38" s="42">
        <f t="shared" si="6"/>
        <v>55</v>
      </c>
      <c r="FE38">
        <f t="shared" si="1"/>
        <v>5.9375</v>
      </c>
      <c r="FF38">
        <f t="shared" si="2"/>
        <v>3.4375</v>
      </c>
      <c r="FG38">
        <f t="shared" si="3"/>
        <v>4.375</v>
      </c>
      <c r="FM38" s="43">
        <f t="shared" si="5"/>
        <v>0</v>
      </c>
      <c r="FN38" s="43">
        <f t="shared" si="5"/>
        <v>0</v>
      </c>
      <c r="FO38" s="43">
        <f t="shared" si="5"/>
        <v>0</v>
      </c>
      <c r="FP38" s="43">
        <f t="shared" si="5"/>
        <v>0</v>
      </c>
      <c r="FQ38" s="43">
        <f t="shared" si="5"/>
        <v>0</v>
      </c>
      <c r="FR38" s="43">
        <f t="shared" si="5"/>
        <v>0</v>
      </c>
      <c r="FS38" s="43">
        <f t="shared" si="5"/>
        <v>0</v>
      </c>
      <c r="FV38" t="s">
        <v>508</v>
      </c>
      <c r="FW38" t="s">
        <v>509</v>
      </c>
    </row>
    <row r="39" spans="1:179" ht="19.5" customHeight="1" x14ac:dyDescent="0.35">
      <c r="A39" t="s">
        <v>510</v>
      </c>
      <c r="B39" s="36">
        <v>1</v>
      </c>
      <c r="C39" s="36">
        <v>0</v>
      </c>
      <c r="D39" s="36">
        <v>0</v>
      </c>
      <c r="E39" s="36">
        <v>0</v>
      </c>
      <c r="F39" s="36">
        <v>0</v>
      </c>
      <c r="G39" s="36">
        <v>0</v>
      </c>
      <c r="H39" s="36">
        <v>0</v>
      </c>
      <c r="I39" s="36">
        <v>0</v>
      </c>
      <c r="J39" s="36">
        <v>1</v>
      </c>
      <c r="K39" s="36">
        <v>0</v>
      </c>
      <c r="L39" s="36">
        <v>0</v>
      </c>
      <c r="M39" s="36">
        <v>-1</v>
      </c>
      <c r="N39" s="36">
        <v>0</v>
      </c>
      <c r="O39" s="36">
        <v>0</v>
      </c>
      <c r="P39" s="36">
        <v>0</v>
      </c>
      <c r="Q39" s="36">
        <v>0</v>
      </c>
      <c r="R39" s="36">
        <v>0</v>
      </c>
      <c r="S39" s="36">
        <v>0</v>
      </c>
      <c r="T39" s="36">
        <v>0</v>
      </c>
      <c r="U39" s="36">
        <v>0</v>
      </c>
      <c r="V39" s="36">
        <v>0</v>
      </c>
      <c r="W39" s="36">
        <v>0</v>
      </c>
      <c r="X39" s="36">
        <v>0</v>
      </c>
      <c r="Y39" s="36">
        <v>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0</v>
      </c>
      <c r="AR39" s="36">
        <v>0</v>
      </c>
      <c r="AS39" s="36">
        <v>0</v>
      </c>
      <c r="AT39" s="36">
        <v>0</v>
      </c>
      <c r="AU39" s="36">
        <v>0</v>
      </c>
      <c r="AV39" s="36">
        <v>0</v>
      </c>
      <c r="AW39" s="36">
        <v>0</v>
      </c>
      <c r="AX39" s="36">
        <v>0</v>
      </c>
      <c r="AY39" s="36">
        <v>0</v>
      </c>
      <c r="AZ39" s="36">
        <v>0</v>
      </c>
      <c r="BA39" s="36">
        <v>0</v>
      </c>
      <c r="BB39" s="36">
        <v>0</v>
      </c>
      <c r="BC39" s="36">
        <v>0</v>
      </c>
      <c r="BD39" s="36">
        <v>0</v>
      </c>
      <c r="BE39" s="36">
        <v>0</v>
      </c>
      <c r="BF39" s="36">
        <v>0</v>
      </c>
      <c r="BG39" s="36">
        <v>0</v>
      </c>
      <c r="BH39" s="36">
        <v>0</v>
      </c>
      <c r="BI39" s="36">
        <v>0</v>
      </c>
      <c r="BJ39" s="36">
        <v>0</v>
      </c>
      <c r="BK39" s="36">
        <v>0</v>
      </c>
      <c r="BL39" s="36">
        <v>0</v>
      </c>
      <c r="BM39" s="36">
        <v>0</v>
      </c>
      <c r="BN39" s="36">
        <v>0</v>
      </c>
      <c r="BO39" s="36">
        <v>0</v>
      </c>
      <c r="BP39" s="36">
        <v>0</v>
      </c>
      <c r="BQ39" s="36">
        <v>0</v>
      </c>
      <c r="BR39" s="36">
        <v>0</v>
      </c>
      <c r="BS39" s="36">
        <v>0</v>
      </c>
      <c r="BT39" s="36">
        <v>0</v>
      </c>
      <c r="BU39" s="36">
        <v>0</v>
      </c>
      <c r="BV39" s="36">
        <v>0</v>
      </c>
      <c r="BW39" s="36">
        <v>0</v>
      </c>
      <c r="BX39" s="36">
        <v>0</v>
      </c>
      <c r="BY39" s="36">
        <v>0</v>
      </c>
      <c r="BZ39" s="36">
        <v>0</v>
      </c>
      <c r="CA39" s="36">
        <v>0</v>
      </c>
      <c r="CB39" s="36">
        <v>0</v>
      </c>
      <c r="CC39" s="36">
        <v>0</v>
      </c>
      <c r="CD39" s="36">
        <v>0</v>
      </c>
      <c r="CE39" s="36">
        <v>0</v>
      </c>
      <c r="CF39" s="36">
        <v>0</v>
      </c>
      <c r="CG39" s="36">
        <v>0</v>
      </c>
      <c r="CH39" s="36">
        <v>0</v>
      </c>
      <c r="CI39" s="36">
        <v>0</v>
      </c>
      <c r="CJ39" s="36">
        <v>0</v>
      </c>
      <c r="CK39" s="36">
        <v>0</v>
      </c>
      <c r="CL39" s="36">
        <v>0</v>
      </c>
      <c r="CM39" s="36">
        <v>0</v>
      </c>
      <c r="CN39" s="36">
        <v>0</v>
      </c>
      <c r="CO39" s="36">
        <v>0</v>
      </c>
      <c r="CP39" s="36">
        <v>0</v>
      </c>
      <c r="CQ39" s="36">
        <v>0</v>
      </c>
      <c r="CR39" s="36">
        <v>0</v>
      </c>
      <c r="CS39" s="36">
        <v>0</v>
      </c>
      <c r="CT39" s="36">
        <v>0</v>
      </c>
      <c r="CU39" s="36">
        <v>0</v>
      </c>
      <c r="CV39" s="36">
        <v>0</v>
      </c>
      <c r="CW39" s="36">
        <v>0</v>
      </c>
      <c r="CX39" s="36">
        <v>0</v>
      </c>
      <c r="CY39" s="36">
        <v>0</v>
      </c>
      <c r="CZ39" s="36">
        <v>0</v>
      </c>
      <c r="DA39" s="36">
        <v>0</v>
      </c>
      <c r="DB39" s="36">
        <v>0</v>
      </c>
      <c r="DC39" s="36">
        <v>0</v>
      </c>
      <c r="DD39" s="36">
        <v>0</v>
      </c>
      <c r="DE39" s="36">
        <v>0</v>
      </c>
      <c r="DF39" s="36">
        <v>0</v>
      </c>
      <c r="DG39" s="36">
        <v>0</v>
      </c>
      <c r="DH39" s="36">
        <v>0</v>
      </c>
      <c r="DI39" s="36">
        <v>0</v>
      </c>
      <c r="DJ39" s="36">
        <v>0</v>
      </c>
      <c r="DK39" s="36">
        <v>0</v>
      </c>
      <c r="DL39" s="36">
        <v>0</v>
      </c>
      <c r="DM39" s="36">
        <v>0</v>
      </c>
      <c r="DN39" s="36">
        <v>0</v>
      </c>
      <c r="DO39" s="36">
        <v>0</v>
      </c>
      <c r="DP39" s="36">
        <v>0</v>
      </c>
      <c r="DQ39" s="36">
        <v>0</v>
      </c>
      <c r="DR39" s="36">
        <v>0</v>
      </c>
      <c r="DS39" s="36">
        <v>0</v>
      </c>
      <c r="DT39" s="36">
        <v>0</v>
      </c>
      <c r="DU39" s="36">
        <v>0</v>
      </c>
      <c r="DV39" s="36">
        <v>0</v>
      </c>
      <c r="DW39" s="36">
        <v>0</v>
      </c>
      <c r="DX39" s="36">
        <v>0</v>
      </c>
      <c r="DY39" s="36">
        <v>0</v>
      </c>
      <c r="DZ39" s="36">
        <v>0</v>
      </c>
      <c r="EA39" s="36">
        <v>0</v>
      </c>
      <c r="EB39" s="36">
        <v>0</v>
      </c>
      <c r="EC39" s="36">
        <v>0</v>
      </c>
      <c r="ED39" s="36">
        <v>0</v>
      </c>
      <c r="EE39" s="36">
        <v>0</v>
      </c>
      <c r="EF39" s="36">
        <v>0</v>
      </c>
      <c r="EG39" s="36">
        <v>0</v>
      </c>
      <c r="EH39" s="36">
        <v>0</v>
      </c>
      <c r="EI39" s="36">
        <v>0</v>
      </c>
      <c r="EJ39" s="36">
        <v>0</v>
      </c>
      <c r="EK39" s="36">
        <v>0</v>
      </c>
      <c r="EL39" s="36">
        <v>0</v>
      </c>
      <c r="EM39" s="36">
        <v>0</v>
      </c>
      <c r="EN39" s="36">
        <v>0</v>
      </c>
      <c r="EO39" s="36">
        <v>0</v>
      </c>
      <c r="EP39" s="36">
        <v>0</v>
      </c>
      <c r="ET39" t="s">
        <v>250</v>
      </c>
      <c r="EU39" t="s">
        <v>511</v>
      </c>
      <c r="EV39" s="36">
        <v>0</v>
      </c>
      <c r="EW39" s="36">
        <v>0</v>
      </c>
      <c r="EX39" s="36">
        <v>3</v>
      </c>
      <c r="EY39" s="36">
        <v>1</v>
      </c>
      <c r="EZ39" s="36">
        <v>0</v>
      </c>
      <c r="FA39" s="36">
        <v>0</v>
      </c>
      <c r="FB39" s="36">
        <v>0</v>
      </c>
      <c r="FC39" s="42">
        <f t="shared" si="6"/>
        <v>0</v>
      </c>
      <c r="FE39">
        <f>((4*(EW39))+(EX39)+(5*EY39)+(-2*EZ39)+(5*FA39)+(6*FB39)+(-EV39))/1</f>
        <v>8</v>
      </c>
      <c r="FF39">
        <f>((4*(EW39))+(EX39)+(-3*EY39)+(-2*EZ39)+(5*FA39)+(6*FB39)+(-EV39))/1</f>
        <v>0</v>
      </c>
      <c r="FG39">
        <f>((4*(EW39))+(EX39)+(0*EY39)+(-2*EZ39)+(5*FA39)+(6*FB39)+(-EV39))/1</f>
        <v>3</v>
      </c>
      <c r="FM39" s="43">
        <f t="shared" si="5"/>
        <v>0</v>
      </c>
      <c r="FN39" s="43">
        <f t="shared" si="5"/>
        <v>0</v>
      </c>
      <c r="FO39" s="43">
        <f t="shared" si="5"/>
        <v>0</v>
      </c>
      <c r="FP39" s="43">
        <f t="shared" si="5"/>
        <v>0</v>
      </c>
      <c r="FQ39" s="43">
        <f t="shared" si="5"/>
        <v>0</v>
      </c>
      <c r="FR39" s="43">
        <f t="shared" si="5"/>
        <v>0</v>
      </c>
      <c r="FS39" s="43">
        <f t="shared" si="5"/>
        <v>0</v>
      </c>
      <c r="FV39" t="s">
        <v>512</v>
      </c>
      <c r="FW39" t="s">
        <v>513</v>
      </c>
    </row>
    <row r="40" spans="1:179" ht="19.5" customHeight="1" x14ac:dyDescent="0.35">
      <c r="A40" t="s">
        <v>514</v>
      </c>
      <c r="B40" s="36">
        <v>1</v>
      </c>
      <c r="C40" s="36">
        <v>0</v>
      </c>
      <c r="D40" s="36">
        <v>0</v>
      </c>
      <c r="E40" s="36">
        <v>0</v>
      </c>
      <c r="F40" s="36">
        <v>0</v>
      </c>
      <c r="G40" s="36">
        <v>0</v>
      </c>
      <c r="H40" s="36">
        <v>0</v>
      </c>
      <c r="I40" s="36">
        <v>0</v>
      </c>
      <c r="J40" s="36">
        <v>-1</v>
      </c>
      <c r="K40" s="36">
        <v>0</v>
      </c>
      <c r="L40" s="36">
        <v>0</v>
      </c>
      <c r="M40" s="36">
        <v>0</v>
      </c>
      <c r="N40" s="36">
        <v>0</v>
      </c>
      <c r="O40" s="36">
        <v>0</v>
      </c>
      <c r="P40" s="36">
        <v>0</v>
      </c>
      <c r="Q40" s="36">
        <v>0</v>
      </c>
      <c r="R40" s="36">
        <v>0</v>
      </c>
      <c r="S40" s="36">
        <v>0</v>
      </c>
      <c r="T40" s="36">
        <v>0</v>
      </c>
      <c r="U40" s="36">
        <v>0</v>
      </c>
      <c r="V40" s="36">
        <v>0</v>
      </c>
      <c r="W40" s="36">
        <v>0</v>
      </c>
      <c r="X40" s="36">
        <v>0</v>
      </c>
      <c r="Y40" s="36">
        <v>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0</v>
      </c>
      <c r="BK40" s="36">
        <v>0</v>
      </c>
      <c r="BL40" s="36">
        <v>0</v>
      </c>
      <c r="BM40" s="36">
        <v>0</v>
      </c>
      <c r="BN40" s="36">
        <v>0</v>
      </c>
      <c r="BO40" s="36">
        <v>0</v>
      </c>
      <c r="BP40" s="36">
        <v>0</v>
      </c>
      <c r="BQ40" s="36">
        <v>0</v>
      </c>
      <c r="BR40" s="36">
        <v>0</v>
      </c>
      <c r="BS40" s="36">
        <v>0</v>
      </c>
      <c r="BT40" s="36">
        <v>0</v>
      </c>
      <c r="BU40" s="36">
        <v>0</v>
      </c>
      <c r="BV40" s="36">
        <v>0</v>
      </c>
      <c r="BW40" s="36">
        <v>0</v>
      </c>
      <c r="BX40" s="36">
        <v>0</v>
      </c>
      <c r="BY40" s="36">
        <v>0</v>
      </c>
      <c r="BZ40" s="36">
        <v>0</v>
      </c>
      <c r="CA40" s="36">
        <v>0</v>
      </c>
      <c r="CB40" s="36">
        <v>0</v>
      </c>
      <c r="CC40" s="36">
        <v>0</v>
      </c>
      <c r="CD40" s="36">
        <v>0</v>
      </c>
      <c r="CE40" s="36">
        <v>0</v>
      </c>
      <c r="CF40" s="36">
        <v>0</v>
      </c>
      <c r="CG40" s="36">
        <v>0</v>
      </c>
      <c r="CH40" s="36">
        <v>0</v>
      </c>
      <c r="CI40" s="36">
        <v>0</v>
      </c>
      <c r="CJ40" s="36">
        <v>0</v>
      </c>
      <c r="CK40" s="36">
        <v>0</v>
      </c>
      <c r="CL40" s="36">
        <v>0</v>
      </c>
      <c r="CM40" s="36">
        <v>0</v>
      </c>
      <c r="CN40" s="36">
        <v>0</v>
      </c>
      <c r="CO40" s="36">
        <v>0</v>
      </c>
      <c r="CP40" s="36">
        <v>0</v>
      </c>
      <c r="CQ40" s="36">
        <v>0</v>
      </c>
      <c r="CR40" s="36">
        <v>0</v>
      </c>
      <c r="CS40" s="36">
        <v>0</v>
      </c>
      <c r="CT40" s="36">
        <v>0</v>
      </c>
      <c r="CU40" s="36">
        <v>0</v>
      </c>
      <c r="CV40" s="36">
        <v>0</v>
      </c>
      <c r="CW40" s="36">
        <v>0</v>
      </c>
      <c r="CX40" s="36">
        <v>0</v>
      </c>
      <c r="CY40" s="36">
        <v>0</v>
      </c>
      <c r="CZ40" s="36">
        <v>0</v>
      </c>
      <c r="DA40" s="36">
        <v>0</v>
      </c>
      <c r="DB40" s="36">
        <v>0</v>
      </c>
      <c r="DC40" s="36">
        <v>0</v>
      </c>
      <c r="DD40" s="36">
        <v>0</v>
      </c>
      <c r="DE40" s="36">
        <v>0</v>
      </c>
      <c r="DF40" s="36">
        <v>0</v>
      </c>
      <c r="DG40" s="36">
        <v>0</v>
      </c>
      <c r="DH40" s="36">
        <v>0</v>
      </c>
      <c r="DI40" s="36">
        <v>0</v>
      </c>
      <c r="DJ40" s="36">
        <v>0</v>
      </c>
      <c r="DK40" s="36">
        <v>0</v>
      </c>
      <c r="DL40" s="36">
        <v>0</v>
      </c>
      <c r="DM40" s="36">
        <v>0</v>
      </c>
      <c r="DN40" s="36">
        <v>0</v>
      </c>
      <c r="DO40" s="36">
        <v>0</v>
      </c>
      <c r="DP40" s="36">
        <v>0</v>
      </c>
      <c r="DQ40" s="36">
        <v>0</v>
      </c>
      <c r="DR40" s="36">
        <v>0</v>
      </c>
      <c r="DS40" s="36">
        <v>0</v>
      </c>
      <c r="DT40" s="36">
        <v>0</v>
      </c>
      <c r="DU40" s="36">
        <v>0</v>
      </c>
      <c r="DV40" s="36">
        <v>0</v>
      </c>
      <c r="DW40" s="36">
        <v>0</v>
      </c>
      <c r="DX40" s="36">
        <v>0</v>
      </c>
      <c r="DY40" s="36">
        <v>0</v>
      </c>
      <c r="DZ40" s="36">
        <v>0</v>
      </c>
      <c r="EA40" s="36">
        <v>0</v>
      </c>
      <c r="EB40" s="36">
        <v>0</v>
      </c>
      <c r="EC40" s="36">
        <v>0</v>
      </c>
      <c r="ED40" s="36">
        <v>0</v>
      </c>
      <c r="EE40" s="36">
        <v>0</v>
      </c>
      <c r="EF40" s="36">
        <v>0</v>
      </c>
      <c r="EG40" s="36">
        <v>0</v>
      </c>
      <c r="EH40" s="36">
        <v>0</v>
      </c>
      <c r="EI40" s="36">
        <v>0</v>
      </c>
      <c r="EJ40" s="36">
        <v>0</v>
      </c>
      <c r="EK40" s="36">
        <v>0</v>
      </c>
      <c r="EL40" s="36">
        <v>0</v>
      </c>
      <c r="EM40" s="36">
        <v>0</v>
      </c>
      <c r="EN40" s="36">
        <v>1</v>
      </c>
      <c r="EO40" s="36">
        <v>0</v>
      </c>
      <c r="EP40" s="36">
        <v>0</v>
      </c>
      <c r="ET40" t="s">
        <v>251</v>
      </c>
      <c r="EU40" t="s">
        <v>515</v>
      </c>
      <c r="EV40" s="36">
        <v>1</v>
      </c>
      <c r="EW40" s="36">
        <v>0</v>
      </c>
      <c r="EX40" s="36">
        <v>4</v>
      </c>
      <c r="EY40" s="36">
        <v>1</v>
      </c>
      <c r="EZ40" s="36">
        <v>0</v>
      </c>
      <c r="FA40" s="36">
        <v>0</v>
      </c>
      <c r="FB40" s="36">
        <v>0</v>
      </c>
      <c r="FC40" s="42">
        <f t="shared" si="6"/>
        <v>0</v>
      </c>
      <c r="FE40">
        <f t="shared" ref="FE40:FE41" si="7">((4*(EW40))+(EX40)+(5*EY40)+(-2*EZ40)+(5*FA40)+(6*FB40)+(-EV40))/1</f>
        <v>8</v>
      </c>
      <c r="FF40">
        <f t="shared" ref="FF40:FF41" si="8">((4*(EW40))+(EX40)+(-3*EY40)+(-2*EZ40)+(5*FA40)+(6*FB40)+(-EV40))/1</f>
        <v>0</v>
      </c>
      <c r="FG40">
        <f t="shared" ref="FG40:FG41" si="9">((4*(EW40))+(EX40)+(0*EY40)+(-2*EZ40)+(5*FA40)+(6*FB40)+(-EV40))/1</f>
        <v>3</v>
      </c>
      <c r="FM40" s="43">
        <f t="shared" si="5"/>
        <v>0</v>
      </c>
      <c r="FN40" s="43">
        <f t="shared" si="5"/>
        <v>0</v>
      </c>
      <c r="FO40" s="43">
        <f t="shared" si="5"/>
        <v>0</v>
      </c>
      <c r="FP40" s="43">
        <f t="shared" si="5"/>
        <v>0</v>
      </c>
      <c r="FQ40" s="43">
        <f t="shared" si="5"/>
        <v>0</v>
      </c>
      <c r="FR40" s="43">
        <f t="shared" si="5"/>
        <v>0</v>
      </c>
      <c r="FS40" s="43">
        <f t="shared" si="5"/>
        <v>0</v>
      </c>
      <c r="FV40" t="s">
        <v>516</v>
      </c>
      <c r="FW40" t="s">
        <v>517</v>
      </c>
    </row>
    <row r="41" spans="1:179" ht="19.5" customHeight="1" x14ac:dyDescent="0.35">
      <c r="A41" t="s">
        <v>518</v>
      </c>
      <c r="B41" s="36">
        <v>0</v>
      </c>
      <c r="C41" s="36">
        <v>0</v>
      </c>
      <c r="D41" s="36">
        <v>0</v>
      </c>
      <c r="E41" s="36">
        <v>0</v>
      </c>
      <c r="F41" s="36">
        <v>0</v>
      </c>
      <c r="G41" s="36">
        <v>0</v>
      </c>
      <c r="H41" s="36">
        <v>0</v>
      </c>
      <c r="I41" s="36">
        <v>0</v>
      </c>
      <c r="J41" s="36">
        <v>0</v>
      </c>
      <c r="K41" s="36">
        <v>0</v>
      </c>
      <c r="L41" s="36">
        <v>0</v>
      </c>
      <c r="M41" s="36">
        <v>0</v>
      </c>
      <c r="N41" s="36">
        <v>0</v>
      </c>
      <c r="O41" s="36">
        <v>0</v>
      </c>
      <c r="P41" s="36">
        <v>0</v>
      </c>
      <c r="Q41" s="36">
        <v>0</v>
      </c>
      <c r="R41" s="36">
        <v>0</v>
      </c>
      <c r="S41" s="36">
        <v>0</v>
      </c>
      <c r="T41" s="36">
        <v>0</v>
      </c>
      <c r="U41" s="36">
        <v>0</v>
      </c>
      <c r="V41" s="36">
        <v>0</v>
      </c>
      <c r="W41" s="36">
        <v>0</v>
      </c>
      <c r="X41" s="36">
        <v>0</v>
      </c>
      <c r="Y41" s="36">
        <v>0</v>
      </c>
      <c r="Z41" s="36">
        <v>0</v>
      </c>
      <c r="AA41" s="36">
        <v>0</v>
      </c>
      <c r="AB41" s="36">
        <v>0</v>
      </c>
      <c r="AC41" s="36">
        <v>0</v>
      </c>
      <c r="AD41" s="36">
        <v>0</v>
      </c>
      <c r="AE41" s="36">
        <v>0</v>
      </c>
      <c r="AF41" s="36">
        <v>0</v>
      </c>
      <c r="AG41" s="36">
        <v>0</v>
      </c>
      <c r="AH41" s="36">
        <v>0</v>
      </c>
      <c r="AI41" s="36">
        <v>0</v>
      </c>
      <c r="AJ41" s="36">
        <v>1</v>
      </c>
      <c r="AK41" s="36">
        <v>0</v>
      </c>
      <c r="AL41" s="36">
        <v>0</v>
      </c>
      <c r="AM41" s="36">
        <v>0</v>
      </c>
      <c r="AN41" s="36">
        <v>0</v>
      </c>
      <c r="AO41" s="36">
        <v>0</v>
      </c>
      <c r="AP41" s="36">
        <v>0</v>
      </c>
      <c r="AQ41" s="36">
        <v>0</v>
      </c>
      <c r="AR41" s="36">
        <v>0</v>
      </c>
      <c r="AS41" s="36">
        <v>0</v>
      </c>
      <c r="AT41" s="36">
        <v>0</v>
      </c>
      <c r="AU41" s="36">
        <v>0</v>
      </c>
      <c r="AV41" s="36">
        <v>0</v>
      </c>
      <c r="AW41" s="36">
        <v>0</v>
      </c>
      <c r="AX41" s="36">
        <v>0</v>
      </c>
      <c r="AY41" s="36">
        <v>1</v>
      </c>
      <c r="AZ41" s="36">
        <v>0</v>
      </c>
      <c r="BA41" s="36">
        <v>0</v>
      </c>
      <c r="BB41" s="36">
        <v>0</v>
      </c>
      <c r="BC41" s="36">
        <v>-1</v>
      </c>
      <c r="BD41" s="36">
        <v>0</v>
      </c>
      <c r="BE41" s="36">
        <v>0</v>
      </c>
      <c r="BF41" s="36">
        <v>0</v>
      </c>
      <c r="BG41" s="36">
        <v>0</v>
      </c>
      <c r="BH41" s="36">
        <v>0</v>
      </c>
      <c r="BI41" s="36">
        <v>0</v>
      </c>
      <c r="BJ41" s="36">
        <v>0</v>
      </c>
      <c r="BK41" s="36">
        <v>0</v>
      </c>
      <c r="BL41" s="36">
        <v>0</v>
      </c>
      <c r="BM41" s="36">
        <v>0</v>
      </c>
      <c r="BN41" s="36">
        <v>0</v>
      </c>
      <c r="BO41" s="36">
        <v>0</v>
      </c>
      <c r="BP41" s="36">
        <v>0</v>
      </c>
      <c r="BQ41" s="36">
        <v>0</v>
      </c>
      <c r="BR41" s="36">
        <v>0</v>
      </c>
      <c r="BS41" s="36">
        <v>0</v>
      </c>
      <c r="BT41" s="36">
        <v>0</v>
      </c>
      <c r="BU41" s="36">
        <v>0</v>
      </c>
      <c r="BV41" s="36">
        <v>0</v>
      </c>
      <c r="BW41" s="36">
        <v>0</v>
      </c>
      <c r="BX41" s="36">
        <v>0</v>
      </c>
      <c r="BY41" s="36">
        <v>0</v>
      </c>
      <c r="BZ41" s="36">
        <v>0</v>
      </c>
      <c r="CA41" s="36">
        <v>0</v>
      </c>
      <c r="CB41" s="36">
        <v>0</v>
      </c>
      <c r="CC41" s="36">
        <v>0</v>
      </c>
      <c r="CD41" s="36">
        <v>0</v>
      </c>
      <c r="CE41" s="36">
        <v>0</v>
      </c>
      <c r="CF41" s="36">
        <v>0</v>
      </c>
      <c r="CG41" s="36">
        <v>0</v>
      </c>
      <c r="CH41" s="36">
        <v>0</v>
      </c>
      <c r="CI41" s="36">
        <v>0</v>
      </c>
      <c r="CJ41" s="36">
        <v>0</v>
      </c>
      <c r="CK41" s="36">
        <v>0</v>
      </c>
      <c r="CL41" s="36">
        <v>0</v>
      </c>
      <c r="CM41" s="36">
        <v>0</v>
      </c>
      <c r="CN41" s="36">
        <v>0</v>
      </c>
      <c r="CO41" s="36">
        <v>0</v>
      </c>
      <c r="CP41" s="36">
        <v>0</v>
      </c>
      <c r="CQ41" s="36">
        <v>0</v>
      </c>
      <c r="CR41" s="36">
        <v>0</v>
      </c>
      <c r="CS41" s="36">
        <v>0</v>
      </c>
      <c r="CT41" s="36">
        <v>0</v>
      </c>
      <c r="CU41" s="36">
        <v>0</v>
      </c>
      <c r="CV41" s="36">
        <v>0</v>
      </c>
      <c r="CW41" s="36">
        <v>0</v>
      </c>
      <c r="CX41" s="36">
        <v>0</v>
      </c>
      <c r="CY41" s="36">
        <v>0</v>
      </c>
      <c r="CZ41" s="36">
        <v>0</v>
      </c>
      <c r="DA41" s="36">
        <v>0</v>
      </c>
      <c r="DB41" s="36">
        <v>0</v>
      </c>
      <c r="DC41" s="36">
        <v>0</v>
      </c>
      <c r="DD41" s="36">
        <v>0</v>
      </c>
      <c r="DE41" s="36">
        <v>0</v>
      </c>
      <c r="DF41" s="36">
        <v>0</v>
      </c>
      <c r="DG41" s="36">
        <v>0</v>
      </c>
      <c r="DH41" s="36">
        <v>0</v>
      </c>
      <c r="DI41" s="36">
        <v>0</v>
      </c>
      <c r="DJ41" s="36">
        <v>0</v>
      </c>
      <c r="DK41" s="36">
        <v>-1</v>
      </c>
      <c r="DL41" s="36">
        <v>1</v>
      </c>
      <c r="DM41" s="36">
        <v>0</v>
      </c>
      <c r="DN41" s="36">
        <v>0</v>
      </c>
      <c r="DO41" s="36">
        <v>0</v>
      </c>
      <c r="DP41" s="36">
        <v>0</v>
      </c>
      <c r="DQ41" s="36">
        <v>0</v>
      </c>
      <c r="DR41" s="36">
        <v>0</v>
      </c>
      <c r="DS41" s="36">
        <v>0</v>
      </c>
      <c r="DT41" s="36">
        <v>0</v>
      </c>
      <c r="DU41" s="36">
        <v>0</v>
      </c>
      <c r="DV41" s="36">
        <v>0</v>
      </c>
      <c r="DW41" s="36">
        <v>0</v>
      </c>
      <c r="DX41" s="36">
        <v>0</v>
      </c>
      <c r="DY41" s="36">
        <v>0</v>
      </c>
      <c r="DZ41" s="36">
        <v>0</v>
      </c>
      <c r="EA41" s="36">
        <v>0</v>
      </c>
      <c r="EB41" s="36">
        <v>0</v>
      </c>
      <c r="EC41" s="36">
        <v>0</v>
      </c>
      <c r="ED41" s="36">
        <v>0</v>
      </c>
      <c r="EE41" s="36">
        <v>0</v>
      </c>
      <c r="EF41" s="36">
        <v>0</v>
      </c>
      <c r="EG41" s="36">
        <v>0</v>
      </c>
      <c r="EH41" s="36">
        <v>-1</v>
      </c>
      <c r="EI41" s="36">
        <v>0</v>
      </c>
      <c r="EJ41" s="36">
        <v>0</v>
      </c>
      <c r="EK41" s="36">
        <v>0</v>
      </c>
      <c r="EL41" s="36">
        <v>0</v>
      </c>
      <c r="EM41" s="36">
        <v>0</v>
      </c>
      <c r="EN41" s="36">
        <v>0</v>
      </c>
      <c r="EO41" s="36">
        <v>0</v>
      </c>
      <c r="EP41" s="36">
        <v>0</v>
      </c>
      <c r="ET41" t="s">
        <v>252</v>
      </c>
      <c r="EU41" t="s">
        <v>515</v>
      </c>
      <c r="EV41" s="36">
        <v>1</v>
      </c>
      <c r="EW41" s="36">
        <v>0</v>
      </c>
      <c r="EX41" s="36">
        <v>4</v>
      </c>
      <c r="EY41" s="36">
        <v>1</v>
      </c>
      <c r="EZ41" s="36">
        <v>0</v>
      </c>
      <c r="FA41" s="36">
        <v>0</v>
      </c>
      <c r="FB41" s="36">
        <v>0</v>
      </c>
      <c r="FC41" s="42">
        <f t="shared" si="6"/>
        <v>0</v>
      </c>
      <c r="FE41">
        <f t="shared" si="7"/>
        <v>8</v>
      </c>
      <c r="FF41">
        <f t="shared" si="8"/>
        <v>0</v>
      </c>
      <c r="FG41">
        <f t="shared" si="9"/>
        <v>3</v>
      </c>
      <c r="FM41" s="43">
        <f t="shared" si="5"/>
        <v>0</v>
      </c>
      <c r="FN41" s="43">
        <f t="shared" si="5"/>
        <v>0</v>
      </c>
      <c r="FO41" s="43">
        <f t="shared" si="5"/>
        <v>0</v>
      </c>
      <c r="FP41" s="43">
        <f t="shared" si="5"/>
        <v>0</v>
      </c>
      <c r="FQ41" s="43">
        <f t="shared" si="5"/>
        <v>0</v>
      </c>
      <c r="FR41" s="43">
        <f t="shared" si="5"/>
        <v>0</v>
      </c>
      <c r="FS41" s="43">
        <f t="shared" si="5"/>
        <v>0</v>
      </c>
      <c r="FV41" t="s">
        <v>519</v>
      </c>
      <c r="FW41" t="s">
        <v>520</v>
      </c>
    </row>
    <row r="42" spans="1:179" ht="19.5" customHeight="1" x14ac:dyDescent="0.35">
      <c r="A42" t="s">
        <v>521</v>
      </c>
      <c r="B42" s="36">
        <v>0</v>
      </c>
      <c r="C42" s="36">
        <v>0</v>
      </c>
      <c r="D42" s="36">
        <v>0</v>
      </c>
      <c r="E42" s="36">
        <v>0</v>
      </c>
      <c r="F42" s="36">
        <v>0</v>
      </c>
      <c r="G42" s="36">
        <v>0</v>
      </c>
      <c r="H42" s="36">
        <v>0</v>
      </c>
      <c r="I42" s="36">
        <v>0</v>
      </c>
      <c r="J42" s="36">
        <v>0</v>
      </c>
      <c r="K42" s="36">
        <v>0</v>
      </c>
      <c r="L42" s="36">
        <v>0</v>
      </c>
      <c r="M42" s="36">
        <v>0</v>
      </c>
      <c r="N42" s="36">
        <v>0</v>
      </c>
      <c r="O42" s="36">
        <v>0</v>
      </c>
      <c r="P42" s="36">
        <v>0</v>
      </c>
      <c r="Q42" s="36">
        <v>0</v>
      </c>
      <c r="R42" s="36">
        <v>0</v>
      </c>
      <c r="S42" s="36">
        <v>0</v>
      </c>
      <c r="T42" s="36">
        <v>0</v>
      </c>
      <c r="U42" s="36">
        <v>0</v>
      </c>
      <c r="V42" s="36">
        <v>0</v>
      </c>
      <c r="W42" s="36">
        <v>0</v>
      </c>
      <c r="X42" s="36">
        <v>0</v>
      </c>
      <c r="Y42" s="36">
        <v>0</v>
      </c>
      <c r="Z42" s="36">
        <v>0</v>
      </c>
      <c r="AA42" s="36">
        <v>0</v>
      </c>
      <c r="AB42" s="36">
        <v>0</v>
      </c>
      <c r="AC42" s="36">
        <v>0</v>
      </c>
      <c r="AD42" s="36">
        <v>0</v>
      </c>
      <c r="AE42" s="36">
        <v>0</v>
      </c>
      <c r="AF42" s="36">
        <v>0</v>
      </c>
      <c r="AG42" s="36">
        <v>0</v>
      </c>
      <c r="AH42" s="36">
        <v>0</v>
      </c>
      <c r="AI42" s="36">
        <v>0</v>
      </c>
      <c r="AJ42" s="36">
        <v>-1</v>
      </c>
      <c r="AK42" s="36">
        <v>0</v>
      </c>
      <c r="AL42" s="36">
        <v>0</v>
      </c>
      <c r="AM42" s="36">
        <v>0</v>
      </c>
      <c r="AN42" s="36">
        <v>0</v>
      </c>
      <c r="AO42" s="36">
        <v>0</v>
      </c>
      <c r="AP42" s="36">
        <v>0</v>
      </c>
      <c r="AQ42" s="36">
        <v>0</v>
      </c>
      <c r="AR42" s="36">
        <v>0</v>
      </c>
      <c r="AS42" s="36">
        <v>0</v>
      </c>
      <c r="AT42" s="36">
        <v>0</v>
      </c>
      <c r="AU42" s="36">
        <v>0</v>
      </c>
      <c r="AV42" s="36">
        <v>0</v>
      </c>
      <c r="AW42" s="36">
        <v>0</v>
      </c>
      <c r="AX42" s="36">
        <v>1</v>
      </c>
      <c r="AY42" s="36">
        <v>0</v>
      </c>
      <c r="AZ42" s="36">
        <v>0</v>
      </c>
      <c r="BA42" s="36">
        <v>0</v>
      </c>
      <c r="BB42" s="36">
        <v>0</v>
      </c>
      <c r="BC42" s="36">
        <v>1</v>
      </c>
      <c r="BD42" s="36">
        <v>0</v>
      </c>
      <c r="BE42" s="36">
        <v>0</v>
      </c>
      <c r="BF42" s="36">
        <v>0</v>
      </c>
      <c r="BG42" s="36">
        <v>0</v>
      </c>
      <c r="BH42" s="36">
        <v>0</v>
      </c>
      <c r="BI42" s="36">
        <v>0</v>
      </c>
      <c r="BJ42" s="36">
        <v>0</v>
      </c>
      <c r="BK42" s="36">
        <v>0</v>
      </c>
      <c r="BL42" s="36">
        <v>0</v>
      </c>
      <c r="BM42" s="36">
        <v>0</v>
      </c>
      <c r="BN42" s="36">
        <v>0</v>
      </c>
      <c r="BO42" s="36">
        <v>0</v>
      </c>
      <c r="BP42" s="36">
        <v>0</v>
      </c>
      <c r="BQ42" s="36">
        <v>0</v>
      </c>
      <c r="BR42" s="36">
        <v>0</v>
      </c>
      <c r="BS42" s="36">
        <v>0</v>
      </c>
      <c r="BT42" s="36">
        <v>0</v>
      </c>
      <c r="BU42" s="36">
        <v>0</v>
      </c>
      <c r="BV42" s="36">
        <v>0</v>
      </c>
      <c r="BW42" s="36">
        <v>0</v>
      </c>
      <c r="BX42" s="36">
        <v>0</v>
      </c>
      <c r="BY42" s="36">
        <v>0</v>
      </c>
      <c r="BZ42" s="36">
        <v>0</v>
      </c>
      <c r="CA42" s="36">
        <v>0</v>
      </c>
      <c r="CB42" s="36">
        <v>0</v>
      </c>
      <c r="CC42" s="36">
        <v>0</v>
      </c>
      <c r="CD42" s="36">
        <v>0</v>
      </c>
      <c r="CE42" s="36">
        <v>0</v>
      </c>
      <c r="CF42" s="36">
        <v>0</v>
      </c>
      <c r="CG42" s="36">
        <v>0</v>
      </c>
      <c r="CH42" s="36">
        <v>0</v>
      </c>
      <c r="CI42" s="36">
        <v>0</v>
      </c>
      <c r="CJ42" s="36">
        <v>0</v>
      </c>
      <c r="CK42" s="36">
        <v>0</v>
      </c>
      <c r="CL42" s="36">
        <v>1</v>
      </c>
      <c r="CM42" s="36">
        <v>0</v>
      </c>
      <c r="CN42" s="36">
        <v>0</v>
      </c>
      <c r="CO42" s="36">
        <v>0</v>
      </c>
      <c r="CP42" s="36">
        <v>-1</v>
      </c>
      <c r="CQ42" s="36">
        <v>0</v>
      </c>
      <c r="CR42" s="36">
        <v>0</v>
      </c>
      <c r="CS42" s="36">
        <v>0</v>
      </c>
      <c r="CT42" s="36">
        <v>0</v>
      </c>
      <c r="CU42" s="36">
        <v>0</v>
      </c>
      <c r="CV42" s="36">
        <v>0</v>
      </c>
      <c r="CW42" s="36">
        <v>0</v>
      </c>
      <c r="CX42" s="36">
        <v>0</v>
      </c>
      <c r="CY42" s="36">
        <v>0</v>
      </c>
      <c r="CZ42" s="36">
        <v>0</v>
      </c>
      <c r="DA42" s="36">
        <v>0</v>
      </c>
      <c r="DB42" s="36">
        <v>0</v>
      </c>
      <c r="DC42" s="36">
        <v>0</v>
      </c>
      <c r="DD42" s="36">
        <v>0</v>
      </c>
      <c r="DE42" s="36">
        <v>0</v>
      </c>
      <c r="DF42" s="36">
        <v>0</v>
      </c>
      <c r="DG42" s="36">
        <v>0</v>
      </c>
      <c r="DH42" s="36">
        <v>0</v>
      </c>
      <c r="DI42" s="36">
        <v>0</v>
      </c>
      <c r="DJ42" s="36">
        <v>0</v>
      </c>
      <c r="DK42" s="36">
        <v>0</v>
      </c>
      <c r="DL42" s="36">
        <v>0</v>
      </c>
      <c r="DM42" s="36">
        <v>0</v>
      </c>
      <c r="DN42" s="36">
        <v>0</v>
      </c>
      <c r="DO42" s="36">
        <v>0</v>
      </c>
      <c r="DP42" s="36">
        <v>0</v>
      </c>
      <c r="DQ42" s="36">
        <v>0</v>
      </c>
      <c r="DR42" s="36">
        <v>0</v>
      </c>
      <c r="DS42" s="36">
        <v>0</v>
      </c>
      <c r="DT42" s="36">
        <v>0</v>
      </c>
      <c r="DU42" s="36">
        <v>0</v>
      </c>
      <c r="DV42" s="36">
        <v>0</v>
      </c>
      <c r="DW42" s="36">
        <v>-1</v>
      </c>
      <c r="DX42" s="36">
        <v>0</v>
      </c>
      <c r="DY42" s="36">
        <v>0</v>
      </c>
      <c r="DZ42" s="36">
        <v>0</v>
      </c>
      <c r="EA42" s="36">
        <v>0</v>
      </c>
      <c r="EB42" s="36">
        <v>0</v>
      </c>
      <c r="EC42" s="36">
        <v>0</v>
      </c>
      <c r="ED42" s="36">
        <v>0</v>
      </c>
      <c r="EE42" s="36">
        <v>0</v>
      </c>
      <c r="EF42" s="36">
        <v>0</v>
      </c>
      <c r="EG42" s="36">
        <v>0</v>
      </c>
      <c r="EH42" s="36">
        <v>0</v>
      </c>
      <c r="EI42" s="36">
        <v>0</v>
      </c>
      <c r="EJ42" s="36">
        <v>0</v>
      </c>
      <c r="EK42" s="36">
        <v>0</v>
      </c>
      <c r="EL42" s="36">
        <v>0</v>
      </c>
      <c r="EM42" s="36">
        <v>0</v>
      </c>
      <c r="EN42" s="36">
        <v>0</v>
      </c>
      <c r="EO42" s="36">
        <v>0</v>
      </c>
      <c r="EP42" s="36">
        <v>0</v>
      </c>
      <c r="ET42" t="s">
        <v>253</v>
      </c>
      <c r="EU42" t="s">
        <v>522</v>
      </c>
      <c r="EV42" s="36">
        <v>-2</v>
      </c>
      <c r="EW42" s="36">
        <v>10</v>
      </c>
      <c r="EX42" s="36">
        <v>12</v>
      </c>
      <c r="EY42" s="36">
        <v>5</v>
      </c>
      <c r="EZ42" s="36">
        <v>7</v>
      </c>
      <c r="FA42" s="36">
        <v>1</v>
      </c>
      <c r="FB42" s="36">
        <v>0</v>
      </c>
      <c r="FC42" s="42">
        <f t="shared" si="6"/>
        <v>30</v>
      </c>
      <c r="FE42">
        <f t="shared" si="1"/>
        <v>7</v>
      </c>
      <c r="FF42">
        <f t="shared" si="2"/>
        <v>3</v>
      </c>
      <c r="FG42">
        <f t="shared" si="3"/>
        <v>4.5</v>
      </c>
      <c r="FM42" s="43">
        <f t="shared" si="5"/>
        <v>0</v>
      </c>
      <c r="FN42" s="43">
        <f t="shared" si="5"/>
        <v>0</v>
      </c>
      <c r="FO42" s="43">
        <f t="shared" si="5"/>
        <v>0</v>
      </c>
      <c r="FP42" s="43">
        <f t="shared" si="5"/>
        <v>0</v>
      </c>
      <c r="FQ42" s="43">
        <f t="shared" si="5"/>
        <v>0</v>
      </c>
      <c r="FR42" s="43">
        <f t="shared" si="5"/>
        <v>0</v>
      </c>
      <c r="FS42" s="43">
        <f t="shared" si="5"/>
        <v>0</v>
      </c>
      <c r="FV42" t="s">
        <v>523</v>
      </c>
      <c r="FW42" t="s">
        <v>524</v>
      </c>
    </row>
    <row r="43" spans="1:179" ht="19.5" customHeight="1" x14ac:dyDescent="0.35">
      <c r="A43" t="s">
        <v>525</v>
      </c>
      <c r="B43" s="36">
        <v>1</v>
      </c>
      <c r="C43" s="36">
        <v>0</v>
      </c>
      <c r="D43" s="36">
        <v>0</v>
      </c>
      <c r="E43" s="36">
        <v>0</v>
      </c>
      <c r="F43" s="36">
        <v>0</v>
      </c>
      <c r="G43" s="36">
        <v>0</v>
      </c>
      <c r="H43" s="36">
        <v>0</v>
      </c>
      <c r="I43" s="36">
        <v>0</v>
      </c>
      <c r="J43" s="36">
        <v>0</v>
      </c>
      <c r="K43" s="36">
        <v>0</v>
      </c>
      <c r="L43" s="36">
        <v>0</v>
      </c>
      <c r="M43" s="36">
        <v>0</v>
      </c>
      <c r="N43" s="36">
        <v>0</v>
      </c>
      <c r="O43" s="36">
        <v>0</v>
      </c>
      <c r="P43" s="36">
        <v>0</v>
      </c>
      <c r="Q43" s="36">
        <v>0</v>
      </c>
      <c r="R43" s="36">
        <v>0</v>
      </c>
      <c r="S43" s="36">
        <v>0</v>
      </c>
      <c r="T43" s="36">
        <v>0</v>
      </c>
      <c r="U43" s="36">
        <v>0</v>
      </c>
      <c r="V43" s="36">
        <v>0</v>
      </c>
      <c r="W43" s="36">
        <v>0</v>
      </c>
      <c r="X43" s="36">
        <v>0</v>
      </c>
      <c r="Y43" s="36">
        <v>0</v>
      </c>
      <c r="Z43" s="36">
        <v>0</v>
      </c>
      <c r="AA43" s="36">
        <v>0</v>
      </c>
      <c r="AB43" s="36">
        <v>0</v>
      </c>
      <c r="AC43" s="36">
        <v>0</v>
      </c>
      <c r="AD43" s="36">
        <v>0</v>
      </c>
      <c r="AE43" s="36">
        <v>0</v>
      </c>
      <c r="AF43" s="36">
        <v>0</v>
      </c>
      <c r="AG43" s="36">
        <v>0</v>
      </c>
      <c r="AH43" s="36">
        <v>0</v>
      </c>
      <c r="AI43" s="36">
        <v>0</v>
      </c>
      <c r="AJ43" s="36">
        <v>0</v>
      </c>
      <c r="AK43" s="36">
        <v>0</v>
      </c>
      <c r="AL43" s="36">
        <v>0</v>
      </c>
      <c r="AM43" s="36">
        <v>0</v>
      </c>
      <c r="AN43" s="36">
        <v>0</v>
      </c>
      <c r="AO43" s="36">
        <v>0</v>
      </c>
      <c r="AP43" s="36">
        <v>0</v>
      </c>
      <c r="AQ43" s="36">
        <v>0</v>
      </c>
      <c r="AR43" s="36">
        <v>0</v>
      </c>
      <c r="AS43" s="36">
        <v>0</v>
      </c>
      <c r="AT43" s="36">
        <v>0</v>
      </c>
      <c r="AU43" s="36">
        <v>0</v>
      </c>
      <c r="AV43" s="36">
        <v>0</v>
      </c>
      <c r="AW43" s="36">
        <v>0</v>
      </c>
      <c r="AX43" s="36">
        <v>-1</v>
      </c>
      <c r="AY43" s="36">
        <v>0</v>
      </c>
      <c r="AZ43" s="36">
        <v>0</v>
      </c>
      <c r="BA43" s="36">
        <v>0</v>
      </c>
      <c r="BB43" s="36">
        <v>0</v>
      </c>
      <c r="BC43" s="36">
        <v>0</v>
      </c>
      <c r="BD43" s="36">
        <v>0</v>
      </c>
      <c r="BE43" s="36">
        <v>0</v>
      </c>
      <c r="BF43" s="36">
        <v>0</v>
      </c>
      <c r="BG43" s="36">
        <v>0</v>
      </c>
      <c r="BH43" s="36">
        <v>0</v>
      </c>
      <c r="BI43" s="36">
        <v>0</v>
      </c>
      <c r="BJ43" s="36">
        <v>0</v>
      </c>
      <c r="BK43" s="36">
        <v>0</v>
      </c>
      <c r="BL43" s="36">
        <v>0</v>
      </c>
      <c r="BM43" s="36">
        <v>0</v>
      </c>
      <c r="BN43" s="36">
        <v>0</v>
      </c>
      <c r="BO43" s="36">
        <v>0</v>
      </c>
      <c r="BP43" s="36">
        <v>1</v>
      </c>
      <c r="BQ43" s="36">
        <v>0</v>
      </c>
      <c r="BR43" s="36">
        <v>0</v>
      </c>
      <c r="BS43" s="36">
        <v>0</v>
      </c>
      <c r="BT43" s="36">
        <v>0</v>
      </c>
      <c r="BU43" s="36">
        <v>0</v>
      </c>
      <c r="BV43" s="36">
        <v>0</v>
      </c>
      <c r="BW43" s="36">
        <v>0</v>
      </c>
      <c r="BX43" s="36">
        <v>0</v>
      </c>
      <c r="BY43" s="36">
        <v>0</v>
      </c>
      <c r="BZ43" s="36">
        <v>0</v>
      </c>
      <c r="CA43" s="36">
        <v>0</v>
      </c>
      <c r="CB43" s="36">
        <v>0</v>
      </c>
      <c r="CC43" s="36">
        <v>0</v>
      </c>
      <c r="CD43" s="36">
        <v>0</v>
      </c>
      <c r="CE43" s="36">
        <v>0</v>
      </c>
      <c r="CF43" s="36">
        <v>0</v>
      </c>
      <c r="CG43" s="36">
        <v>0</v>
      </c>
      <c r="CH43" s="36">
        <v>0</v>
      </c>
      <c r="CI43" s="36">
        <v>0</v>
      </c>
      <c r="CJ43" s="36">
        <v>0</v>
      </c>
      <c r="CK43" s="36">
        <v>0</v>
      </c>
      <c r="CL43" s="36">
        <v>0</v>
      </c>
      <c r="CM43" s="36">
        <v>0</v>
      </c>
      <c r="CN43" s="36">
        <v>0</v>
      </c>
      <c r="CO43" s="36">
        <v>0</v>
      </c>
      <c r="CP43" s="36">
        <v>0</v>
      </c>
      <c r="CQ43" s="36">
        <v>0</v>
      </c>
      <c r="CR43" s="36">
        <v>0</v>
      </c>
      <c r="CS43" s="36">
        <v>0</v>
      </c>
      <c r="CT43" s="36">
        <v>0</v>
      </c>
      <c r="CU43" s="36">
        <v>0</v>
      </c>
      <c r="CV43" s="36">
        <v>0</v>
      </c>
      <c r="CW43" s="36">
        <v>0</v>
      </c>
      <c r="CX43" s="36">
        <v>0</v>
      </c>
      <c r="CY43" s="36">
        <v>0</v>
      </c>
      <c r="CZ43" s="36">
        <v>0</v>
      </c>
      <c r="DA43" s="36">
        <v>0</v>
      </c>
      <c r="DB43" s="36">
        <v>0</v>
      </c>
      <c r="DC43" s="36">
        <v>0</v>
      </c>
      <c r="DD43" s="36">
        <v>0</v>
      </c>
      <c r="DE43" s="36">
        <v>0</v>
      </c>
      <c r="DF43" s="36">
        <v>0</v>
      </c>
      <c r="DG43" s="36">
        <v>0</v>
      </c>
      <c r="DH43" s="36">
        <v>0</v>
      </c>
      <c r="DI43" s="36">
        <v>0</v>
      </c>
      <c r="DJ43" s="36">
        <v>0</v>
      </c>
      <c r="DK43" s="36">
        <v>0</v>
      </c>
      <c r="DL43" s="36">
        <v>0</v>
      </c>
      <c r="DM43" s="36">
        <v>0</v>
      </c>
      <c r="DN43" s="36">
        <v>0</v>
      </c>
      <c r="DO43" s="36">
        <v>0</v>
      </c>
      <c r="DP43" s="36">
        <v>0</v>
      </c>
      <c r="DQ43" s="36">
        <v>0</v>
      </c>
      <c r="DR43" s="36">
        <v>0</v>
      </c>
      <c r="DS43" s="36">
        <v>0</v>
      </c>
      <c r="DT43" s="36">
        <v>0</v>
      </c>
      <c r="DU43" s="36">
        <v>0</v>
      </c>
      <c r="DV43" s="36">
        <v>0</v>
      </c>
      <c r="DW43" s="36">
        <v>0</v>
      </c>
      <c r="DX43" s="36">
        <v>0</v>
      </c>
      <c r="DY43" s="36">
        <v>0</v>
      </c>
      <c r="DZ43" s="36">
        <v>0</v>
      </c>
      <c r="EA43" s="36">
        <v>0</v>
      </c>
      <c r="EB43" s="36">
        <v>0</v>
      </c>
      <c r="EC43" s="36">
        <v>0</v>
      </c>
      <c r="ED43" s="36">
        <v>0</v>
      </c>
      <c r="EE43" s="36">
        <v>0</v>
      </c>
      <c r="EF43" s="36">
        <v>0</v>
      </c>
      <c r="EG43" s="36">
        <v>0</v>
      </c>
      <c r="EH43" s="36">
        <v>0</v>
      </c>
      <c r="EI43" s="36">
        <v>0</v>
      </c>
      <c r="EJ43" s="36">
        <v>0</v>
      </c>
      <c r="EK43" s="36">
        <v>0</v>
      </c>
      <c r="EL43" s="36">
        <v>0</v>
      </c>
      <c r="EM43" s="36">
        <v>0</v>
      </c>
      <c r="EN43" s="36">
        <v>0</v>
      </c>
      <c r="EO43" s="36">
        <v>0</v>
      </c>
      <c r="EP43" s="36">
        <v>0</v>
      </c>
      <c r="ET43" t="s">
        <v>52</v>
      </c>
      <c r="EU43" s="4" t="s">
        <v>526</v>
      </c>
      <c r="EV43" s="36">
        <v>-4</v>
      </c>
      <c r="EW43" s="36">
        <v>10</v>
      </c>
      <c r="EX43" s="36">
        <v>12</v>
      </c>
      <c r="EY43" s="36">
        <v>5</v>
      </c>
      <c r="EZ43" s="36">
        <v>13</v>
      </c>
      <c r="FA43" s="36">
        <v>3</v>
      </c>
      <c r="FB43" s="36">
        <v>0</v>
      </c>
      <c r="FC43" s="42">
        <f t="shared" si="6"/>
        <v>30</v>
      </c>
      <c r="FE43">
        <f t="shared" si="1"/>
        <v>7</v>
      </c>
      <c r="FF43">
        <f t="shared" si="2"/>
        <v>3</v>
      </c>
      <c r="FG43">
        <f t="shared" si="3"/>
        <v>4.5</v>
      </c>
      <c r="FM43" s="43">
        <f t="shared" si="5"/>
        <v>0</v>
      </c>
      <c r="FN43" s="43">
        <f t="shared" si="5"/>
        <v>0</v>
      </c>
      <c r="FO43" s="43">
        <f t="shared" si="5"/>
        <v>0</v>
      </c>
      <c r="FP43" s="43">
        <f t="shared" si="5"/>
        <v>0</v>
      </c>
      <c r="FQ43" s="43">
        <f t="shared" si="5"/>
        <v>0</v>
      </c>
      <c r="FR43" s="43">
        <f t="shared" si="5"/>
        <v>0</v>
      </c>
      <c r="FS43" s="43">
        <f t="shared" si="5"/>
        <v>0</v>
      </c>
      <c r="FV43" t="s">
        <v>527</v>
      </c>
      <c r="FW43" t="s">
        <v>528</v>
      </c>
    </row>
    <row r="44" spans="1:179" ht="19.5" customHeight="1" x14ac:dyDescent="0.25">
      <c r="A44" t="s">
        <v>529</v>
      </c>
      <c r="B44" s="36">
        <v>0</v>
      </c>
      <c r="C44" s="36">
        <v>0</v>
      </c>
      <c r="D44" s="36">
        <v>0</v>
      </c>
      <c r="E44" s="36">
        <v>0</v>
      </c>
      <c r="F44" s="36">
        <v>0</v>
      </c>
      <c r="G44" s="36">
        <v>0</v>
      </c>
      <c r="H44" s="36">
        <v>0</v>
      </c>
      <c r="I44" s="36">
        <v>0</v>
      </c>
      <c r="J44" s="36">
        <v>0</v>
      </c>
      <c r="K44" s="36">
        <v>0</v>
      </c>
      <c r="L44" s="36">
        <v>0</v>
      </c>
      <c r="M44" s="36">
        <v>0</v>
      </c>
      <c r="N44" s="36">
        <v>0</v>
      </c>
      <c r="O44" s="36">
        <v>0</v>
      </c>
      <c r="P44" s="36">
        <v>0</v>
      </c>
      <c r="Q44" s="36">
        <v>1</v>
      </c>
      <c r="R44" s="36">
        <v>0</v>
      </c>
      <c r="S44" s="36">
        <v>0</v>
      </c>
      <c r="T44" s="36">
        <v>0</v>
      </c>
      <c r="U44" s="36">
        <v>0</v>
      </c>
      <c r="V44" s="36">
        <v>0</v>
      </c>
      <c r="W44" s="36">
        <v>0</v>
      </c>
      <c r="X44" s="36">
        <v>0</v>
      </c>
      <c r="Y44" s="36">
        <v>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0</v>
      </c>
      <c r="AY44" s="36">
        <v>1</v>
      </c>
      <c r="AZ44" s="36">
        <v>0</v>
      </c>
      <c r="BA44" s="36">
        <v>0</v>
      </c>
      <c r="BB44" s="36">
        <v>0</v>
      </c>
      <c r="BC44" s="36">
        <v>0</v>
      </c>
      <c r="BD44" s="36">
        <v>0</v>
      </c>
      <c r="BE44" s="36">
        <v>0</v>
      </c>
      <c r="BF44" s="36">
        <v>0</v>
      </c>
      <c r="BG44" s="36">
        <v>0</v>
      </c>
      <c r="BH44" s="36">
        <v>0</v>
      </c>
      <c r="BI44" s="36">
        <v>0</v>
      </c>
      <c r="BJ44" s="36">
        <v>0</v>
      </c>
      <c r="BK44" s="36">
        <v>0</v>
      </c>
      <c r="BL44" s="36">
        <v>0</v>
      </c>
      <c r="BM44" s="36">
        <v>0</v>
      </c>
      <c r="BN44" s="36">
        <v>0</v>
      </c>
      <c r="BO44" s="36">
        <v>0</v>
      </c>
      <c r="BP44" s="36">
        <v>-1</v>
      </c>
      <c r="BQ44" s="36">
        <v>0</v>
      </c>
      <c r="BR44" s="36">
        <v>0</v>
      </c>
      <c r="BS44" s="36">
        <v>0</v>
      </c>
      <c r="BT44" s="36">
        <v>0</v>
      </c>
      <c r="BU44" s="36">
        <v>0</v>
      </c>
      <c r="BV44" s="36">
        <v>0</v>
      </c>
      <c r="BW44" s="36">
        <v>0</v>
      </c>
      <c r="BX44" s="36">
        <v>0</v>
      </c>
      <c r="BY44" s="36">
        <v>0</v>
      </c>
      <c r="BZ44" s="36">
        <v>0</v>
      </c>
      <c r="CA44" s="36">
        <v>0</v>
      </c>
      <c r="CB44" s="36">
        <v>0</v>
      </c>
      <c r="CC44" s="36">
        <v>0</v>
      </c>
      <c r="CD44" s="36">
        <v>0</v>
      </c>
      <c r="CE44" s="36">
        <v>0</v>
      </c>
      <c r="CF44" s="36">
        <v>0</v>
      </c>
      <c r="CG44" s="36">
        <v>0</v>
      </c>
      <c r="CH44" s="36">
        <v>0</v>
      </c>
      <c r="CI44" s="36">
        <v>0</v>
      </c>
      <c r="CJ44" s="36">
        <v>0</v>
      </c>
      <c r="CK44" s="36">
        <v>0</v>
      </c>
      <c r="CL44" s="36">
        <v>0</v>
      </c>
      <c r="CM44" s="36">
        <v>0</v>
      </c>
      <c r="CN44" s="36">
        <v>0</v>
      </c>
      <c r="CO44" s="36">
        <v>0</v>
      </c>
      <c r="CP44" s="36">
        <v>0</v>
      </c>
      <c r="CQ44" s="36">
        <v>0</v>
      </c>
      <c r="CR44" s="36">
        <v>0</v>
      </c>
      <c r="CS44" s="36">
        <v>0</v>
      </c>
      <c r="CT44" s="36">
        <v>0</v>
      </c>
      <c r="CU44" s="36">
        <v>0</v>
      </c>
      <c r="CV44" s="36">
        <v>0</v>
      </c>
      <c r="CW44" s="36">
        <v>0</v>
      </c>
      <c r="CX44" s="36">
        <v>0</v>
      </c>
      <c r="CY44" s="36">
        <v>0</v>
      </c>
      <c r="CZ44" s="36">
        <v>0</v>
      </c>
      <c r="DA44" s="36">
        <v>0</v>
      </c>
      <c r="DB44" s="36">
        <v>0</v>
      </c>
      <c r="DC44" s="36">
        <v>0</v>
      </c>
      <c r="DD44" s="36">
        <v>0</v>
      </c>
      <c r="DE44" s="36">
        <v>0</v>
      </c>
      <c r="DF44" s="36">
        <v>0</v>
      </c>
      <c r="DG44" s="36">
        <v>0</v>
      </c>
      <c r="DH44" s="36">
        <v>0</v>
      </c>
      <c r="DI44" s="36">
        <v>0</v>
      </c>
      <c r="DJ44" s="36">
        <v>0</v>
      </c>
      <c r="DK44" s="36">
        <v>0</v>
      </c>
      <c r="DL44" s="36">
        <v>0</v>
      </c>
      <c r="DM44" s="36">
        <v>-1</v>
      </c>
      <c r="DN44" s="36">
        <v>1</v>
      </c>
      <c r="DO44" s="36">
        <v>0</v>
      </c>
      <c r="DP44" s="36">
        <v>0</v>
      </c>
      <c r="DQ44" s="36">
        <v>0</v>
      </c>
      <c r="DR44" s="36">
        <v>0</v>
      </c>
      <c r="DS44" s="36">
        <v>0</v>
      </c>
      <c r="DT44" s="36">
        <v>0</v>
      </c>
      <c r="DU44" s="36">
        <v>0</v>
      </c>
      <c r="DV44" s="36">
        <v>0</v>
      </c>
      <c r="DW44" s="36">
        <v>0</v>
      </c>
      <c r="DX44" s="36">
        <v>0</v>
      </c>
      <c r="DY44" s="36">
        <v>0</v>
      </c>
      <c r="DZ44" s="36">
        <v>0</v>
      </c>
      <c r="EA44" s="36">
        <v>0</v>
      </c>
      <c r="EB44" s="36">
        <v>0</v>
      </c>
      <c r="EC44" s="36">
        <v>0</v>
      </c>
      <c r="ED44" s="36">
        <v>0</v>
      </c>
      <c r="EE44" s="36">
        <v>0</v>
      </c>
      <c r="EF44" s="36">
        <v>0</v>
      </c>
      <c r="EG44" s="36">
        <v>0</v>
      </c>
      <c r="EH44" s="36">
        <v>0</v>
      </c>
      <c r="EI44" s="36">
        <v>0</v>
      </c>
      <c r="EJ44" s="36">
        <v>0</v>
      </c>
      <c r="EK44" s="36">
        <v>0</v>
      </c>
      <c r="EL44" s="36">
        <v>0</v>
      </c>
      <c r="EM44" s="36">
        <v>0</v>
      </c>
      <c r="EN44" s="36">
        <v>0</v>
      </c>
      <c r="EO44" s="36">
        <v>0</v>
      </c>
      <c r="EP44" s="36">
        <v>0</v>
      </c>
      <c r="ET44" t="s">
        <v>254</v>
      </c>
      <c r="EU44" t="s">
        <v>530</v>
      </c>
      <c r="EV44" s="36">
        <v>0</v>
      </c>
      <c r="EW44" s="36">
        <v>0</v>
      </c>
      <c r="EX44" s="36">
        <v>0</v>
      </c>
      <c r="EY44" s="36">
        <v>0</v>
      </c>
      <c r="EZ44" s="36">
        <v>0</v>
      </c>
      <c r="FA44" s="36">
        <v>0</v>
      </c>
      <c r="FB44" s="36">
        <v>0</v>
      </c>
      <c r="FC44" s="42">
        <f t="shared" si="6"/>
        <v>0</v>
      </c>
      <c r="FE44">
        <v>0</v>
      </c>
      <c r="FF44">
        <v>0</v>
      </c>
      <c r="FG44">
        <v>0</v>
      </c>
      <c r="FM44" s="43">
        <f t="shared" si="5"/>
        <v>0</v>
      </c>
      <c r="FN44" s="43">
        <f t="shared" si="5"/>
        <v>0</v>
      </c>
      <c r="FO44" s="43">
        <f t="shared" si="5"/>
        <v>0</v>
      </c>
      <c r="FP44" s="43">
        <f t="shared" si="5"/>
        <v>0</v>
      </c>
      <c r="FQ44" s="43">
        <f t="shared" si="5"/>
        <v>0</v>
      </c>
      <c r="FR44" s="43">
        <f t="shared" si="5"/>
        <v>0</v>
      </c>
      <c r="FS44" s="43">
        <f t="shared" si="5"/>
        <v>0</v>
      </c>
      <c r="FV44" t="s">
        <v>531</v>
      </c>
      <c r="FW44" t="s">
        <v>532</v>
      </c>
    </row>
    <row r="45" spans="1:179" ht="19.5" customHeight="1" x14ac:dyDescent="0.25">
      <c r="A45" t="s">
        <v>533</v>
      </c>
      <c r="B45" s="36">
        <v>0</v>
      </c>
      <c r="C45" s="36">
        <v>0</v>
      </c>
      <c r="D45" s="36">
        <v>0</v>
      </c>
      <c r="E45" s="36">
        <v>0</v>
      </c>
      <c r="F45" s="36">
        <v>0</v>
      </c>
      <c r="G45" s="36">
        <v>0</v>
      </c>
      <c r="H45" s="36">
        <v>0</v>
      </c>
      <c r="I45" s="36">
        <v>0</v>
      </c>
      <c r="J45" s="36">
        <v>0</v>
      </c>
      <c r="K45" s="36">
        <v>0</v>
      </c>
      <c r="L45" s="36">
        <v>0</v>
      </c>
      <c r="M45" s="36">
        <v>0</v>
      </c>
      <c r="N45" s="36">
        <v>0</v>
      </c>
      <c r="O45" s="36">
        <v>0</v>
      </c>
      <c r="P45" s="36">
        <v>0</v>
      </c>
      <c r="Q45" s="36">
        <v>1</v>
      </c>
      <c r="R45" s="36">
        <v>0</v>
      </c>
      <c r="S45" s="36">
        <v>0</v>
      </c>
      <c r="T45" s="36">
        <v>0</v>
      </c>
      <c r="U45" s="36">
        <v>0</v>
      </c>
      <c r="V45" s="36">
        <v>0</v>
      </c>
      <c r="W45" s="36">
        <v>0</v>
      </c>
      <c r="X45" s="36">
        <v>0</v>
      </c>
      <c r="Y45" s="36">
        <v>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1</v>
      </c>
      <c r="AZ45" s="36">
        <v>0</v>
      </c>
      <c r="BA45" s="36">
        <v>0</v>
      </c>
      <c r="BB45" s="36">
        <v>0</v>
      </c>
      <c r="BC45" s="36">
        <v>0</v>
      </c>
      <c r="BD45" s="36">
        <v>0</v>
      </c>
      <c r="BE45" s="36">
        <v>0</v>
      </c>
      <c r="BF45" s="36">
        <v>0</v>
      </c>
      <c r="BG45" s="36">
        <v>0</v>
      </c>
      <c r="BH45" s="36">
        <v>0</v>
      </c>
      <c r="BI45" s="36">
        <v>0</v>
      </c>
      <c r="BJ45" s="36">
        <v>0</v>
      </c>
      <c r="BK45" s="36">
        <v>0</v>
      </c>
      <c r="BL45" s="36">
        <v>0</v>
      </c>
      <c r="BM45" s="36">
        <v>0</v>
      </c>
      <c r="BN45" s="36">
        <v>0</v>
      </c>
      <c r="BO45" s="36">
        <v>0</v>
      </c>
      <c r="BP45" s="36">
        <v>-1</v>
      </c>
      <c r="BQ45" s="36">
        <v>0</v>
      </c>
      <c r="BR45" s="36">
        <v>0</v>
      </c>
      <c r="BS45" s="36">
        <v>0</v>
      </c>
      <c r="BT45" s="36">
        <v>0</v>
      </c>
      <c r="BU45" s="36">
        <v>0</v>
      </c>
      <c r="BV45" s="36">
        <v>0</v>
      </c>
      <c r="BW45" s="36">
        <v>0</v>
      </c>
      <c r="BX45" s="36">
        <v>0</v>
      </c>
      <c r="BY45" s="36">
        <v>0</v>
      </c>
      <c r="BZ45" s="36">
        <v>0</v>
      </c>
      <c r="CA45" s="36">
        <v>0</v>
      </c>
      <c r="CB45" s="36">
        <v>0</v>
      </c>
      <c r="CC45" s="36">
        <v>0</v>
      </c>
      <c r="CD45" s="36">
        <v>0</v>
      </c>
      <c r="CE45" s="36">
        <v>0</v>
      </c>
      <c r="CF45" s="36">
        <v>0</v>
      </c>
      <c r="CG45" s="36">
        <v>0</v>
      </c>
      <c r="CH45" s="36">
        <v>0</v>
      </c>
      <c r="CI45" s="36">
        <v>0</v>
      </c>
      <c r="CJ45" s="36">
        <v>0</v>
      </c>
      <c r="CK45" s="36">
        <v>0</v>
      </c>
      <c r="CL45" s="36">
        <v>0</v>
      </c>
      <c r="CM45" s="36">
        <v>0</v>
      </c>
      <c r="CN45" s="36">
        <v>0</v>
      </c>
      <c r="CO45" s="36">
        <v>0</v>
      </c>
      <c r="CP45" s="36">
        <v>0</v>
      </c>
      <c r="CQ45" s="36">
        <v>0</v>
      </c>
      <c r="CR45" s="36">
        <v>0</v>
      </c>
      <c r="CS45" s="36">
        <v>0</v>
      </c>
      <c r="CT45" s="36">
        <v>0</v>
      </c>
      <c r="CU45" s="36">
        <v>0</v>
      </c>
      <c r="CV45" s="36">
        <v>0</v>
      </c>
      <c r="CW45" s="36">
        <v>0</v>
      </c>
      <c r="CX45" s="36">
        <v>0</v>
      </c>
      <c r="CY45" s="36">
        <v>0</v>
      </c>
      <c r="CZ45" s="36">
        <v>0</v>
      </c>
      <c r="DA45" s="36">
        <v>0</v>
      </c>
      <c r="DB45" s="36">
        <v>0</v>
      </c>
      <c r="DC45" s="36">
        <v>0</v>
      </c>
      <c r="DD45" s="36">
        <v>0</v>
      </c>
      <c r="DE45" s="36">
        <v>0</v>
      </c>
      <c r="DF45" s="36">
        <v>0</v>
      </c>
      <c r="DG45" s="36">
        <v>0</v>
      </c>
      <c r="DH45" s="36">
        <v>0</v>
      </c>
      <c r="DI45" s="36">
        <v>0</v>
      </c>
      <c r="DJ45" s="36">
        <v>0</v>
      </c>
      <c r="DK45" s="36">
        <v>-1</v>
      </c>
      <c r="DL45" s="36">
        <v>1</v>
      </c>
      <c r="DM45" s="36">
        <v>0</v>
      </c>
      <c r="DN45" s="36">
        <v>0</v>
      </c>
      <c r="DO45" s="36">
        <v>0</v>
      </c>
      <c r="DP45" s="36">
        <v>0</v>
      </c>
      <c r="DQ45" s="36">
        <v>0</v>
      </c>
      <c r="DR45" s="36">
        <v>0</v>
      </c>
      <c r="DS45" s="36">
        <v>0</v>
      </c>
      <c r="DT45" s="36">
        <v>0</v>
      </c>
      <c r="DU45" s="36">
        <v>0</v>
      </c>
      <c r="DV45" s="36">
        <v>0</v>
      </c>
      <c r="DW45" s="36">
        <v>0</v>
      </c>
      <c r="DX45" s="36">
        <v>0</v>
      </c>
      <c r="DY45" s="36">
        <v>0</v>
      </c>
      <c r="DZ45" s="36">
        <v>0</v>
      </c>
      <c r="EA45" s="36">
        <v>0</v>
      </c>
      <c r="EB45" s="36">
        <v>0</v>
      </c>
      <c r="EC45" s="36">
        <v>0</v>
      </c>
      <c r="ED45" s="36">
        <v>0</v>
      </c>
      <c r="EE45" s="36">
        <v>0</v>
      </c>
      <c r="EF45" s="36">
        <v>0</v>
      </c>
      <c r="EG45" s="36">
        <v>0</v>
      </c>
      <c r="EH45" s="36">
        <v>0</v>
      </c>
      <c r="EI45" s="36">
        <v>0</v>
      </c>
      <c r="EJ45" s="36">
        <v>0</v>
      </c>
      <c r="EK45" s="36">
        <v>0</v>
      </c>
      <c r="EL45" s="36">
        <v>0</v>
      </c>
      <c r="EM45" s="36">
        <v>0</v>
      </c>
      <c r="EN45" s="36">
        <v>0</v>
      </c>
      <c r="EO45" s="36">
        <v>0</v>
      </c>
      <c r="EP45" s="36">
        <v>0</v>
      </c>
      <c r="ET45" t="s">
        <v>534</v>
      </c>
      <c r="EU45" s="44" t="s">
        <v>535</v>
      </c>
      <c r="EV45" s="36">
        <v>-4</v>
      </c>
      <c r="EW45" s="36">
        <v>6</v>
      </c>
      <c r="EX45" s="36">
        <v>10</v>
      </c>
      <c r="EY45" s="36">
        <v>0</v>
      </c>
      <c r="EZ45" s="36">
        <v>12</v>
      </c>
      <c r="FA45" s="36">
        <v>2</v>
      </c>
      <c r="FB45" s="36">
        <v>0</v>
      </c>
      <c r="FC45" s="42">
        <f t="shared" si="6"/>
        <v>24</v>
      </c>
      <c r="FE45">
        <f t="shared" si="1"/>
        <v>4</v>
      </c>
      <c r="FF45">
        <f t="shared" si="2"/>
        <v>4</v>
      </c>
      <c r="FG45">
        <f t="shared" si="3"/>
        <v>4</v>
      </c>
      <c r="FM45" s="43">
        <f t="shared" si="5"/>
        <v>0</v>
      </c>
      <c r="FN45" s="43">
        <f t="shared" si="5"/>
        <v>0</v>
      </c>
      <c r="FO45" s="43">
        <f t="shared" si="5"/>
        <v>0</v>
      </c>
      <c r="FP45" s="43">
        <f t="shared" si="5"/>
        <v>0</v>
      </c>
      <c r="FQ45" s="43">
        <f t="shared" si="5"/>
        <v>0</v>
      </c>
      <c r="FR45" s="43">
        <f t="shared" si="5"/>
        <v>0</v>
      </c>
      <c r="FS45" s="43">
        <f t="shared" si="5"/>
        <v>0</v>
      </c>
      <c r="FV45" t="s">
        <v>536</v>
      </c>
      <c r="FW45" t="s">
        <v>537</v>
      </c>
    </row>
    <row r="46" spans="1:179" ht="19.5" customHeight="1" x14ac:dyDescent="0.35">
      <c r="A46" t="s">
        <v>538</v>
      </c>
      <c r="B46" s="36">
        <v>0</v>
      </c>
      <c r="C46" s="36">
        <v>0</v>
      </c>
      <c r="D46" s="36">
        <v>0</v>
      </c>
      <c r="E46" s="36">
        <v>0</v>
      </c>
      <c r="F46" s="36">
        <v>0</v>
      </c>
      <c r="G46" s="36">
        <v>0</v>
      </c>
      <c r="H46" s="36">
        <v>0</v>
      </c>
      <c r="I46" s="36">
        <v>0</v>
      </c>
      <c r="J46" s="36">
        <v>0</v>
      </c>
      <c r="K46" s="36">
        <v>0</v>
      </c>
      <c r="L46" s="36">
        <v>0</v>
      </c>
      <c r="M46" s="36">
        <v>0</v>
      </c>
      <c r="N46" s="36">
        <v>0</v>
      </c>
      <c r="O46" s="36">
        <v>0</v>
      </c>
      <c r="P46" s="36">
        <v>0</v>
      </c>
      <c r="Q46" s="36">
        <v>-1</v>
      </c>
      <c r="R46" s="36">
        <v>0</v>
      </c>
      <c r="S46" s="36">
        <v>0</v>
      </c>
      <c r="T46" s="36">
        <v>0</v>
      </c>
      <c r="U46" s="36">
        <v>0</v>
      </c>
      <c r="V46" s="36">
        <v>0</v>
      </c>
      <c r="W46" s="36">
        <v>0</v>
      </c>
      <c r="X46" s="36">
        <v>0</v>
      </c>
      <c r="Y46" s="36">
        <v>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1</v>
      </c>
      <c r="AZ46" s="36">
        <v>0</v>
      </c>
      <c r="BA46" s="36">
        <v>0</v>
      </c>
      <c r="BB46" s="36">
        <v>0</v>
      </c>
      <c r="BC46" s="36">
        <v>-1</v>
      </c>
      <c r="BD46" s="36">
        <v>0</v>
      </c>
      <c r="BE46" s="36">
        <v>0</v>
      </c>
      <c r="BF46" s="36">
        <v>0</v>
      </c>
      <c r="BG46" s="36">
        <v>0</v>
      </c>
      <c r="BH46" s="36">
        <v>0</v>
      </c>
      <c r="BI46" s="36">
        <v>0</v>
      </c>
      <c r="BJ46" s="36">
        <v>0</v>
      </c>
      <c r="BK46" s="36">
        <v>0</v>
      </c>
      <c r="BL46" s="36">
        <v>0</v>
      </c>
      <c r="BM46" s="36">
        <v>0</v>
      </c>
      <c r="BN46" s="36">
        <v>0</v>
      </c>
      <c r="BO46" s="36">
        <v>0</v>
      </c>
      <c r="BP46" s="36">
        <v>0</v>
      </c>
      <c r="BQ46" s="36">
        <v>0</v>
      </c>
      <c r="BR46" s="36">
        <v>0</v>
      </c>
      <c r="BS46" s="36">
        <v>0</v>
      </c>
      <c r="BT46" s="36">
        <v>0</v>
      </c>
      <c r="BU46" s="36">
        <v>0</v>
      </c>
      <c r="BV46" s="36">
        <v>0</v>
      </c>
      <c r="BW46" s="36">
        <v>0</v>
      </c>
      <c r="BX46" s="36">
        <v>0</v>
      </c>
      <c r="BY46" s="36">
        <v>0</v>
      </c>
      <c r="BZ46" s="36">
        <v>0</v>
      </c>
      <c r="CA46" s="36">
        <v>0</v>
      </c>
      <c r="CB46" s="36">
        <v>0</v>
      </c>
      <c r="CC46" s="36">
        <v>0</v>
      </c>
      <c r="CD46" s="36">
        <v>0</v>
      </c>
      <c r="CE46" s="36">
        <v>0</v>
      </c>
      <c r="CF46" s="36">
        <v>0</v>
      </c>
      <c r="CG46" s="36">
        <v>0</v>
      </c>
      <c r="CH46" s="36">
        <v>0</v>
      </c>
      <c r="CI46" s="36">
        <v>0</v>
      </c>
      <c r="CJ46" s="36">
        <v>0</v>
      </c>
      <c r="CK46" s="36">
        <v>0</v>
      </c>
      <c r="CL46" s="36">
        <v>0</v>
      </c>
      <c r="CM46" s="36">
        <v>0</v>
      </c>
      <c r="CN46" s="36">
        <v>0</v>
      </c>
      <c r="CO46" s="36">
        <v>0</v>
      </c>
      <c r="CP46" s="36">
        <v>0</v>
      </c>
      <c r="CQ46" s="36">
        <v>0</v>
      </c>
      <c r="CR46" s="36">
        <v>0</v>
      </c>
      <c r="CS46" s="36">
        <v>0</v>
      </c>
      <c r="CT46" s="36">
        <v>0</v>
      </c>
      <c r="CU46" s="36">
        <v>0</v>
      </c>
      <c r="CV46" s="36">
        <v>0</v>
      </c>
      <c r="CW46" s="36">
        <v>0</v>
      </c>
      <c r="CX46" s="36">
        <v>0</v>
      </c>
      <c r="CY46" s="36">
        <v>0</v>
      </c>
      <c r="CZ46" s="36">
        <v>0</v>
      </c>
      <c r="DA46" s="36">
        <v>0</v>
      </c>
      <c r="DB46" s="36">
        <v>0</v>
      </c>
      <c r="DC46" s="36">
        <v>0</v>
      </c>
      <c r="DD46" s="36">
        <v>0</v>
      </c>
      <c r="DE46" s="36">
        <v>0</v>
      </c>
      <c r="DF46" s="36">
        <v>0</v>
      </c>
      <c r="DG46" s="36">
        <v>0</v>
      </c>
      <c r="DH46" s="36">
        <v>0</v>
      </c>
      <c r="DI46" s="36">
        <v>0</v>
      </c>
      <c r="DJ46" s="36">
        <v>0</v>
      </c>
      <c r="DK46" s="36">
        <v>-1</v>
      </c>
      <c r="DL46" s="36">
        <v>1</v>
      </c>
      <c r="DM46" s="36">
        <v>0</v>
      </c>
      <c r="DN46" s="36">
        <v>0</v>
      </c>
      <c r="DO46" s="36">
        <v>0</v>
      </c>
      <c r="DP46" s="36">
        <v>0</v>
      </c>
      <c r="DQ46" s="36">
        <v>0</v>
      </c>
      <c r="DR46" s="36">
        <v>0</v>
      </c>
      <c r="DS46" s="36">
        <v>0</v>
      </c>
      <c r="DT46" s="36">
        <v>0</v>
      </c>
      <c r="DU46" s="36">
        <v>0</v>
      </c>
      <c r="DV46" s="36">
        <v>0</v>
      </c>
      <c r="DW46" s="36">
        <v>0</v>
      </c>
      <c r="DX46" s="36">
        <v>0</v>
      </c>
      <c r="DY46" s="36">
        <v>0</v>
      </c>
      <c r="DZ46" s="36">
        <v>0</v>
      </c>
      <c r="EA46" s="36">
        <v>0</v>
      </c>
      <c r="EB46" s="36">
        <v>0</v>
      </c>
      <c r="EC46" s="36">
        <v>0</v>
      </c>
      <c r="ED46" s="36">
        <v>0</v>
      </c>
      <c r="EE46" s="36">
        <v>0</v>
      </c>
      <c r="EF46" s="36">
        <v>0</v>
      </c>
      <c r="EG46" s="36">
        <v>0</v>
      </c>
      <c r="EH46" s="36">
        <v>0</v>
      </c>
      <c r="EI46" s="36">
        <v>0</v>
      </c>
      <c r="EJ46" s="36">
        <v>0</v>
      </c>
      <c r="EK46" s="36">
        <v>0</v>
      </c>
      <c r="EL46" s="36">
        <v>0</v>
      </c>
      <c r="EM46" s="36">
        <v>0</v>
      </c>
      <c r="EN46" s="36">
        <v>1</v>
      </c>
      <c r="EO46" s="36">
        <v>0</v>
      </c>
      <c r="EP46" s="36">
        <v>0</v>
      </c>
      <c r="ET46" t="s">
        <v>539</v>
      </c>
      <c r="EU46" t="s">
        <v>540</v>
      </c>
      <c r="EV46" s="36">
        <v>-2</v>
      </c>
      <c r="EW46" s="36">
        <v>6</v>
      </c>
      <c r="EX46" s="36">
        <v>11</v>
      </c>
      <c r="EY46" s="36">
        <v>0</v>
      </c>
      <c r="EZ46" s="36">
        <v>9</v>
      </c>
      <c r="FA46" s="36">
        <v>1</v>
      </c>
      <c r="FB46" s="36">
        <v>0</v>
      </c>
      <c r="FC46" s="42">
        <f t="shared" si="6"/>
        <v>24</v>
      </c>
      <c r="FE46">
        <f t="shared" si="1"/>
        <v>4</v>
      </c>
      <c r="FF46">
        <f t="shared" si="2"/>
        <v>4</v>
      </c>
      <c r="FG46">
        <f t="shared" si="3"/>
        <v>4</v>
      </c>
      <c r="FM46" s="43">
        <f t="shared" si="5"/>
        <v>0</v>
      </c>
      <c r="FN46" s="43">
        <f t="shared" si="5"/>
        <v>0</v>
      </c>
      <c r="FO46" s="43">
        <f t="shared" si="5"/>
        <v>0</v>
      </c>
      <c r="FP46" s="43">
        <f t="shared" si="5"/>
        <v>0</v>
      </c>
      <c r="FQ46" s="43">
        <f t="shared" si="5"/>
        <v>0</v>
      </c>
      <c r="FR46" s="43">
        <f t="shared" si="5"/>
        <v>0</v>
      </c>
      <c r="FS46" s="43">
        <f t="shared" si="5"/>
        <v>0</v>
      </c>
      <c r="FV46" t="s">
        <v>541</v>
      </c>
      <c r="FW46" t="s">
        <v>542</v>
      </c>
    </row>
    <row r="47" spans="1:179" ht="19.5" customHeight="1" x14ac:dyDescent="0.25">
      <c r="A47" t="s">
        <v>543</v>
      </c>
      <c r="B47" s="36">
        <v>1</v>
      </c>
      <c r="C47" s="36">
        <v>0</v>
      </c>
      <c r="D47" s="36">
        <v>0</v>
      </c>
      <c r="E47" s="36">
        <v>0</v>
      </c>
      <c r="F47" s="36">
        <v>0</v>
      </c>
      <c r="G47" s="36">
        <v>0</v>
      </c>
      <c r="H47" s="36">
        <v>0</v>
      </c>
      <c r="I47" s="36">
        <v>0</v>
      </c>
      <c r="J47" s="36">
        <v>0</v>
      </c>
      <c r="K47" s="36">
        <v>0</v>
      </c>
      <c r="L47" s="36">
        <v>0</v>
      </c>
      <c r="M47" s="36">
        <v>0</v>
      </c>
      <c r="N47" s="36">
        <v>0</v>
      </c>
      <c r="O47" s="36">
        <v>0</v>
      </c>
      <c r="P47" s="36">
        <v>0</v>
      </c>
      <c r="Q47" s="36">
        <v>0</v>
      </c>
      <c r="R47" s="36">
        <v>0</v>
      </c>
      <c r="S47" s="36">
        <v>0</v>
      </c>
      <c r="T47" s="36">
        <v>0</v>
      </c>
      <c r="U47" s="36">
        <v>0</v>
      </c>
      <c r="V47" s="36">
        <v>0</v>
      </c>
      <c r="W47" s="36">
        <v>0</v>
      </c>
      <c r="X47" s="36">
        <v>0</v>
      </c>
      <c r="Y47" s="36">
        <v>0</v>
      </c>
      <c r="Z47" s="36">
        <v>0</v>
      </c>
      <c r="AA47" s="36">
        <v>0</v>
      </c>
      <c r="AB47" s="36">
        <v>0</v>
      </c>
      <c r="AC47" s="36">
        <v>0</v>
      </c>
      <c r="AD47" s="36">
        <v>0</v>
      </c>
      <c r="AE47" s="36">
        <v>0</v>
      </c>
      <c r="AF47" s="36">
        <v>0</v>
      </c>
      <c r="AG47" s="36">
        <v>0</v>
      </c>
      <c r="AH47" s="36">
        <v>0</v>
      </c>
      <c r="AI47" s="36">
        <v>0</v>
      </c>
      <c r="AJ47" s="36">
        <v>0</v>
      </c>
      <c r="AK47" s="36">
        <v>0</v>
      </c>
      <c r="AL47" s="36">
        <v>-1</v>
      </c>
      <c r="AM47" s="36">
        <v>0</v>
      </c>
      <c r="AN47" s="36">
        <v>0</v>
      </c>
      <c r="AO47" s="36">
        <v>0</v>
      </c>
      <c r="AP47" s="36">
        <v>0</v>
      </c>
      <c r="AQ47" s="36">
        <v>0</v>
      </c>
      <c r="AR47" s="36">
        <v>1</v>
      </c>
      <c r="AS47" s="36">
        <v>0</v>
      </c>
      <c r="AT47" s="36">
        <v>0</v>
      </c>
      <c r="AU47" s="36">
        <v>0</v>
      </c>
      <c r="AV47" s="36">
        <v>0</v>
      </c>
      <c r="AW47" s="36">
        <v>0</v>
      </c>
      <c r="AX47" s="36">
        <v>0</v>
      </c>
      <c r="AY47" s="36">
        <v>0</v>
      </c>
      <c r="AZ47" s="36">
        <v>0</v>
      </c>
      <c r="BA47" s="36">
        <v>0</v>
      </c>
      <c r="BB47" s="36">
        <v>0</v>
      </c>
      <c r="BC47" s="36">
        <v>1</v>
      </c>
      <c r="BD47" s="36">
        <v>0</v>
      </c>
      <c r="BE47" s="36">
        <v>0</v>
      </c>
      <c r="BF47" s="36">
        <v>0</v>
      </c>
      <c r="BG47" s="36">
        <v>0</v>
      </c>
      <c r="BH47" s="36">
        <v>0</v>
      </c>
      <c r="BI47" s="36">
        <v>0</v>
      </c>
      <c r="BJ47" s="36">
        <v>0</v>
      </c>
      <c r="BK47" s="36">
        <v>0</v>
      </c>
      <c r="BL47" s="36">
        <v>0</v>
      </c>
      <c r="BM47" s="36">
        <v>0</v>
      </c>
      <c r="BN47" s="36">
        <v>0</v>
      </c>
      <c r="BO47" s="36">
        <v>0</v>
      </c>
      <c r="BP47" s="36">
        <v>0</v>
      </c>
      <c r="BQ47" s="36">
        <v>0</v>
      </c>
      <c r="BR47" s="36">
        <v>0</v>
      </c>
      <c r="BS47" s="36">
        <v>0</v>
      </c>
      <c r="BT47" s="36">
        <v>0</v>
      </c>
      <c r="BU47" s="36">
        <v>0</v>
      </c>
      <c r="BV47" s="36">
        <v>0</v>
      </c>
      <c r="BW47" s="36">
        <v>0</v>
      </c>
      <c r="BX47" s="36">
        <v>0</v>
      </c>
      <c r="BY47" s="36">
        <v>0</v>
      </c>
      <c r="BZ47" s="36">
        <v>0</v>
      </c>
      <c r="CA47" s="36">
        <v>0</v>
      </c>
      <c r="CB47" s="36">
        <v>0</v>
      </c>
      <c r="CC47" s="36">
        <v>0</v>
      </c>
      <c r="CD47" s="36">
        <v>0</v>
      </c>
      <c r="CE47" s="36">
        <v>0</v>
      </c>
      <c r="CF47" s="36">
        <v>0</v>
      </c>
      <c r="CG47" s="36">
        <v>0</v>
      </c>
      <c r="CH47" s="36">
        <v>0</v>
      </c>
      <c r="CI47" s="36">
        <v>0</v>
      </c>
      <c r="CJ47" s="36">
        <v>0</v>
      </c>
      <c r="CK47" s="36">
        <v>0</v>
      </c>
      <c r="CL47" s="36">
        <v>0</v>
      </c>
      <c r="CM47" s="36">
        <v>0</v>
      </c>
      <c r="CN47" s="36">
        <v>0</v>
      </c>
      <c r="CO47" s="36">
        <v>0</v>
      </c>
      <c r="CP47" s="36">
        <v>0</v>
      </c>
      <c r="CQ47" s="36">
        <v>0</v>
      </c>
      <c r="CR47" s="36">
        <v>0</v>
      </c>
      <c r="CS47" s="36">
        <v>0</v>
      </c>
      <c r="CT47" s="36">
        <v>0</v>
      </c>
      <c r="CU47" s="36">
        <v>0</v>
      </c>
      <c r="CV47" s="36">
        <v>0</v>
      </c>
      <c r="CW47" s="36">
        <v>0</v>
      </c>
      <c r="CX47" s="36">
        <v>0</v>
      </c>
      <c r="CY47" s="36">
        <v>0</v>
      </c>
      <c r="CZ47" s="36">
        <v>0</v>
      </c>
      <c r="DA47" s="36">
        <v>0</v>
      </c>
      <c r="DB47" s="36">
        <v>0</v>
      </c>
      <c r="DC47" s="36">
        <v>0</v>
      </c>
      <c r="DD47" s="36">
        <v>0</v>
      </c>
      <c r="DE47" s="36">
        <v>0</v>
      </c>
      <c r="DF47" s="36">
        <v>0</v>
      </c>
      <c r="DG47" s="36">
        <v>0</v>
      </c>
      <c r="DH47" s="36">
        <v>0</v>
      </c>
      <c r="DI47" s="36">
        <v>0</v>
      </c>
      <c r="DJ47" s="36">
        <v>0</v>
      </c>
      <c r="DK47" s="36">
        <v>0</v>
      </c>
      <c r="DL47" s="36">
        <v>0</v>
      </c>
      <c r="DM47" s="36">
        <v>0</v>
      </c>
      <c r="DN47" s="36">
        <v>0</v>
      </c>
      <c r="DO47" s="36">
        <v>0</v>
      </c>
      <c r="DP47" s="36">
        <v>0</v>
      </c>
      <c r="DQ47" s="36">
        <v>0</v>
      </c>
      <c r="DR47" s="36">
        <v>0</v>
      </c>
      <c r="DS47" s="36">
        <v>0</v>
      </c>
      <c r="DT47" s="36">
        <v>0</v>
      </c>
      <c r="DU47" s="36">
        <v>0</v>
      </c>
      <c r="DV47" s="36">
        <v>0</v>
      </c>
      <c r="DW47" s="36">
        <v>0</v>
      </c>
      <c r="DX47" s="36">
        <v>-1</v>
      </c>
      <c r="DY47" s="36">
        <v>0</v>
      </c>
      <c r="DZ47" s="36">
        <v>0</v>
      </c>
      <c r="EA47" s="36">
        <v>0</v>
      </c>
      <c r="EB47" s="36">
        <v>0</v>
      </c>
      <c r="EC47" s="36">
        <v>0</v>
      </c>
      <c r="ED47" s="36">
        <v>0</v>
      </c>
      <c r="EE47" s="36">
        <v>0</v>
      </c>
      <c r="EF47" s="36">
        <v>0</v>
      </c>
      <c r="EG47" s="36">
        <v>0</v>
      </c>
      <c r="EH47" s="36">
        <v>0</v>
      </c>
      <c r="EI47" s="36">
        <v>0</v>
      </c>
      <c r="EJ47" s="36">
        <v>0</v>
      </c>
      <c r="EK47" s="36">
        <v>0</v>
      </c>
      <c r="EL47" s="36">
        <v>1</v>
      </c>
      <c r="EM47" s="36">
        <v>0</v>
      </c>
      <c r="EN47" s="36">
        <v>-1</v>
      </c>
      <c r="EO47" s="36">
        <v>0</v>
      </c>
      <c r="EP47" s="36">
        <v>0</v>
      </c>
      <c r="ET47" t="s">
        <v>257</v>
      </c>
      <c r="EV47" s="45">
        <v>-3.2801700000000018</v>
      </c>
      <c r="EW47" s="45">
        <v>1.0000300000000095</v>
      </c>
      <c r="EX47" s="45">
        <v>-0.37217000000001121</v>
      </c>
      <c r="EY47" s="45">
        <v>0.23901999999999646</v>
      </c>
      <c r="EZ47" s="45">
        <v>1.2126399999999862</v>
      </c>
      <c r="FA47" s="45">
        <v>8.7320000000000064E-2</v>
      </c>
      <c r="FB47" s="45">
        <v>0</v>
      </c>
      <c r="FC47" s="45">
        <v>4.2023799999999767</v>
      </c>
      <c r="FE47">
        <f t="shared" si="1"/>
        <v>6.1143565693029016</v>
      </c>
      <c r="FF47">
        <f t="shared" si="2"/>
        <v>4.2022539323820558</v>
      </c>
      <c r="FG47">
        <f t="shared" si="3"/>
        <v>4.9192924212273734</v>
      </c>
      <c r="FM47" s="43">
        <f t="shared" si="5"/>
        <v>0</v>
      </c>
      <c r="FN47" s="43">
        <f t="shared" si="5"/>
        <v>0</v>
      </c>
      <c r="FO47" s="43">
        <f t="shared" si="5"/>
        <v>0</v>
      </c>
      <c r="FP47" s="43">
        <f t="shared" si="5"/>
        <v>0</v>
      </c>
      <c r="FQ47" s="43">
        <f t="shared" si="5"/>
        <v>0</v>
      </c>
      <c r="FR47" s="43">
        <f t="shared" si="5"/>
        <v>0</v>
      </c>
      <c r="FS47" s="43">
        <f t="shared" si="5"/>
        <v>0</v>
      </c>
      <c r="FV47" t="s">
        <v>544</v>
      </c>
      <c r="FW47" t="s">
        <v>545</v>
      </c>
    </row>
    <row r="48" spans="1:179" ht="19.5" customHeight="1" x14ac:dyDescent="0.25">
      <c r="A48" t="s">
        <v>546</v>
      </c>
      <c r="B48" s="36">
        <v>1</v>
      </c>
      <c r="C48" s="36">
        <v>0</v>
      </c>
      <c r="D48" s="36">
        <v>0</v>
      </c>
      <c r="E48" s="36">
        <v>0</v>
      </c>
      <c r="F48" s="36">
        <v>0</v>
      </c>
      <c r="G48" s="36">
        <v>0</v>
      </c>
      <c r="H48" s="36">
        <v>0</v>
      </c>
      <c r="I48" s="36">
        <v>0</v>
      </c>
      <c r="J48" s="36">
        <v>0</v>
      </c>
      <c r="K48" s="36">
        <v>0</v>
      </c>
      <c r="L48" s="36">
        <v>0</v>
      </c>
      <c r="M48" s="36">
        <v>0</v>
      </c>
      <c r="N48" s="36">
        <v>0</v>
      </c>
      <c r="O48" s="36">
        <v>0</v>
      </c>
      <c r="P48" s="36">
        <v>0</v>
      </c>
      <c r="Q48" s="36">
        <v>0</v>
      </c>
      <c r="R48" s="36">
        <v>0</v>
      </c>
      <c r="S48" s="36">
        <v>0</v>
      </c>
      <c r="T48" s="36">
        <v>0</v>
      </c>
      <c r="U48" s="36">
        <v>0</v>
      </c>
      <c r="V48" s="36">
        <v>0</v>
      </c>
      <c r="W48" s="36">
        <v>0</v>
      </c>
      <c r="X48" s="36">
        <v>0</v>
      </c>
      <c r="Y48" s="36">
        <v>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0</v>
      </c>
      <c r="AS48" s="36">
        <v>0</v>
      </c>
      <c r="AT48" s="36">
        <v>0</v>
      </c>
      <c r="AU48" s="36">
        <v>0</v>
      </c>
      <c r="AV48" s="36">
        <v>0</v>
      </c>
      <c r="AW48" s="36">
        <v>0</v>
      </c>
      <c r="AX48" s="36">
        <v>0</v>
      </c>
      <c r="AY48" s="36">
        <v>0</v>
      </c>
      <c r="AZ48" s="36">
        <v>0</v>
      </c>
      <c r="BA48" s="36">
        <v>0</v>
      </c>
      <c r="BB48" s="36">
        <v>0</v>
      </c>
      <c r="BC48" s="36">
        <v>0</v>
      </c>
      <c r="BD48" s="36">
        <v>0</v>
      </c>
      <c r="BE48" s="36">
        <v>0</v>
      </c>
      <c r="BF48" s="36">
        <v>0</v>
      </c>
      <c r="BG48" s="36">
        <v>0</v>
      </c>
      <c r="BH48" s="36">
        <v>0</v>
      </c>
      <c r="BI48" s="36">
        <v>0</v>
      </c>
      <c r="BJ48" s="36">
        <v>0</v>
      </c>
      <c r="BK48" s="36">
        <v>0</v>
      </c>
      <c r="BL48" s="36">
        <v>0</v>
      </c>
      <c r="BM48" s="36">
        <v>0</v>
      </c>
      <c r="BN48" s="36">
        <v>0</v>
      </c>
      <c r="BO48" s="36">
        <v>0</v>
      </c>
      <c r="BP48" s="36">
        <v>0</v>
      </c>
      <c r="BQ48" s="36">
        <v>0</v>
      </c>
      <c r="BR48" s="36">
        <v>0</v>
      </c>
      <c r="BS48" s="36">
        <v>0</v>
      </c>
      <c r="BT48" s="36">
        <v>0</v>
      </c>
      <c r="BU48" s="36">
        <v>0</v>
      </c>
      <c r="BV48" s="36">
        <v>0</v>
      </c>
      <c r="BW48" s="36">
        <v>0</v>
      </c>
      <c r="BX48" s="36">
        <v>0</v>
      </c>
      <c r="BY48" s="36">
        <v>0</v>
      </c>
      <c r="BZ48" s="36">
        <v>1</v>
      </c>
      <c r="CA48" s="36">
        <v>0</v>
      </c>
      <c r="CB48" s="36">
        <v>0</v>
      </c>
      <c r="CC48" s="36">
        <v>0</v>
      </c>
      <c r="CD48" s="36">
        <v>0</v>
      </c>
      <c r="CE48" s="36">
        <v>0</v>
      </c>
      <c r="CF48" s="36">
        <v>0</v>
      </c>
      <c r="CG48" s="36">
        <v>0</v>
      </c>
      <c r="CH48" s="36">
        <v>0</v>
      </c>
      <c r="CI48" s="36">
        <v>0</v>
      </c>
      <c r="CJ48" s="36">
        <v>0</v>
      </c>
      <c r="CK48" s="36">
        <v>0</v>
      </c>
      <c r="CL48" s="36">
        <v>0</v>
      </c>
      <c r="CM48" s="36">
        <v>0</v>
      </c>
      <c r="CN48" s="36">
        <v>0</v>
      </c>
      <c r="CO48" s="36">
        <v>0</v>
      </c>
      <c r="CP48" s="36">
        <v>0</v>
      </c>
      <c r="CQ48" s="36">
        <v>0</v>
      </c>
      <c r="CR48" s="36">
        <v>0</v>
      </c>
      <c r="CS48" s="36">
        <v>0</v>
      </c>
      <c r="CT48" s="36">
        <v>0</v>
      </c>
      <c r="CU48" s="36">
        <v>0</v>
      </c>
      <c r="CV48" s="36">
        <v>0</v>
      </c>
      <c r="CW48" s="36">
        <v>0</v>
      </c>
      <c r="CX48" s="36">
        <v>0</v>
      </c>
      <c r="CY48" s="36">
        <v>0</v>
      </c>
      <c r="CZ48" s="36">
        <v>0</v>
      </c>
      <c r="DA48" s="36">
        <v>0</v>
      </c>
      <c r="DB48" s="36">
        <v>0</v>
      </c>
      <c r="DC48" s="36">
        <v>0</v>
      </c>
      <c r="DD48" s="36">
        <v>0</v>
      </c>
      <c r="DE48" s="36">
        <v>0</v>
      </c>
      <c r="DF48" s="36">
        <v>0</v>
      </c>
      <c r="DG48" s="36">
        <v>0</v>
      </c>
      <c r="DH48" s="36">
        <v>0</v>
      </c>
      <c r="DI48" s="36">
        <v>0</v>
      </c>
      <c r="DJ48" s="36">
        <v>0</v>
      </c>
      <c r="DK48" s="36">
        <v>0</v>
      </c>
      <c r="DL48" s="36">
        <v>0</v>
      </c>
      <c r="DM48" s="36">
        <v>0</v>
      </c>
      <c r="DN48" s="36">
        <v>0</v>
      </c>
      <c r="DO48" s="36">
        <v>0</v>
      </c>
      <c r="DP48" s="36">
        <v>0</v>
      </c>
      <c r="DQ48" s="36">
        <v>0</v>
      </c>
      <c r="DR48" s="36">
        <v>0</v>
      </c>
      <c r="DS48" s="36">
        <v>0</v>
      </c>
      <c r="DT48" s="36">
        <v>0</v>
      </c>
      <c r="DU48" s="36">
        <v>0</v>
      </c>
      <c r="DV48" s="36">
        <v>0</v>
      </c>
      <c r="DW48" s="36">
        <v>0</v>
      </c>
      <c r="DX48" s="36">
        <v>0</v>
      </c>
      <c r="DY48" s="36">
        <v>0</v>
      </c>
      <c r="DZ48" s="36">
        <v>0</v>
      </c>
      <c r="EA48" s="36">
        <v>0</v>
      </c>
      <c r="EB48" s="36">
        <v>0</v>
      </c>
      <c r="EC48" s="36">
        <v>0</v>
      </c>
      <c r="ED48" s="36">
        <v>0</v>
      </c>
      <c r="EE48" s="36">
        <v>0</v>
      </c>
      <c r="EF48" s="36">
        <v>0</v>
      </c>
      <c r="EG48" s="36">
        <v>0</v>
      </c>
      <c r="EH48" s="36">
        <v>0</v>
      </c>
      <c r="EI48" s="36">
        <v>0</v>
      </c>
      <c r="EJ48" s="36">
        <v>-1</v>
      </c>
      <c r="EK48" s="36">
        <v>1</v>
      </c>
      <c r="EL48" s="36">
        <v>-1</v>
      </c>
      <c r="EM48" s="36">
        <v>0</v>
      </c>
      <c r="EN48" s="36">
        <v>0</v>
      </c>
      <c r="EO48" s="36">
        <v>0</v>
      </c>
      <c r="EP48" s="36">
        <v>0</v>
      </c>
      <c r="ET48" t="s">
        <v>258</v>
      </c>
      <c r="EV48" s="45">
        <v>-0.90777999999999981</v>
      </c>
      <c r="EW48" s="45">
        <v>0.99998999999999683</v>
      </c>
      <c r="EX48" s="45">
        <v>2.004649999999998</v>
      </c>
      <c r="EY48" s="45">
        <v>0.23934000000000033</v>
      </c>
      <c r="EZ48" s="45">
        <v>1.2146399999999957</v>
      </c>
      <c r="FA48" s="45">
        <v>8.7429999999999453E-2</v>
      </c>
      <c r="FB48" s="45">
        <v>0</v>
      </c>
      <c r="FC48" s="45">
        <v>4.2022400000000033</v>
      </c>
      <c r="FE48">
        <f>((4*(EW48))+(EX48)+(5*EY48)+(-2*EZ48)+(5*FA48)+(6*FB48)+(-EV48))/EW48</f>
        <v>6.1170211702117143</v>
      </c>
      <c r="FF48">
        <f>((4*(EW48))+(EX48)+(-3*EY48)+(-2*EZ48)+(5*FA48)+(6*FB48)+(-EV48))/EW48</f>
        <v>4.2022820228202313</v>
      </c>
      <c r="FG48">
        <f>((4*(EW48))+(EX48)+(0*EY48)+(-2*EZ48)+(5*FA48)+(6*FB48)+(-EV48))/EW48</f>
        <v>4.9203092030920379</v>
      </c>
      <c r="FM48" s="43">
        <f t="shared" si="5"/>
        <v>0</v>
      </c>
      <c r="FN48" s="43">
        <f t="shared" si="5"/>
        <v>0</v>
      </c>
      <c r="FO48" s="43">
        <f t="shared" si="5"/>
        <v>0</v>
      </c>
      <c r="FP48" s="43">
        <f t="shared" si="5"/>
        <v>0</v>
      </c>
      <c r="FQ48" s="43">
        <f t="shared" si="5"/>
        <v>0</v>
      </c>
      <c r="FR48" s="43">
        <f t="shared" si="5"/>
        <v>0</v>
      </c>
      <c r="FS48" s="43">
        <f t="shared" si="5"/>
        <v>0</v>
      </c>
      <c r="FV48" t="s">
        <v>547</v>
      </c>
      <c r="FW48" t="s">
        <v>548</v>
      </c>
    </row>
    <row r="49" spans="1:179" ht="19.5" customHeight="1" x14ac:dyDescent="0.25">
      <c r="A49" t="s">
        <v>549</v>
      </c>
      <c r="B49" s="36">
        <v>1</v>
      </c>
      <c r="C49" s="36">
        <v>0</v>
      </c>
      <c r="D49" s="36">
        <v>0</v>
      </c>
      <c r="E49" s="36">
        <v>0</v>
      </c>
      <c r="F49" s="36">
        <v>0</v>
      </c>
      <c r="G49" s="36">
        <v>0</v>
      </c>
      <c r="H49" s="36">
        <v>0</v>
      </c>
      <c r="I49" s="36">
        <v>0</v>
      </c>
      <c r="J49" s="36">
        <v>0</v>
      </c>
      <c r="K49" s="36">
        <v>1</v>
      </c>
      <c r="L49" s="36">
        <v>0</v>
      </c>
      <c r="M49" s="36">
        <v>0</v>
      </c>
      <c r="N49" s="36">
        <v>0</v>
      </c>
      <c r="O49" s="36">
        <v>0</v>
      </c>
      <c r="P49" s="36">
        <v>0</v>
      </c>
      <c r="Q49" s="36">
        <v>0</v>
      </c>
      <c r="R49" s="36">
        <v>0</v>
      </c>
      <c r="S49" s="36">
        <v>0</v>
      </c>
      <c r="T49" s="36">
        <v>0</v>
      </c>
      <c r="U49" s="36">
        <v>0</v>
      </c>
      <c r="V49" s="36">
        <v>0</v>
      </c>
      <c r="W49" s="36">
        <v>0</v>
      </c>
      <c r="X49" s="36">
        <v>0</v>
      </c>
      <c r="Y49" s="36">
        <v>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36">
        <v>0</v>
      </c>
      <c r="BL49" s="36">
        <v>0</v>
      </c>
      <c r="BM49" s="36">
        <v>0</v>
      </c>
      <c r="BN49" s="36">
        <v>0</v>
      </c>
      <c r="BO49" s="36">
        <v>0</v>
      </c>
      <c r="BP49" s="36">
        <v>0</v>
      </c>
      <c r="BQ49" s="36">
        <v>0</v>
      </c>
      <c r="BR49" s="36">
        <v>0</v>
      </c>
      <c r="BS49" s="36">
        <v>0</v>
      </c>
      <c r="BT49" s="36">
        <v>0</v>
      </c>
      <c r="BU49" s="36">
        <v>0</v>
      </c>
      <c r="BV49" s="36">
        <v>0</v>
      </c>
      <c r="BW49" s="36">
        <v>0</v>
      </c>
      <c r="BX49" s="36">
        <v>0</v>
      </c>
      <c r="BY49" s="36">
        <v>0</v>
      </c>
      <c r="BZ49" s="36">
        <v>-1</v>
      </c>
      <c r="CA49" s="36">
        <v>0</v>
      </c>
      <c r="CB49" s="36">
        <v>0</v>
      </c>
      <c r="CC49" s="36">
        <v>0</v>
      </c>
      <c r="CD49" s="36">
        <v>0</v>
      </c>
      <c r="CE49" s="36">
        <v>0</v>
      </c>
      <c r="CF49" s="36">
        <v>0</v>
      </c>
      <c r="CG49" s="36">
        <v>0</v>
      </c>
      <c r="CH49" s="36">
        <v>0</v>
      </c>
      <c r="CI49" s="36">
        <v>0</v>
      </c>
      <c r="CJ49" s="36">
        <v>0</v>
      </c>
      <c r="CK49" s="36">
        <v>0</v>
      </c>
      <c r="CL49" s="36">
        <v>0</v>
      </c>
      <c r="CM49" s="36">
        <v>0</v>
      </c>
      <c r="CN49" s="36">
        <v>0</v>
      </c>
      <c r="CO49" s="36">
        <v>0</v>
      </c>
      <c r="CP49" s="36">
        <v>-1</v>
      </c>
      <c r="CQ49" s="36">
        <v>0</v>
      </c>
      <c r="CR49" s="36">
        <v>0</v>
      </c>
      <c r="CS49" s="36">
        <v>0</v>
      </c>
      <c r="CT49" s="36">
        <v>0</v>
      </c>
      <c r="CU49" s="36">
        <v>0</v>
      </c>
      <c r="CV49" s="36">
        <v>0</v>
      </c>
      <c r="CW49" s="36">
        <v>0</v>
      </c>
      <c r="CX49" s="36">
        <v>0</v>
      </c>
      <c r="CY49" s="36">
        <v>0</v>
      </c>
      <c r="CZ49" s="36">
        <v>0</v>
      </c>
      <c r="DA49" s="36">
        <v>0</v>
      </c>
      <c r="DB49" s="36">
        <v>0</v>
      </c>
      <c r="DC49" s="36">
        <v>0</v>
      </c>
      <c r="DD49" s="36">
        <v>0</v>
      </c>
      <c r="DE49" s="36">
        <v>0</v>
      </c>
      <c r="DF49" s="36">
        <v>0</v>
      </c>
      <c r="DG49" s="36">
        <v>0</v>
      </c>
      <c r="DH49" s="36">
        <v>0</v>
      </c>
      <c r="DI49" s="36">
        <v>0</v>
      </c>
      <c r="DJ49" s="36">
        <v>0</v>
      </c>
      <c r="DK49" s="36">
        <v>0</v>
      </c>
      <c r="DL49" s="36">
        <v>0</v>
      </c>
      <c r="DM49" s="36">
        <v>0</v>
      </c>
      <c r="DN49" s="36">
        <v>0</v>
      </c>
      <c r="DO49" s="36">
        <v>0</v>
      </c>
      <c r="DP49" s="36">
        <v>0</v>
      </c>
      <c r="DQ49" s="36">
        <v>0</v>
      </c>
      <c r="DR49" s="36">
        <v>0</v>
      </c>
      <c r="DS49" s="36">
        <v>0</v>
      </c>
      <c r="DT49" s="36">
        <v>0</v>
      </c>
      <c r="DU49" s="36">
        <v>0</v>
      </c>
      <c r="DV49" s="36">
        <v>0</v>
      </c>
      <c r="DW49" s="36">
        <v>0</v>
      </c>
      <c r="DX49" s="36">
        <v>0</v>
      </c>
      <c r="DY49" s="36">
        <v>0</v>
      </c>
      <c r="DZ49" s="36">
        <v>0</v>
      </c>
      <c r="EA49" s="36">
        <v>0</v>
      </c>
      <c r="EB49" s="36">
        <v>0</v>
      </c>
      <c r="EC49" s="36">
        <v>0</v>
      </c>
      <c r="ED49" s="36">
        <v>0</v>
      </c>
      <c r="EE49" s="36">
        <v>0</v>
      </c>
      <c r="EF49" s="36">
        <v>0</v>
      </c>
      <c r="EG49" s="36">
        <v>0</v>
      </c>
      <c r="EH49" s="36">
        <v>0</v>
      </c>
      <c r="EI49" s="36">
        <v>0</v>
      </c>
      <c r="EJ49" s="36">
        <v>0</v>
      </c>
      <c r="EK49" s="36">
        <v>0</v>
      </c>
      <c r="EL49" s="36">
        <v>0</v>
      </c>
      <c r="EM49" s="36">
        <v>0</v>
      </c>
      <c r="EN49" s="36">
        <v>0</v>
      </c>
      <c r="EO49" s="36">
        <v>0</v>
      </c>
      <c r="EP49" s="36">
        <v>0</v>
      </c>
      <c r="ET49" t="s">
        <v>259</v>
      </c>
      <c r="EU49" s="44" t="s">
        <v>550</v>
      </c>
      <c r="EV49" s="36">
        <v>-3</v>
      </c>
      <c r="EW49" s="36">
        <v>6</v>
      </c>
      <c r="EX49" s="36">
        <v>5</v>
      </c>
      <c r="EY49" s="36">
        <v>0</v>
      </c>
      <c r="EZ49" s="36">
        <v>7</v>
      </c>
      <c r="FA49" s="36">
        <v>0</v>
      </c>
      <c r="FB49" s="36">
        <v>0</v>
      </c>
      <c r="FC49" s="42">
        <f>(4*EW49)+(EX49)+(-3*EY49)+(-2*EZ49)+(5*FA49)+(-2*FB49)+(-1*EV49)</f>
        <v>18</v>
      </c>
      <c r="FE49">
        <f>((4*(EW49))+(EX49)+(5*EY49)+(-2*EZ49)+(5*FA49)+(6*FB49)+(-EV49))/EW49</f>
        <v>3</v>
      </c>
      <c r="FF49">
        <f>((4*(EW49))+(EX49)+(-3*EY49)+(-2*EZ49)+(5*FA49)+(6*FB49)+(-EV49))/EW49</f>
        <v>3</v>
      </c>
      <c r="FG49">
        <f>((4*(EW49))+(EX49)+(0*EY49)+(-2*EZ49)+(5*FA49)+(6*FB49)+(-EV49))/EW49</f>
        <v>3</v>
      </c>
      <c r="FM49" s="43">
        <f t="shared" si="5"/>
        <v>0</v>
      </c>
      <c r="FN49" s="43">
        <f t="shared" si="5"/>
        <v>0</v>
      </c>
      <c r="FO49" s="43">
        <f t="shared" si="5"/>
        <v>0</v>
      </c>
      <c r="FP49" s="43">
        <f t="shared" si="5"/>
        <v>0</v>
      </c>
      <c r="FQ49" s="43">
        <f t="shared" si="5"/>
        <v>0</v>
      </c>
      <c r="FR49" s="43">
        <f t="shared" si="5"/>
        <v>0</v>
      </c>
      <c r="FS49" s="43">
        <f t="shared" si="5"/>
        <v>0</v>
      </c>
      <c r="FV49" t="s">
        <v>551</v>
      </c>
      <c r="FW49" t="s">
        <v>552</v>
      </c>
    </row>
    <row r="50" spans="1:179" ht="19.5" customHeight="1" x14ac:dyDescent="0.35">
      <c r="A50" t="s">
        <v>553</v>
      </c>
      <c r="B50" s="36">
        <v>0</v>
      </c>
      <c r="C50" s="36">
        <v>0</v>
      </c>
      <c r="D50" s="36">
        <v>0</v>
      </c>
      <c r="E50" s="36">
        <v>0</v>
      </c>
      <c r="F50" s="36">
        <v>0</v>
      </c>
      <c r="G50" s="36">
        <v>0</v>
      </c>
      <c r="H50" s="36">
        <v>0</v>
      </c>
      <c r="I50" s="36">
        <v>0</v>
      </c>
      <c r="J50" s="36">
        <v>0</v>
      </c>
      <c r="K50" s="36">
        <v>-1</v>
      </c>
      <c r="L50" s="36">
        <v>0</v>
      </c>
      <c r="M50" s="36">
        <v>0</v>
      </c>
      <c r="N50" s="36">
        <v>0</v>
      </c>
      <c r="O50" s="36">
        <v>0</v>
      </c>
      <c r="P50" s="36">
        <v>0</v>
      </c>
      <c r="Q50" s="36">
        <v>0</v>
      </c>
      <c r="R50" s="36">
        <v>0</v>
      </c>
      <c r="S50" s="36">
        <v>0</v>
      </c>
      <c r="T50" s="36">
        <v>0</v>
      </c>
      <c r="U50" s="36">
        <v>0</v>
      </c>
      <c r="V50" s="36">
        <v>0</v>
      </c>
      <c r="W50" s="36">
        <v>0</v>
      </c>
      <c r="X50" s="36">
        <v>0</v>
      </c>
      <c r="Y50" s="36">
        <v>0</v>
      </c>
      <c r="Z50" s="36">
        <v>0</v>
      </c>
      <c r="AA50" s="36">
        <v>0</v>
      </c>
      <c r="AB50" s="36">
        <v>0</v>
      </c>
      <c r="AC50" s="36">
        <v>0</v>
      </c>
      <c r="AD50" s="36">
        <v>0</v>
      </c>
      <c r="AE50" s="36">
        <v>0</v>
      </c>
      <c r="AF50" s="36">
        <v>0</v>
      </c>
      <c r="AG50" s="36">
        <v>0</v>
      </c>
      <c r="AH50" s="36">
        <v>0</v>
      </c>
      <c r="AI50" s="36">
        <v>0</v>
      </c>
      <c r="AJ50" s="36">
        <v>0</v>
      </c>
      <c r="AK50" s="36">
        <v>0</v>
      </c>
      <c r="AL50" s="36">
        <v>0</v>
      </c>
      <c r="AM50" s="36">
        <v>0</v>
      </c>
      <c r="AN50" s="36">
        <v>0</v>
      </c>
      <c r="AO50" s="36">
        <v>0</v>
      </c>
      <c r="AP50" s="36">
        <v>0</v>
      </c>
      <c r="AQ50" s="36">
        <v>0</v>
      </c>
      <c r="AR50" s="36">
        <v>0</v>
      </c>
      <c r="AS50" s="36">
        <v>0</v>
      </c>
      <c r="AT50" s="36">
        <v>0</v>
      </c>
      <c r="AU50" s="36">
        <v>0</v>
      </c>
      <c r="AV50" s="36">
        <v>0</v>
      </c>
      <c r="AW50" s="36">
        <v>0</v>
      </c>
      <c r="AX50" s="36">
        <v>0</v>
      </c>
      <c r="AY50" s="36">
        <v>1</v>
      </c>
      <c r="AZ50" s="36">
        <v>0</v>
      </c>
      <c r="BA50" s="36">
        <v>0</v>
      </c>
      <c r="BB50" s="36">
        <v>0</v>
      </c>
      <c r="BC50" s="36">
        <v>0</v>
      </c>
      <c r="BD50" s="36">
        <v>0</v>
      </c>
      <c r="BE50" s="36">
        <v>0</v>
      </c>
      <c r="BF50" s="36">
        <v>0</v>
      </c>
      <c r="BG50" s="36">
        <v>0</v>
      </c>
      <c r="BH50" s="36">
        <v>0</v>
      </c>
      <c r="BI50" s="36">
        <v>0</v>
      </c>
      <c r="BJ50" s="36">
        <v>0</v>
      </c>
      <c r="BK50" s="36">
        <v>0</v>
      </c>
      <c r="BL50" s="36">
        <v>0</v>
      </c>
      <c r="BM50" s="36">
        <v>0</v>
      </c>
      <c r="BN50" s="36">
        <v>0</v>
      </c>
      <c r="BO50" s="36">
        <v>0</v>
      </c>
      <c r="BP50" s="36">
        <v>0</v>
      </c>
      <c r="BQ50" s="36">
        <v>0</v>
      </c>
      <c r="BR50" s="36">
        <v>0</v>
      </c>
      <c r="BS50" s="36">
        <v>0</v>
      </c>
      <c r="BT50" s="36">
        <v>0</v>
      </c>
      <c r="BU50" s="36">
        <v>0</v>
      </c>
      <c r="BV50" s="36">
        <v>0</v>
      </c>
      <c r="BW50" s="36">
        <v>0</v>
      </c>
      <c r="BX50" s="36">
        <v>0</v>
      </c>
      <c r="BY50" s="36">
        <v>0</v>
      </c>
      <c r="BZ50" s="36">
        <v>0</v>
      </c>
      <c r="CA50" s="36">
        <v>0</v>
      </c>
      <c r="CB50" s="36">
        <v>0</v>
      </c>
      <c r="CC50" s="36">
        <v>0</v>
      </c>
      <c r="CD50" s="36">
        <v>0</v>
      </c>
      <c r="CE50" s="36">
        <v>0</v>
      </c>
      <c r="CF50" s="36">
        <v>0</v>
      </c>
      <c r="CG50" s="36">
        <v>0</v>
      </c>
      <c r="CH50" s="36">
        <v>0</v>
      </c>
      <c r="CI50" s="36">
        <v>0</v>
      </c>
      <c r="CJ50" s="36">
        <v>0</v>
      </c>
      <c r="CK50" s="36">
        <v>0</v>
      </c>
      <c r="CL50" s="36">
        <v>0</v>
      </c>
      <c r="CM50" s="36">
        <v>0</v>
      </c>
      <c r="CN50" s="36">
        <v>0</v>
      </c>
      <c r="CO50" s="36">
        <v>0</v>
      </c>
      <c r="CP50" s="36">
        <v>0</v>
      </c>
      <c r="CQ50" s="36">
        <v>0</v>
      </c>
      <c r="CR50" s="36">
        <v>0</v>
      </c>
      <c r="CS50" s="36">
        <v>0</v>
      </c>
      <c r="CT50" s="36">
        <v>0</v>
      </c>
      <c r="CU50" s="36">
        <v>0</v>
      </c>
      <c r="CV50" s="36">
        <v>0</v>
      </c>
      <c r="CW50" s="36">
        <v>0</v>
      </c>
      <c r="CX50" s="36">
        <v>0</v>
      </c>
      <c r="CY50" s="36">
        <v>0</v>
      </c>
      <c r="CZ50" s="36">
        <v>0</v>
      </c>
      <c r="DA50" s="36">
        <v>0</v>
      </c>
      <c r="DB50" s="36">
        <v>0</v>
      </c>
      <c r="DC50" s="36">
        <v>0</v>
      </c>
      <c r="DD50" s="36">
        <v>0</v>
      </c>
      <c r="DE50" s="36">
        <v>0</v>
      </c>
      <c r="DF50" s="36">
        <v>0</v>
      </c>
      <c r="DG50" s="36">
        <v>0</v>
      </c>
      <c r="DH50" s="36">
        <v>0</v>
      </c>
      <c r="DI50" s="36">
        <v>0</v>
      </c>
      <c r="DJ50" s="36">
        <v>0</v>
      </c>
      <c r="DK50" s="36">
        <v>0</v>
      </c>
      <c r="DL50" s="36">
        <v>0</v>
      </c>
      <c r="DM50" s="36">
        <v>-1</v>
      </c>
      <c r="DN50" s="36">
        <v>1</v>
      </c>
      <c r="DO50" s="36">
        <v>0</v>
      </c>
      <c r="DP50" s="36">
        <v>0</v>
      </c>
      <c r="DQ50" s="36">
        <v>0</v>
      </c>
      <c r="DR50" s="36">
        <v>0</v>
      </c>
      <c r="DS50" s="36">
        <v>0</v>
      </c>
      <c r="DT50" s="36">
        <v>0</v>
      </c>
      <c r="DU50" s="36">
        <v>0</v>
      </c>
      <c r="DV50" s="36">
        <v>0</v>
      </c>
      <c r="DW50" s="36">
        <v>0</v>
      </c>
      <c r="DX50" s="36">
        <v>0</v>
      </c>
      <c r="DY50" s="36">
        <v>0</v>
      </c>
      <c r="DZ50" s="36">
        <v>0</v>
      </c>
      <c r="EA50" s="36">
        <v>0</v>
      </c>
      <c r="EB50" s="36">
        <v>0</v>
      </c>
      <c r="EC50" s="36">
        <v>0</v>
      </c>
      <c r="ED50" s="36">
        <v>0</v>
      </c>
      <c r="EE50" s="36">
        <v>0</v>
      </c>
      <c r="EF50" s="36">
        <v>0</v>
      </c>
      <c r="EG50" s="36">
        <v>0</v>
      </c>
      <c r="EH50" s="36">
        <v>1</v>
      </c>
      <c r="EI50" s="36">
        <v>0</v>
      </c>
      <c r="EJ50" s="36">
        <v>0</v>
      </c>
      <c r="EK50" s="36">
        <v>0</v>
      </c>
      <c r="EL50" s="36">
        <v>0</v>
      </c>
      <c r="EM50" s="36">
        <v>0</v>
      </c>
      <c r="EN50" s="36">
        <v>0</v>
      </c>
      <c r="EO50" s="36">
        <v>0</v>
      </c>
      <c r="EP50" s="36">
        <v>0</v>
      </c>
      <c r="ET50" t="s">
        <v>554</v>
      </c>
      <c r="EU50" t="s">
        <v>555</v>
      </c>
      <c r="EV50" s="36">
        <v>0</v>
      </c>
      <c r="EW50" s="36">
        <v>1</v>
      </c>
      <c r="EX50" s="36">
        <v>0</v>
      </c>
      <c r="EY50" s="36">
        <v>0</v>
      </c>
      <c r="EZ50" s="36">
        <v>2</v>
      </c>
      <c r="FA50" s="36">
        <v>0</v>
      </c>
      <c r="FB50" s="36">
        <v>0</v>
      </c>
      <c r="FC50" s="42">
        <f>(4*EW50)+(EX50)+(-3*EY50)+(-2*EZ50)+(5*FA50)+(-2*FB50)+(-1*EV50)</f>
        <v>0</v>
      </c>
      <c r="FE50">
        <f>((4*(EW50))+(EX50)+(5*EY50)+(-2*EZ50)+(5*FA50)+(6*FB50)+(-EV50))/EW50</f>
        <v>0</v>
      </c>
      <c r="FF50">
        <f>((4*(EW50))+(EX50)+(-3*EY50)+(-2*EZ50)+(5*FA50)+(6*FB50)+(-EV50))/EW50</f>
        <v>0</v>
      </c>
      <c r="FG50">
        <f>((4*(EW50))+(EX50)+(0*EY50)+(-2*EZ50)+(5*FA50)+(6*FB50)+(-EV50))/EW50</f>
        <v>0</v>
      </c>
      <c r="FM50" s="43">
        <f t="shared" si="5"/>
        <v>0</v>
      </c>
      <c r="FN50" s="43">
        <f t="shared" si="5"/>
        <v>0</v>
      </c>
      <c r="FO50" s="43">
        <f t="shared" si="5"/>
        <v>0</v>
      </c>
      <c r="FP50" s="43">
        <f t="shared" si="5"/>
        <v>0</v>
      </c>
      <c r="FQ50" s="43">
        <f t="shared" si="5"/>
        <v>0</v>
      </c>
      <c r="FR50" s="43">
        <f t="shared" si="5"/>
        <v>0</v>
      </c>
      <c r="FS50" s="43">
        <f t="shared" si="5"/>
        <v>0</v>
      </c>
      <c r="FV50" t="s">
        <v>556</v>
      </c>
      <c r="FW50" t="s">
        <v>557</v>
      </c>
    </row>
    <row r="51" spans="1:179" ht="19.5" customHeight="1" x14ac:dyDescent="0.25">
      <c r="A51" t="s">
        <v>558</v>
      </c>
      <c r="B51" s="36">
        <v>0</v>
      </c>
      <c r="C51" s="36">
        <v>0</v>
      </c>
      <c r="D51" s="36">
        <v>0</v>
      </c>
      <c r="E51" s="36">
        <v>0</v>
      </c>
      <c r="F51" s="36">
        <v>0</v>
      </c>
      <c r="G51" s="36">
        <v>0</v>
      </c>
      <c r="H51" s="36">
        <v>0</v>
      </c>
      <c r="I51" s="36">
        <v>0</v>
      </c>
      <c r="J51" s="36">
        <v>0</v>
      </c>
      <c r="K51" s="36">
        <v>-1</v>
      </c>
      <c r="L51" s="36">
        <v>0</v>
      </c>
      <c r="M51" s="36">
        <v>0</v>
      </c>
      <c r="N51" s="36">
        <v>0</v>
      </c>
      <c r="O51" s="36">
        <v>0</v>
      </c>
      <c r="P51" s="36">
        <v>0</v>
      </c>
      <c r="Q51" s="36">
        <v>0</v>
      </c>
      <c r="R51" s="36">
        <v>0</v>
      </c>
      <c r="S51" s="36">
        <v>0</v>
      </c>
      <c r="T51" s="36">
        <v>0</v>
      </c>
      <c r="U51" s="36">
        <v>0</v>
      </c>
      <c r="V51" s="36">
        <v>0</v>
      </c>
      <c r="W51" s="36">
        <v>0</v>
      </c>
      <c r="X51" s="36">
        <v>0</v>
      </c>
      <c r="Y51" s="36">
        <v>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0</v>
      </c>
      <c r="AS51" s="36">
        <v>0</v>
      </c>
      <c r="AT51" s="36">
        <v>0</v>
      </c>
      <c r="AU51" s="36">
        <v>0</v>
      </c>
      <c r="AV51" s="36">
        <v>0</v>
      </c>
      <c r="AW51" s="36">
        <v>0</v>
      </c>
      <c r="AX51" s="36">
        <v>0</v>
      </c>
      <c r="AY51" s="36">
        <v>1</v>
      </c>
      <c r="AZ51" s="36">
        <v>0</v>
      </c>
      <c r="BA51" s="36">
        <v>0</v>
      </c>
      <c r="BB51" s="36">
        <v>0</v>
      </c>
      <c r="BC51" s="36">
        <v>0</v>
      </c>
      <c r="BD51" s="36">
        <v>0</v>
      </c>
      <c r="BE51" s="36">
        <v>0</v>
      </c>
      <c r="BF51" s="36">
        <v>0</v>
      </c>
      <c r="BG51" s="36">
        <v>0</v>
      </c>
      <c r="BH51" s="36">
        <v>0</v>
      </c>
      <c r="BI51" s="36">
        <v>0</v>
      </c>
      <c r="BJ51" s="36">
        <v>0</v>
      </c>
      <c r="BK51" s="36">
        <v>0</v>
      </c>
      <c r="BL51" s="36">
        <v>0</v>
      </c>
      <c r="BM51" s="36">
        <v>0</v>
      </c>
      <c r="BN51" s="36">
        <v>0</v>
      </c>
      <c r="BO51" s="36">
        <v>0</v>
      </c>
      <c r="BP51" s="36">
        <v>0</v>
      </c>
      <c r="BQ51" s="36">
        <v>0</v>
      </c>
      <c r="BR51" s="36">
        <v>0</v>
      </c>
      <c r="BS51" s="36">
        <v>0</v>
      </c>
      <c r="BT51" s="36">
        <v>0</v>
      </c>
      <c r="BU51" s="36">
        <v>0</v>
      </c>
      <c r="BV51" s="36">
        <v>0</v>
      </c>
      <c r="BW51" s="36">
        <v>0</v>
      </c>
      <c r="BX51" s="36">
        <v>0</v>
      </c>
      <c r="BY51" s="36">
        <v>0</v>
      </c>
      <c r="BZ51" s="36">
        <v>0</v>
      </c>
      <c r="CA51" s="36">
        <v>0</v>
      </c>
      <c r="CB51" s="36">
        <v>0</v>
      </c>
      <c r="CC51" s="36">
        <v>0</v>
      </c>
      <c r="CD51" s="36">
        <v>0</v>
      </c>
      <c r="CE51" s="36">
        <v>0</v>
      </c>
      <c r="CF51" s="36">
        <v>0</v>
      </c>
      <c r="CG51" s="36">
        <v>0</v>
      </c>
      <c r="CH51" s="36">
        <v>0</v>
      </c>
      <c r="CI51" s="36">
        <v>0</v>
      </c>
      <c r="CJ51" s="36">
        <v>0</v>
      </c>
      <c r="CK51" s="36">
        <v>0</v>
      </c>
      <c r="CL51" s="36">
        <v>0</v>
      </c>
      <c r="CM51" s="36">
        <v>0</v>
      </c>
      <c r="CN51" s="36">
        <v>0</v>
      </c>
      <c r="CO51" s="36">
        <v>0</v>
      </c>
      <c r="CP51" s="36">
        <v>0</v>
      </c>
      <c r="CQ51" s="36">
        <v>0</v>
      </c>
      <c r="CR51" s="36">
        <v>0</v>
      </c>
      <c r="CS51" s="36">
        <v>0</v>
      </c>
      <c r="CT51" s="36">
        <v>0</v>
      </c>
      <c r="CU51" s="36">
        <v>0</v>
      </c>
      <c r="CV51" s="36">
        <v>0</v>
      </c>
      <c r="CW51" s="36">
        <v>0</v>
      </c>
      <c r="CX51" s="36">
        <v>0</v>
      </c>
      <c r="CY51" s="36">
        <v>0</v>
      </c>
      <c r="CZ51" s="36">
        <v>0</v>
      </c>
      <c r="DA51" s="36">
        <v>0</v>
      </c>
      <c r="DB51" s="36">
        <v>0</v>
      </c>
      <c r="DC51" s="36">
        <v>0</v>
      </c>
      <c r="DD51" s="36">
        <v>0</v>
      </c>
      <c r="DE51" s="36">
        <v>0</v>
      </c>
      <c r="DF51" s="36">
        <v>0</v>
      </c>
      <c r="DG51" s="36">
        <v>0</v>
      </c>
      <c r="DH51" s="36">
        <v>0</v>
      </c>
      <c r="DI51" s="36">
        <v>0</v>
      </c>
      <c r="DJ51" s="36">
        <v>0</v>
      </c>
      <c r="DK51" s="36">
        <v>-1</v>
      </c>
      <c r="DL51" s="36">
        <v>1</v>
      </c>
      <c r="DM51" s="36">
        <v>0</v>
      </c>
      <c r="DN51" s="36">
        <v>0</v>
      </c>
      <c r="DO51" s="36">
        <v>0</v>
      </c>
      <c r="DP51" s="36">
        <v>0</v>
      </c>
      <c r="DQ51" s="36">
        <v>0</v>
      </c>
      <c r="DR51" s="36">
        <v>0</v>
      </c>
      <c r="DS51" s="36">
        <v>0</v>
      </c>
      <c r="DT51" s="36">
        <v>0</v>
      </c>
      <c r="DU51" s="36">
        <v>0</v>
      </c>
      <c r="DV51" s="36">
        <v>0</v>
      </c>
      <c r="DW51" s="36">
        <v>0</v>
      </c>
      <c r="DX51" s="36">
        <v>0</v>
      </c>
      <c r="DY51" s="36">
        <v>0</v>
      </c>
      <c r="DZ51" s="36">
        <v>0</v>
      </c>
      <c r="EA51" s="36">
        <v>0</v>
      </c>
      <c r="EB51" s="36">
        <v>0</v>
      </c>
      <c r="EC51" s="36">
        <v>0</v>
      </c>
      <c r="ED51" s="36">
        <v>0</v>
      </c>
      <c r="EE51" s="36">
        <v>0</v>
      </c>
      <c r="EF51" s="36">
        <v>0</v>
      </c>
      <c r="EG51" s="36">
        <v>0</v>
      </c>
      <c r="EH51" s="36">
        <v>1</v>
      </c>
      <c r="EI51" s="36">
        <v>0</v>
      </c>
      <c r="EJ51" s="36">
        <v>0</v>
      </c>
      <c r="EK51" s="36">
        <v>0</v>
      </c>
      <c r="EL51" s="36">
        <v>0</v>
      </c>
      <c r="EM51" s="36">
        <v>0</v>
      </c>
      <c r="EN51" s="36">
        <v>0</v>
      </c>
      <c r="EO51" s="36">
        <v>0</v>
      </c>
      <c r="EP51" s="36">
        <v>0</v>
      </c>
      <c r="ET51" t="s">
        <v>260</v>
      </c>
      <c r="EU51" t="s">
        <v>530</v>
      </c>
      <c r="EV51" s="36">
        <v>0</v>
      </c>
      <c r="EW51" s="36">
        <v>0</v>
      </c>
      <c r="EX51" s="36">
        <v>0</v>
      </c>
      <c r="EY51" s="36">
        <v>0</v>
      </c>
      <c r="EZ51" s="36">
        <v>0</v>
      </c>
      <c r="FA51" s="36">
        <v>0</v>
      </c>
      <c r="FB51" s="36">
        <v>0</v>
      </c>
      <c r="FC51" s="36">
        <v>0</v>
      </c>
      <c r="FE51">
        <v>0</v>
      </c>
      <c r="FF51">
        <v>0</v>
      </c>
      <c r="FG51">
        <v>0</v>
      </c>
      <c r="FM51" s="43">
        <f t="shared" si="5"/>
        <v>0</v>
      </c>
      <c r="FN51" s="43">
        <f t="shared" si="5"/>
        <v>0</v>
      </c>
      <c r="FO51" s="43">
        <f t="shared" si="5"/>
        <v>0</v>
      </c>
      <c r="FP51" s="43">
        <f t="shared" si="5"/>
        <v>0</v>
      </c>
      <c r="FQ51" s="43">
        <f t="shared" si="5"/>
        <v>0</v>
      </c>
      <c r="FR51" s="43">
        <f t="shared" si="5"/>
        <v>0</v>
      </c>
      <c r="FS51" s="43">
        <f t="shared" si="5"/>
        <v>0</v>
      </c>
      <c r="FV51" t="s">
        <v>559</v>
      </c>
      <c r="FW51" t="s">
        <v>560</v>
      </c>
    </row>
    <row r="52" spans="1:179" ht="19.5" customHeight="1" x14ac:dyDescent="0.25">
      <c r="A52" t="s">
        <v>561</v>
      </c>
      <c r="B52" s="36">
        <v>0</v>
      </c>
      <c r="C52" s="36">
        <v>0</v>
      </c>
      <c r="D52" s="36">
        <v>0</v>
      </c>
      <c r="E52" s="36">
        <v>0</v>
      </c>
      <c r="F52" s="36">
        <v>0</v>
      </c>
      <c r="G52" s="36">
        <v>0</v>
      </c>
      <c r="H52" s="36">
        <v>0</v>
      </c>
      <c r="I52" s="36">
        <v>0</v>
      </c>
      <c r="J52" s="36">
        <v>0</v>
      </c>
      <c r="K52" s="36">
        <v>0</v>
      </c>
      <c r="L52" s="36">
        <v>0</v>
      </c>
      <c r="M52" s="36">
        <v>0</v>
      </c>
      <c r="N52" s="36">
        <v>0</v>
      </c>
      <c r="O52" s="36">
        <v>0</v>
      </c>
      <c r="P52" s="36">
        <v>0</v>
      </c>
      <c r="Q52" s="36">
        <v>0</v>
      </c>
      <c r="R52" s="36">
        <v>0</v>
      </c>
      <c r="S52" s="36">
        <v>0</v>
      </c>
      <c r="T52" s="36">
        <v>0</v>
      </c>
      <c r="U52" s="36">
        <v>0</v>
      </c>
      <c r="V52" s="36">
        <v>0</v>
      </c>
      <c r="W52" s="36">
        <v>0</v>
      </c>
      <c r="X52" s="36">
        <v>0</v>
      </c>
      <c r="Y52" s="36">
        <v>0</v>
      </c>
      <c r="Z52" s="36">
        <v>0</v>
      </c>
      <c r="AA52" s="36">
        <v>0</v>
      </c>
      <c r="AB52" s="36">
        <v>0</v>
      </c>
      <c r="AC52" s="36">
        <v>0</v>
      </c>
      <c r="AD52" s="36">
        <v>0</v>
      </c>
      <c r="AE52" s="36">
        <v>0</v>
      </c>
      <c r="AF52" s="36">
        <v>0</v>
      </c>
      <c r="AG52" s="36">
        <v>0</v>
      </c>
      <c r="AH52" s="36">
        <v>0</v>
      </c>
      <c r="AI52" s="36">
        <v>0</v>
      </c>
      <c r="AJ52" s="36">
        <v>0</v>
      </c>
      <c r="AK52" s="36">
        <v>0</v>
      </c>
      <c r="AL52" s="36">
        <v>1</v>
      </c>
      <c r="AM52" s="36">
        <v>0</v>
      </c>
      <c r="AN52" s="36">
        <v>0</v>
      </c>
      <c r="AO52" s="36">
        <v>0</v>
      </c>
      <c r="AP52" s="36">
        <v>0</v>
      </c>
      <c r="AQ52" s="36">
        <v>0</v>
      </c>
      <c r="AR52" s="36">
        <v>-1</v>
      </c>
      <c r="AS52" s="36">
        <v>0</v>
      </c>
      <c r="AT52" s="36">
        <v>0</v>
      </c>
      <c r="AU52" s="36">
        <v>0</v>
      </c>
      <c r="AV52" s="36">
        <v>0</v>
      </c>
      <c r="AW52" s="36">
        <v>0</v>
      </c>
      <c r="AX52" s="36">
        <v>0</v>
      </c>
      <c r="AY52" s="36">
        <v>0</v>
      </c>
      <c r="AZ52" s="36">
        <v>0</v>
      </c>
      <c r="BA52" s="36">
        <v>0</v>
      </c>
      <c r="BB52" s="36">
        <v>0</v>
      </c>
      <c r="BC52" s="36">
        <v>0</v>
      </c>
      <c r="BD52" s="36">
        <v>0</v>
      </c>
      <c r="BE52" s="36">
        <v>0</v>
      </c>
      <c r="BF52" s="36">
        <v>0</v>
      </c>
      <c r="BG52" s="36">
        <v>0</v>
      </c>
      <c r="BH52" s="36">
        <v>0</v>
      </c>
      <c r="BI52" s="36">
        <v>0</v>
      </c>
      <c r="BJ52" s="36">
        <v>0</v>
      </c>
      <c r="BK52" s="36">
        <v>0</v>
      </c>
      <c r="BL52" s="36">
        <v>0</v>
      </c>
      <c r="BM52" s="36">
        <v>0</v>
      </c>
      <c r="BN52" s="36">
        <v>0</v>
      </c>
      <c r="BO52" s="36">
        <v>0</v>
      </c>
      <c r="BP52" s="36">
        <v>0</v>
      </c>
      <c r="BQ52" s="36">
        <v>0</v>
      </c>
      <c r="BR52" s="36">
        <v>0</v>
      </c>
      <c r="BS52" s="36">
        <v>0</v>
      </c>
      <c r="BT52" s="36">
        <v>0</v>
      </c>
      <c r="BU52" s="36">
        <v>0</v>
      </c>
      <c r="BV52" s="36">
        <v>0</v>
      </c>
      <c r="BW52" s="36">
        <v>0</v>
      </c>
      <c r="BX52" s="36">
        <v>0</v>
      </c>
      <c r="BY52" s="36">
        <v>0</v>
      </c>
      <c r="BZ52" s="36">
        <v>0</v>
      </c>
      <c r="CA52" s="36">
        <v>0</v>
      </c>
      <c r="CB52" s="36">
        <v>0</v>
      </c>
      <c r="CC52" s="36">
        <v>0</v>
      </c>
      <c r="CD52" s="36">
        <v>0</v>
      </c>
      <c r="CE52" s="36">
        <v>0</v>
      </c>
      <c r="CF52" s="36">
        <v>0</v>
      </c>
      <c r="CG52" s="36">
        <v>0</v>
      </c>
      <c r="CH52" s="36">
        <v>0</v>
      </c>
      <c r="CI52" s="36">
        <v>0</v>
      </c>
      <c r="CJ52" s="36">
        <v>0</v>
      </c>
      <c r="CK52" s="36">
        <v>0</v>
      </c>
      <c r="CL52" s="36">
        <v>1</v>
      </c>
      <c r="CM52" s="36">
        <v>0</v>
      </c>
      <c r="CN52" s="36">
        <v>0</v>
      </c>
      <c r="CO52" s="36">
        <v>0</v>
      </c>
      <c r="CP52" s="36">
        <v>0</v>
      </c>
      <c r="CQ52" s="36">
        <v>0</v>
      </c>
      <c r="CR52" s="36">
        <v>0</v>
      </c>
      <c r="CS52" s="36">
        <v>0</v>
      </c>
      <c r="CT52" s="36">
        <v>0</v>
      </c>
      <c r="CU52" s="36">
        <v>-1</v>
      </c>
      <c r="CV52" s="36">
        <v>0</v>
      </c>
      <c r="CW52" s="36">
        <v>0</v>
      </c>
      <c r="CX52" s="36">
        <v>0</v>
      </c>
      <c r="CY52" s="36">
        <v>0</v>
      </c>
      <c r="CZ52" s="36">
        <v>0</v>
      </c>
      <c r="DA52" s="36">
        <v>0</v>
      </c>
      <c r="DB52" s="36">
        <v>0</v>
      </c>
      <c r="DC52" s="36">
        <v>0</v>
      </c>
      <c r="DD52" s="36">
        <v>0</v>
      </c>
      <c r="DE52" s="36">
        <v>0</v>
      </c>
      <c r="DF52" s="36">
        <v>0</v>
      </c>
      <c r="DG52" s="36">
        <v>0</v>
      </c>
      <c r="DH52" s="36">
        <v>0</v>
      </c>
      <c r="DI52" s="36">
        <v>0</v>
      </c>
      <c r="DJ52" s="36">
        <v>0</v>
      </c>
      <c r="DK52" s="36">
        <v>0</v>
      </c>
      <c r="DL52" s="36">
        <v>0</v>
      </c>
      <c r="DM52" s="36">
        <v>0</v>
      </c>
      <c r="DN52" s="36">
        <v>0</v>
      </c>
      <c r="DO52" s="36">
        <v>0</v>
      </c>
      <c r="DP52" s="36">
        <v>0</v>
      </c>
      <c r="DQ52" s="36">
        <v>0</v>
      </c>
      <c r="DR52" s="36">
        <v>0</v>
      </c>
      <c r="DS52" s="36">
        <v>0</v>
      </c>
      <c r="DT52" s="36">
        <v>0</v>
      </c>
      <c r="DU52" s="36">
        <v>0</v>
      </c>
      <c r="DV52" s="36">
        <v>0</v>
      </c>
      <c r="DW52" s="36">
        <v>1</v>
      </c>
      <c r="DX52" s="36">
        <v>1</v>
      </c>
      <c r="DY52" s="36">
        <v>0</v>
      </c>
      <c r="DZ52" s="36">
        <v>0</v>
      </c>
      <c r="EA52" s="36">
        <v>0</v>
      </c>
      <c r="EB52" s="36">
        <v>0</v>
      </c>
      <c r="EC52" s="36">
        <v>0</v>
      </c>
      <c r="ED52" s="36">
        <v>0</v>
      </c>
      <c r="EE52" s="36">
        <v>0</v>
      </c>
      <c r="EF52" s="36">
        <v>0</v>
      </c>
      <c r="EG52" s="36">
        <v>0</v>
      </c>
      <c r="EH52" s="36">
        <v>-1</v>
      </c>
      <c r="EI52" s="36">
        <v>0</v>
      </c>
      <c r="EJ52" s="36">
        <v>0</v>
      </c>
      <c r="EK52" s="36">
        <v>0</v>
      </c>
      <c r="EL52" s="36">
        <v>0</v>
      </c>
      <c r="EM52" s="36">
        <v>0</v>
      </c>
      <c r="EN52" s="36">
        <v>0</v>
      </c>
      <c r="EO52" s="36">
        <v>0</v>
      </c>
      <c r="EP52" s="36">
        <v>0</v>
      </c>
      <c r="ET52" t="s">
        <v>261</v>
      </c>
      <c r="EU52" t="s">
        <v>530</v>
      </c>
      <c r="EV52" s="36">
        <v>0</v>
      </c>
      <c r="EW52" s="36">
        <v>0</v>
      </c>
      <c r="EX52" s="36">
        <v>0</v>
      </c>
      <c r="EY52" s="36">
        <v>0</v>
      </c>
      <c r="EZ52" s="36">
        <v>0</v>
      </c>
      <c r="FA52" s="36">
        <v>0</v>
      </c>
      <c r="FB52" s="36">
        <v>0</v>
      </c>
      <c r="FC52" s="36">
        <v>0</v>
      </c>
      <c r="FE52">
        <v>0</v>
      </c>
      <c r="FF52">
        <v>0</v>
      </c>
      <c r="FG52">
        <v>0</v>
      </c>
      <c r="FM52" s="43">
        <f t="shared" si="5"/>
        <v>0</v>
      </c>
      <c r="FN52" s="43">
        <f t="shared" si="5"/>
        <v>0</v>
      </c>
      <c r="FO52" s="43">
        <f t="shared" si="5"/>
        <v>0</v>
      </c>
      <c r="FP52" s="43">
        <f t="shared" si="5"/>
        <v>0</v>
      </c>
      <c r="FQ52" s="43">
        <f t="shared" si="5"/>
        <v>0</v>
      </c>
      <c r="FR52" s="43">
        <f t="shared" si="5"/>
        <v>0</v>
      </c>
      <c r="FS52" s="43">
        <f t="shared" si="5"/>
        <v>0</v>
      </c>
      <c r="FV52" t="s">
        <v>562</v>
      </c>
      <c r="FW52" t="s">
        <v>563</v>
      </c>
    </row>
    <row r="53" spans="1:179" ht="19.5" customHeight="1" x14ac:dyDescent="0.35">
      <c r="A53" t="s">
        <v>564</v>
      </c>
      <c r="B53" s="36">
        <v>0</v>
      </c>
      <c r="C53" s="36">
        <v>0</v>
      </c>
      <c r="D53" s="36">
        <v>0</v>
      </c>
      <c r="E53" s="36">
        <v>0</v>
      </c>
      <c r="F53" s="36">
        <v>0</v>
      </c>
      <c r="G53" s="36">
        <v>0</v>
      </c>
      <c r="H53" s="36">
        <v>0</v>
      </c>
      <c r="I53" s="36">
        <v>0</v>
      </c>
      <c r="J53" s="36">
        <v>0</v>
      </c>
      <c r="K53" s="36">
        <v>0</v>
      </c>
      <c r="L53" s="36">
        <v>0</v>
      </c>
      <c r="M53" s="36">
        <v>0</v>
      </c>
      <c r="N53" s="36">
        <v>0</v>
      </c>
      <c r="O53" s="36">
        <v>0</v>
      </c>
      <c r="P53" s="36">
        <v>0</v>
      </c>
      <c r="Q53" s="36">
        <v>0</v>
      </c>
      <c r="R53" s="36">
        <v>0</v>
      </c>
      <c r="S53" s="36">
        <v>0</v>
      </c>
      <c r="T53" s="36">
        <v>0</v>
      </c>
      <c r="U53" s="36">
        <v>0</v>
      </c>
      <c r="V53" s="36">
        <v>0</v>
      </c>
      <c r="W53" s="36">
        <v>0</v>
      </c>
      <c r="X53" s="36">
        <v>0</v>
      </c>
      <c r="Y53" s="36">
        <v>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-1</v>
      </c>
      <c r="AV53" s="36">
        <v>0</v>
      </c>
      <c r="AW53" s="36">
        <v>0</v>
      </c>
      <c r="AX53" s="36">
        <v>0</v>
      </c>
      <c r="AY53" s="36">
        <v>0</v>
      </c>
      <c r="AZ53" s="36">
        <v>0</v>
      </c>
      <c r="BA53" s="36">
        <v>0</v>
      </c>
      <c r="BB53" s="36">
        <v>0</v>
      </c>
      <c r="BC53" s="36">
        <v>0</v>
      </c>
      <c r="BD53" s="36">
        <v>0</v>
      </c>
      <c r="BE53" s="36">
        <v>0</v>
      </c>
      <c r="BF53" s="36">
        <v>0</v>
      </c>
      <c r="BG53" s="36">
        <v>0</v>
      </c>
      <c r="BH53" s="36">
        <v>0</v>
      </c>
      <c r="BI53" s="36">
        <v>1</v>
      </c>
      <c r="BJ53" s="36">
        <v>0</v>
      </c>
      <c r="BK53" s="36">
        <v>0</v>
      </c>
      <c r="BL53" s="36">
        <v>0</v>
      </c>
      <c r="BM53" s="36">
        <v>0</v>
      </c>
      <c r="BN53" s="36">
        <v>0</v>
      </c>
      <c r="BO53" s="36">
        <v>0</v>
      </c>
      <c r="BP53" s="36">
        <v>0</v>
      </c>
      <c r="BQ53" s="36">
        <v>0</v>
      </c>
      <c r="BR53" s="36">
        <v>0</v>
      </c>
      <c r="BS53" s="36">
        <v>0</v>
      </c>
      <c r="BT53" s="36">
        <v>0</v>
      </c>
      <c r="BU53" s="36">
        <v>0</v>
      </c>
      <c r="BV53" s="36">
        <v>0</v>
      </c>
      <c r="BW53" s="36">
        <v>0</v>
      </c>
      <c r="BX53" s="36">
        <v>0</v>
      </c>
      <c r="BY53" s="36">
        <v>0</v>
      </c>
      <c r="BZ53" s="36">
        <v>0</v>
      </c>
      <c r="CA53" s="36">
        <v>0</v>
      </c>
      <c r="CB53" s="36">
        <v>0</v>
      </c>
      <c r="CC53" s="36">
        <v>0</v>
      </c>
      <c r="CD53" s="36">
        <v>0</v>
      </c>
      <c r="CE53" s="36">
        <v>0</v>
      </c>
      <c r="CF53" s="36">
        <v>0</v>
      </c>
      <c r="CG53" s="36">
        <v>0</v>
      </c>
      <c r="CH53" s="36">
        <v>0</v>
      </c>
      <c r="CI53" s="36">
        <v>0</v>
      </c>
      <c r="CJ53" s="36">
        <v>0</v>
      </c>
      <c r="CK53" s="36">
        <v>0</v>
      </c>
      <c r="CL53" s="36">
        <v>0</v>
      </c>
      <c r="CM53" s="36">
        <v>0</v>
      </c>
      <c r="CN53" s="36">
        <v>0</v>
      </c>
      <c r="CO53" s="36">
        <v>0</v>
      </c>
      <c r="CP53" s="36">
        <v>0</v>
      </c>
      <c r="CQ53" s="36">
        <v>0</v>
      </c>
      <c r="CR53" s="36">
        <v>0</v>
      </c>
      <c r="CS53" s="36">
        <v>0</v>
      </c>
      <c r="CT53" s="36">
        <v>0</v>
      </c>
      <c r="CU53" s="36">
        <v>0</v>
      </c>
      <c r="CV53" s="36">
        <v>0</v>
      </c>
      <c r="CW53" s="36">
        <v>0</v>
      </c>
      <c r="CX53" s="36">
        <v>0</v>
      </c>
      <c r="CY53" s="36">
        <v>0</v>
      </c>
      <c r="CZ53" s="36">
        <v>0</v>
      </c>
      <c r="DA53" s="36">
        <v>0</v>
      </c>
      <c r="DB53" s="36">
        <v>0</v>
      </c>
      <c r="DC53" s="36">
        <v>0</v>
      </c>
      <c r="DD53" s="36">
        <v>0</v>
      </c>
      <c r="DE53" s="36">
        <v>0</v>
      </c>
      <c r="DF53" s="36">
        <v>0</v>
      </c>
      <c r="DG53" s="36">
        <v>0</v>
      </c>
      <c r="DH53" s="36">
        <v>0</v>
      </c>
      <c r="DI53" s="36">
        <v>0</v>
      </c>
      <c r="DJ53" s="36">
        <v>0</v>
      </c>
      <c r="DK53" s="36">
        <v>0</v>
      </c>
      <c r="DL53" s="36">
        <v>0</v>
      </c>
      <c r="DM53" s="36">
        <v>0</v>
      </c>
      <c r="DN53" s="36">
        <v>0</v>
      </c>
      <c r="DO53" s="36">
        <v>0</v>
      </c>
      <c r="DP53" s="36">
        <v>0</v>
      </c>
      <c r="DQ53" s="36">
        <v>0</v>
      </c>
      <c r="DR53" s="36">
        <v>0</v>
      </c>
      <c r="DS53" s="36">
        <v>0</v>
      </c>
      <c r="DT53" s="36">
        <v>0</v>
      </c>
      <c r="DU53" s="36">
        <v>0</v>
      </c>
      <c r="DV53" s="36">
        <v>0</v>
      </c>
      <c r="DW53" s="36">
        <v>0</v>
      </c>
      <c r="DX53" s="36">
        <v>0</v>
      </c>
      <c r="DY53" s="36">
        <v>0</v>
      </c>
      <c r="DZ53" s="36">
        <v>0</v>
      </c>
      <c r="EA53" s="36">
        <v>0</v>
      </c>
      <c r="EB53" s="36">
        <v>0</v>
      </c>
      <c r="EC53" s="36">
        <v>0</v>
      </c>
      <c r="ED53" s="36">
        <v>0</v>
      </c>
      <c r="EE53" s="36">
        <v>0</v>
      </c>
      <c r="EF53" s="36">
        <v>0</v>
      </c>
      <c r="EG53" s="36">
        <v>0</v>
      </c>
      <c r="EH53" s="36">
        <v>0</v>
      </c>
      <c r="EI53" s="36">
        <v>0</v>
      </c>
      <c r="EJ53" s="36">
        <v>0</v>
      </c>
      <c r="EK53" s="36">
        <v>0</v>
      </c>
      <c r="EL53" s="36">
        <v>0</v>
      </c>
      <c r="EM53" s="36">
        <v>0</v>
      </c>
      <c r="EN53" s="36">
        <v>0</v>
      </c>
      <c r="EO53" s="36">
        <v>0</v>
      </c>
      <c r="EP53" s="36">
        <v>0</v>
      </c>
      <c r="ET53" t="s">
        <v>262</v>
      </c>
      <c r="EU53" t="s">
        <v>555</v>
      </c>
      <c r="EV53" s="36">
        <v>0</v>
      </c>
      <c r="EW53" s="36">
        <v>1</v>
      </c>
      <c r="EX53" s="36">
        <v>0</v>
      </c>
      <c r="EY53" s="36">
        <v>0</v>
      </c>
      <c r="EZ53" s="36">
        <v>2</v>
      </c>
      <c r="FA53" s="36">
        <v>0</v>
      </c>
      <c r="FB53" s="36">
        <v>0</v>
      </c>
      <c r="FC53" s="42">
        <f>(4*EW53)+(EX53)+(-3*EY53)+(-2*EZ53)+(5*FA53)+(-2*FB53)+(-1*EV53)</f>
        <v>0</v>
      </c>
      <c r="FE53">
        <f t="shared" ref="FE53:FE84" si="10">((4*(EW53))+(EX53)+(5*EY53)+(-2*EZ53)+(5*FA53)+(6*FB53)+(-EV53))/EW53</f>
        <v>0</v>
      </c>
      <c r="FF53">
        <f t="shared" ref="FF53:FF84" si="11">((4*(EW53))+(EX53)+(-3*EY53)+(-2*EZ53)+(5*FA53)+(6*FB53)+(-EV53))/EW53</f>
        <v>0</v>
      </c>
      <c r="FG53">
        <f t="shared" ref="FG53:FG84" si="12">((4*(EW53))+(EX53)+(0*EY53)+(-2*EZ53)+(5*FA53)+(6*FB53)+(-EV53))/EW53</f>
        <v>0</v>
      </c>
      <c r="FM53" s="43">
        <f t="shared" si="5"/>
        <v>0</v>
      </c>
      <c r="FN53" s="43">
        <f t="shared" si="5"/>
        <v>0</v>
      </c>
      <c r="FO53" s="43">
        <f t="shared" si="5"/>
        <v>0</v>
      </c>
      <c r="FP53" s="43">
        <f t="shared" si="5"/>
        <v>0</v>
      </c>
      <c r="FQ53" s="43">
        <f t="shared" si="5"/>
        <v>0</v>
      </c>
      <c r="FR53" s="43">
        <f t="shared" si="5"/>
        <v>0</v>
      </c>
      <c r="FS53" s="43">
        <f t="shared" si="5"/>
        <v>0</v>
      </c>
      <c r="FV53" t="s">
        <v>565</v>
      </c>
      <c r="FW53" t="s">
        <v>566</v>
      </c>
    </row>
    <row r="54" spans="1:179" ht="19.5" customHeight="1" x14ac:dyDescent="0.35">
      <c r="A54" t="s">
        <v>567</v>
      </c>
      <c r="B54" s="36">
        <v>1</v>
      </c>
      <c r="C54" s="36">
        <v>0</v>
      </c>
      <c r="D54" s="36">
        <v>0</v>
      </c>
      <c r="E54" s="36">
        <v>0</v>
      </c>
      <c r="F54" s="36">
        <v>0</v>
      </c>
      <c r="G54" s="36">
        <v>0</v>
      </c>
      <c r="H54" s="36">
        <v>0</v>
      </c>
      <c r="I54" s="36">
        <v>0</v>
      </c>
      <c r="J54" s="36">
        <v>0</v>
      </c>
      <c r="K54" s="36">
        <v>0</v>
      </c>
      <c r="L54" s="36">
        <v>0</v>
      </c>
      <c r="M54" s="36">
        <v>0</v>
      </c>
      <c r="N54" s="36">
        <v>0</v>
      </c>
      <c r="O54" s="36">
        <v>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-1</v>
      </c>
      <c r="AU54" s="36">
        <v>1</v>
      </c>
      <c r="AV54" s="36">
        <v>0</v>
      </c>
      <c r="AW54" s="36">
        <v>0</v>
      </c>
      <c r="AX54" s="36">
        <v>0</v>
      </c>
      <c r="AY54" s="36">
        <v>0</v>
      </c>
      <c r="AZ54" s="36">
        <v>0</v>
      </c>
      <c r="BA54" s="36">
        <v>0</v>
      </c>
      <c r="BB54" s="36">
        <v>0</v>
      </c>
      <c r="BC54" s="36">
        <v>0</v>
      </c>
      <c r="BD54" s="36">
        <v>0</v>
      </c>
      <c r="BE54" s="36">
        <v>0</v>
      </c>
      <c r="BF54" s="36">
        <v>0</v>
      </c>
      <c r="BG54" s="36">
        <v>0</v>
      </c>
      <c r="BH54" s="36">
        <v>0</v>
      </c>
      <c r="BI54" s="36">
        <v>0</v>
      </c>
      <c r="BJ54" s="36">
        <v>0</v>
      </c>
      <c r="BK54" s="36">
        <v>0</v>
      </c>
      <c r="BL54" s="36">
        <v>1</v>
      </c>
      <c r="BM54" s="36">
        <v>0</v>
      </c>
      <c r="BN54" s="36">
        <v>0</v>
      </c>
      <c r="BO54" s="36">
        <v>0</v>
      </c>
      <c r="BP54" s="36">
        <v>0</v>
      </c>
      <c r="BQ54" s="36">
        <v>0</v>
      </c>
      <c r="BR54" s="36">
        <v>0</v>
      </c>
      <c r="BS54" s="36">
        <v>0</v>
      </c>
      <c r="BT54" s="36">
        <v>0</v>
      </c>
      <c r="BU54" s="36">
        <v>0</v>
      </c>
      <c r="BV54" s="36">
        <v>0</v>
      </c>
      <c r="BW54" s="36">
        <v>0</v>
      </c>
      <c r="BX54" s="36">
        <v>0</v>
      </c>
      <c r="BY54" s="36">
        <v>0</v>
      </c>
      <c r="BZ54" s="36">
        <v>0</v>
      </c>
      <c r="CA54" s="36">
        <v>0</v>
      </c>
      <c r="CB54" s="36">
        <v>0</v>
      </c>
      <c r="CC54" s="36">
        <v>0</v>
      </c>
      <c r="CD54" s="36">
        <v>0</v>
      </c>
      <c r="CE54" s="36">
        <v>0</v>
      </c>
      <c r="CF54" s="36">
        <v>0</v>
      </c>
      <c r="CG54" s="36">
        <v>0</v>
      </c>
      <c r="CH54" s="36">
        <v>0</v>
      </c>
      <c r="CI54" s="36">
        <v>0</v>
      </c>
      <c r="CJ54" s="36">
        <v>0</v>
      </c>
      <c r="CK54" s="36">
        <v>0</v>
      </c>
      <c r="CL54" s="36">
        <v>-1</v>
      </c>
      <c r="CM54" s="36">
        <v>0</v>
      </c>
      <c r="CN54" s="36">
        <v>0</v>
      </c>
      <c r="CO54" s="36">
        <v>0</v>
      </c>
      <c r="CP54" s="36">
        <v>0</v>
      </c>
      <c r="CQ54" s="36">
        <v>0</v>
      </c>
      <c r="CR54" s="36">
        <v>0</v>
      </c>
      <c r="CS54" s="36">
        <v>0</v>
      </c>
      <c r="CT54" s="36">
        <v>0</v>
      </c>
      <c r="CU54" s="36">
        <v>0</v>
      </c>
      <c r="CV54" s="36">
        <v>0</v>
      </c>
      <c r="CW54" s="36">
        <v>0</v>
      </c>
      <c r="CX54" s="36">
        <v>0</v>
      </c>
      <c r="CY54" s="36">
        <v>0</v>
      </c>
      <c r="CZ54" s="36">
        <v>0</v>
      </c>
      <c r="DA54" s="36">
        <v>0</v>
      </c>
      <c r="DB54" s="36">
        <v>0</v>
      </c>
      <c r="DC54" s="36">
        <v>0</v>
      </c>
      <c r="DD54" s="36">
        <v>0</v>
      </c>
      <c r="DE54" s="36">
        <v>0</v>
      </c>
      <c r="DF54" s="36">
        <v>0</v>
      </c>
      <c r="DG54" s="36">
        <v>0</v>
      </c>
      <c r="DH54" s="36">
        <v>0</v>
      </c>
      <c r="DI54" s="36">
        <v>0</v>
      </c>
      <c r="DJ54" s="36">
        <v>0</v>
      </c>
      <c r="DK54" s="36">
        <v>0</v>
      </c>
      <c r="DL54" s="36">
        <v>0</v>
      </c>
      <c r="DM54" s="36">
        <v>0</v>
      </c>
      <c r="DN54" s="36">
        <v>0</v>
      </c>
      <c r="DO54" s="36">
        <v>0</v>
      </c>
      <c r="DP54" s="36">
        <v>0</v>
      </c>
      <c r="DQ54" s="36">
        <v>0</v>
      </c>
      <c r="DR54" s="36">
        <v>0</v>
      </c>
      <c r="DS54" s="36">
        <v>0</v>
      </c>
      <c r="DT54" s="36">
        <v>0</v>
      </c>
      <c r="DU54" s="36">
        <v>0</v>
      </c>
      <c r="DV54" s="36">
        <v>0</v>
      </c>
      <c r="DW54" s="36">
        <v>0</v>
      </c>
      <c r="DX54" s="36">
        <v>-1</v>
      </c>
      <c r="DY54" s="36">
        <v>0</v>
      </c>
      <c r="DZ54" s="36">
        <v>0</v>
      </c>
      <c r="EA54" s="36">
        <v>0</v>
      </c>
      <c r="EB54" s="36">
        <v>0</v>
      </c>
      <c r="EC54" s="36">
        <v>0</v>
      </c>
      <c r="ED54" s="36">
        <v>0</v>
      </c>
      <c r="EE54" s="36">
        <v>0</v>
      </c>
      <c r="EF54" s="36">
        <v>0</v>
      </c>
      <c r="EG54" s="36">
        <v>0</v>
      </c>
      <c r="EH54" s="36">
        <v>0</v>
      </c>
      <c r="EI54" s="36">
        <v>0</v>
      </c>
      <c r="EJ54" s="36">
        <v>0</v>
      </c>
      <c r="EK54" s="36">
        <v>0</v>
      </c>
      <c r="EL54" s="36">
        <v>0</v>
      </c>
      <c r="EM54" s="36">
        <v>0</v>
      </c>
      <c r="EN54" s="36">
        <v>0</v>
      </c>
      <c r="EO54" s="36">
        <v>0</v>
      </c>
      <c r="EP54" s="36">
        <v>0</v>
      </c>
      <c r="ET54" t="s">
        <v>167</v>
      </c>
      <c r="EU54" t="s">
        <v>137</v>
      </c>
      <c r="EV54" s="36">
        <v>-4</v>
      </c>
      <c r="EW54" s="36">
        <v>21</v>
      </c>
      <c r="EX54" s="36">
        <v>32</v>
      </c>
      <c r="EY54" s="36">
        <v>7</v>
      </c>
      <c r="EZ54" s="36">
        <v>16</v>
      </c>
      <c r="FA54" s="36">
        <v>3</v>
      </c>
      <c r="FB54" s="36">
        <v>1</v>
      </c>
      <c r="FC54" s="42">
        <v>80</v>
      </c>
      <c r="FE54">
        <f t="shared" si="10"/>
        <v>6.8571428571428568</v>
      </c>
      <c r="FF54">
        <f t="shared" si="11"/>
        <v>4.1904761904761907</v>
      </c>
      <c r="FG54">
        <f t="shared" si="12"/>
        <v>5.1904761904761907</v>
      </c>
      <c r="FM54" s="43">
        <f t="shared" si="5"/>
        <v>0</v>
      </c>
      <c r="FN54" s="43">
        <f t="shared" si="5"/>
        <v>0</v>
      </c>
      <c r="FO54" s="43">
        <f t="shared" si="5"/>
        <v>0</v>
      </c>
      <c r="FP54" s="43">
        <f t="shared" ref="FP54:FS117" si="13">MMULT($C54:$EP54,EZ$2:EZ$145)</f>
        <v>0</v>
      </c>
      <c r="FQ54" s="43">
        <f t="shared" si="13"/>
        <v>0</v>
      </c>
      <c r="FR54" s="43">
        <f t="shared" si="13"/>
        <v>0</v>
      </c>
      <c r="FS54" s="43">
        <f t="shared" si="13"/>
        <v>0</v>
      </c>
      <c r="FV54" t="s">
        <v>568</v>
      </c>
      <c r="FW54" t="s">
        <v>569</v>
      </c>
    </row>
    <row r="55" spans="1:179" ht="19.5" customHeight="1" x14ac:dyDescent="0.35">
      <c r="A55" t="s">
        <v>570</v>
      </c>
      <c r="B55" s="36">
        <v>1</v>
      </c>
      <c r="C55" s="36">
        <v>0</v>
      </c>
      <c r="D55" s="36">
        <v>0</v>
      </c>
      <c r="E55" s="36">
        <v>0</v>
      </c>
      <c r="F55" s="36">
        <v>0</v>
      </c>
      <c r="G55" s="36">
        <v>0</v>
      </c>
      <c r="H55" s="36">
        <v>0</v>
      </c>
      <c r="I55" s="36">
        <v>0</v>
      </c>
      <c r="J55" s="36">
        <v>0</v>
      </c>
      <c r="K55" s="36">
        <v>0</v>
      </c>
      <c r="L55" s="36">
        <v>0</v>
      </c>
      <c r="M55" s="36">
        <v>0</v>
      </c>
      <c r="N55" s="36">
        <v>0</v>
      </c>
      <c r="O55" s="36">
        <v>0</v>
      </c>
      <c r="P55" s="36">
        <v>0</v>
      </c>
      <c r="Q55" s="36">
        <v>0</v>
      </c>
      <c r="R55" s="36">
        <v>0</v>
      </c>
      <c r="S55" s="36">
        <v>0</v>
      </c>
      <c r="T55" s="36">
        <v>0</v>
      </c>
      <c r="U55" s="36">
        <v>0</v>
      </c>
      <c r="V55" s="36">
        <v>0</v>
      </c>
      <c r="W55" s="36">
        <v>0</v>
      </c>
      <c r="X55" s="36">
        <v>0</v>
      </c>
      <c r="Y55" s="36">
        <v>0</v>
      </c>
      <c r="Z55" s="36">
        <v>0</v>
      </c>
      <c r="AA55" s="36">
        <v>0</v>
      </c>
      <c r="AB55" s="36">
        <v>0</v>
      </c>
      <c r="AC55" s="36">
        <v>0</v>
      </c>
      <c r="AD55" s="36">
        <v>0</v>
      </c>
      <c r="AE55" s="36">
        <v>0</v>
      </c>
      <c r="AF55" s="36">
        <v>0</v>
      </c>
      <c r="AG55" s="36">
        <v>0</v>
      </c>
      <c r="AH55" s="36">
        <v>0</v>
      </c>
      <c r="AI55" s="36">
        <v>0</v>
      </c>
      <c r="AJ55" s="36">
        <v>0</v>
      </c>
      <c r="AK55" s="36">
        <v>0</v>
      </c>
      <c r="AL55" s="36">
        <v>0</v>
      </c>
      <c r="AM55" s="36">
        <v>0</v>
      </c>
      <c r="AN55" s="36">
        <v>0</v>
      </c>
      <c r="AO55" s="36">
        <v>0</v>
      </c>
      <c r="AP55" s="36">
        <v>0</v>
      </c>
      <c r="AQ55" s="36">
        <v>0</v>
      </c>
      <c r="AR55" s="36">
        <v>0</v>
      </c>
      <c r="AS55" s="36">
        <v>0</v>
      </c>
      <c r="AT55" s="36">
        <v>1</v>
      </c>
      <c r="AU55" s="36">
        <v>0</v>
      </c>
      <c r="AV55" s="36">
        <v>0</v>
      </c>
      <c r="AW55" s="36">
        <v>0</v>
      </c>
      <c r="AX55" s="36">
        <v>0</v>
      </c>
      <c r="AY55" s="36">
        <v>0</v>
      </c>
      <c r="AZ55" s="36">
        <v>0</v>
      </c>
      <c r="BA55" s="36">
        <v>0</v>
      </c>
      <c r="BB55" s="36">
        <v>0</v>
      </c>
      <c r="BC55" s="36">
        <v>0</v>
      </c>
      <c r="BD55" s="36">
        <v>0</v>
      </c>
      <c r="BE55" s="36">
        <v>0</v>
      </c>
      <c r="BF55" s="36">
        <v>0</v>
      </c>
      <c r="BG55" s="36">
        <v>0</v>
      </c>
      <c r="BH55" s="36">
        <v>0</v>
      </c>
      <c r="BI55" s="36">
        <v>0</v>
      </c>
      <c r="BJ55" s="36">
        <v>-1</v>
      </c>
      <c r="BK55" s="36">
        <v>0</v>
      </c>
      <c r="BL55" s="36">
        <v>0</v>
      </c>
      <c r="BM55" s="36">
        <v>0</v>
      </c>
      <c r="BN55" s="36">
        <v>0</v>
      </c>
      <c r="BO55" s="36">
        <v>0</v>
      </c>
      <c r="BP55" s="36">
        <v>0</v>
      </c>
      <c r="BQ55" s="36">
        <v>0</v>
      </c>
      <c r="BR55" s="36">
        <v>0</v>
      </c>
      <c r="BS55" s="36">
        <v>0</v>
      </c>
      <c r="BT55" s="36">
        <v>0</v>
      </c>
      <c r="BU55" s="36">
        <v>0</v>
      </c>
      <c r="BV55" s="36">
        <v>0</v>
      </c>
      <c r="BW55" s="36">
        <v>0</v>
      </c>
      <c r="BX55" s="36">
        <v>0</v>
      </c>
      <c r="BY55" s="36">
        <v>0</v>
      </c>
      <c r="BZ55" s="36">
        <v>0</v>
      </c>
      <c r="CA55" s="36">
        <v>0</v>
      </c>
      <c r="CB55" s="36">
        <v>-1</v>
      </c>
      <c r="CC55" s="36">
        <v>0</v>
      </c>
      <c r="CD55" s="36">
        <v>0</v>
      </c>
      <c r="CE55" s="36">
        <v>0</v>
      </c>
      <c r="CF55" s="36">
        <v>0</v>
      </c>
      <c r="CG55" s="36">
        <v>0</v>
      </c>
      <c r="CH55" s="36">
        <v>0</v>
      </c>
      <c r="CI55" s="36">
        <v>0</v>
      </c>
      <c r="CJ55" s="36">
        <v>0</v>
      </c>
      <c r="CK55" s="36">
        <v>0</v>
      </c>
      <c r="CL55" s="36">
        <v>0</v>
      </c>
      <c r="CM55" s="36">
        <v>0</v>
      </c>
      <c r="CN55" s="36">
        <v>0</v>
      </c>
      <c r="CO55" s="36">
        <v>0</v>
      </c>
      <c r="CP55" s="36">
        <v>0</v>
      </c>
      <c r="CQ55" s="36">
        <v>0</v>
      </c>
      <c r="CR55" s="36">
        <v>0</v>
      </c>
      <c r="CS55" s="36">
        <v>0</v>
      </c>
      <c r="CT55" s="36">
        <v>0</v>
      </c>
      <c r="CU55" s="36">
        <v>0</v>
      </c>
      <c r="CV55" s="36">
        <v>0</v>
      </c>
      <c r="CW55" s="36">
        <v>0</v>
      </c>
      <c r="CX55" s="36">
        <v>0</v>
      </c>
      <c r="CY55" s="36">
        <v>0</v>
      </c>
      <c r="CZ55" s="36">
        <v>0</v>
      </c>
      <c r="DA55" s="36">
        <v>0</v>
      </c>
      <c r="DB55" s="36">
        <v>0</v>
      </c>
      <c r="DC55" s="36">
        <v>0</v>
      </c>
      <c r="DD55" s="36">
        <v>0</v>
      </c>
      <c r="DE55" s="36">
        <v>0</v>
      </c>
      <c r="DF55" s="36">
        <v>0</v>
      </c>
      <c r="DG55" s="36">
        <v>0</v>
      </c>
      <c r="DH55" s="36">
        <v>0</v>
      </c>
      <c r="DI55" s="36">
        <v>0</v>
      </c>
      <c r="DJ55" s="36">
        <v>0</v>
      </c>
      <c r="DK55" s="36">
        <v>0</v>
      </c>
      <c r="DL55" s="36">
        <v>0</v>
      </c>
      <c r="DM55" s="36">
        <v>0</v>
      </c>
      <c r="DN55" s="36">
        <v>0</v>
      </c>
      <c r="DO55" s="36">
        <v>0</v>
      </c>
      <c r="DP55" s="36">
        <v>0</v>
      </c>
      <c r="DQ55" s="36">
        <v>0</v>
      </c>
      <c r="DR55" s="36">
        <v>0</v>
      </c>
      <c r="DS55" s="36">
        <v>0</v>
      </c>
      <c r="DT55" s="36">
        <v>0</v>
      </c>
      <c r="DU55" s="36">
        <v>0</v>
      </c>
      <c r="DV55" s="36">
        <v>0</v>
      </c>
      <c r="DW55" s="36">
        <v>0</v>
      </c>
      <c r="DX55" s="36">
        <v>0</v>
      </c>
      <c r="DY55" s="36">
        <v>0</v>
      </c>
      <c r="DZ55" s="36">
        <v>0</v>
      </c>
      <c r="EA55" s="36">
        <v>0</v>
      </c>
      <c r="EB55" s="36">
        <v>0</v>
      </c>
      <c r="EC55" s="36">
        <v>0</v>
      </c>
      <c r="ED55" s="36">
        <v>0</v>
      </c>
      <c r="EE55" s="36">
        <v>0</v>
      </c>
      <c r="EF55" s="36">
        <v>0</v>
      </c>
      <c r="EG55" s="36">
        <v>0</v>
      </c>
      <c r="EH55" s="36">
        <v>0</v>
      </c>
      <c r="EI55" s="36">
        <v>0</v>
      </c>
      <c r="EJ55" s="36">
        <v>0</v>
      </c>
      <c r="EK55" s="36">
        <v>0</v>
      </c>
      <c r="EL55" s="36">
        <v>0</v>
      </c>
      <c r="EM55" s="36">
        <v>0</v>
      </c>
      <c r="EN55" s="36">
        <v>0</v>
      </c>
      <c r="EO55" s="36">
        <v>0</v>
      </c>
      <c r="EP55" s="36">
        <v>0</v>
      </c>
      <c r="ET55" t="s">
        <v>571</v>
      </c>
      <c r="EU55" t="s">
        <v>572</v>
      </c>
      <c r="EV55" s="36">
        <v>-4</v>
      </c>
      <c r="EW55" s="36">
        <v>25</v>
      </c>
      <c r="EX55" s="36">
        <v>36</v>
      </c>
      <c r="EY55" s="36">
        <v>7</v>
      </c>
      <c r="EZ55" s="36">
        <v>17</v>
      </c>
      <c r="FA55" s="36">
        <v>3</v>
      </c>
      <c r="FB55" s="36">
        <v>1</v>
      </c>
      <c r="FC55" s="42">
        <f>(4*EW55)+(EX55)+(-3*EY55)+(-2*EZ55)+(5*FA55)+(-2*FB55)+(-1*EV55)</f>
        <v>98</v>
      </c>
      <c r="FE55">
        <f t="shared" si="10"/>
        <v>6.48</v>
      </c>
      <c r="FF55">
        <f t="shared" si="11"/>
        <v>4.24</v>
      </c>
      <c r="FG55">
        <f t="shared" si="12"/>
        <v>5.08</v>
      </c>
      <c r="FM55" s="43">
        <f t="shared" ref="FM55:FR118" si="14">MMULT($C55:$EP55,EW$2:EW$145)</f>
        <v>0</v>
      </c>
      <c r="FN55" s="43">
        <f t="shared" si="14"/>
        <v>0</v>
      </c>
      <c r="FO55" s="43">
        <f t="shared" si="14"/>
        <v>0</v>
      </c>
      <c r="FP55" s="43">
        <f t="shared" si="13"/>
        <v>0</v>
      </c>
      <c r="FQ55" s="43">
        <f t="shared" si="13"/>
        <v>0</v>
      </c>
      <c r="FR55" s="43">
        <f t="shared" si="13"/>
        <v>0</v>
      </c>
      <c r="FS55" s="43">
        <f t="shared" si="13"/>
        <v>0</v>
      </c>
      <c r="FV55" t="s">
        <v>573</v>
      </c>
      <c r="FW55" t="s">
        <v>574</v>
      </c>
    </row>
    <row r="56" spans="1:179" ht="19.5" customHeight="1" x14ac:dyDescent="0.25">
      <c r="A56" t="s">
        <v>575</v>
      </c>
      <c r="B56" s="36">
        <v>1</v>
      </c>
      <c r="C56" s="36">
        <v>0</v>
      </c>
      <c r="D56" s="36">
        <v>0</v>
      </c>
      <c r="E56" s="36">
        <v>0</v>
      </c>
      <c r="F56" s="36">
        <v>0</v>
      </c>
      <c r="G56" s="36">
        <v>0</v>
      </c>
      <c r="H56" s="36">
        <v>0</v>
      </c>
      <c r="I56" s="36">
        <v>0</v>
      </c>
      <c r="J56" s="36">
        <v>0</v>
      </c>
      <c r="K56" s="36">
        <v>0</v>
      </c>
      <c r="L56" s="36">
        <v>0</v>
      </c>
      <c r="M56" s="36">
        <v>0</v>
      </c>
      <c r="N56" s="36">
        <v>0</v>
      </c>
      <c r="O56" s="36">
        <v>0</v>
      </c>
      <c r="P56" s="36">
        <v>0</v>
      </c>
      <c r="Q56" s="36">
        <v>0</v>
      </c>
      <c r="R56" s="36">
        <v>0</v>
      </c>
      <c r="S56" s="36">
        <v>0</v>
      </c>
      <c r="T56" s="36">
        <v>0</v>
      </c>
      <c r="U56" s="36">
        <v>0</v>
      </c>
      <c r="V56" s="36">
        <v>0</v>
      </c>
      <c r="W56" s="36">
        <v>0</v>
      </c>
      <c r="X56" s="36">
        <v>0</v>
      </c>
      <c r="Y56" s="36">
        <v>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0</v>
      </c>
      <c r="AS56" s="36">
        <v>0</v>
      </c>
      <c r="AT56" s="36">
        <v>0</v>
      </c>
      <c r="AU56" s="36">
        <v>0</v>
      </c>
      <c r="AV56" s="36">
        <v>0</v>
      </c>
      <c r="AW56" s="36">
        <v>0</v>
      </c>
      <c r="AX56" s="36">
        <v>0</v>
      </c>
      <c r="AY56" s="36">
        <v>0</v>
      </c>
      <c r="AZ56" s="36">
        <v>0</v>
      </c>
      <c r="BA56" s="36">
        <v>0</v>
      </c>
      <c r="BB56" s="36">
        <v>0</v>
      </c>
      <c r="BC56" s="36">
        <v>0</v>
      </c>
      <c r="BD56" s="36">
        <v>0</v>
      </c>
      <c r="BE56" s="36">
        <v>0</v>
      </c>
      <c r="BF56" s="36">
        <v>0</v>
      </c>
      <c r="BG56" s="36">
        <v>0</v>
      </c>
      <c r="BH56" s="36">
        <v>0</v>
      </c>
      <c r="BI56" s="36">
        <v>0</v>
      </c>
      <c r="BJ56" s="36">
        <v>-1</v>
      </c>
      <c r="BK56" s="36">
        <v>0</v>
      </c>
      <c r="BL56" s="36">
        <v>0</v>
      </c>
      <c r="BM56" s="36">
        <v>0</v>
      </c>
      <c r="BN56" s="36">
        <v>0</v>
      </c>
      <c r="BO56" s="36">
        <v>0</v>
      </c>
      <c r="BP56" s="36">
        <v>0</v>
      </c>
      <c r="BQ56" s="36">
        <v>0</v>
      </c>
      <c r="BR56" s="36">
        <v>0</v>
      </c>
      <c r="BS56" s="36">
        <v>0</v>
      </c>
      <c r="BT56" s="36">
        <v>0</v>
      </c>
      <c r="BU56" s="36">
        <v>0</v>
      </c>
      <c r="BV56" s="36">
        <v>0</v>
      </c>
      <c r="BW56" s="36">
        <v>0</v>
      </c>
      <c r="BX56" s="36">
        <v>0</v>
      </c>
      <c r="BY56" s="36">
        <v>0</v>
      </c>
      <c r="BZ56" s="36">
        <v>0</v>
      </c>
      <c r="CA56" s="36">
        <v>0</v>
      </c>
      <c r="CB56" s="36">
        <v>1</v>
      </c>
      <c r="CC56" s="36">
        <v>0</v>
      </c>
      <c r="CD56" s="36">
        <v>0</v>
      </c>
      <c r="CE56" s="36">
        <v>0</v>
      </c>
      <c r="CF56" s="36">
        <v>0</v>
      </c>
      <c r="CG56" s="36">
        <v>0</v>
      </c>
      <c r="CH56" s="36">
        <v>0</v>
      </c>
      <c r="CI56" s="36">
        <v>0</v>
      </c>
      <c r="CJ56" s="36">
        <v>0</v>
      </c>
      <c r="CK56" s="36">
        <v>0</v>
      </c>
      <c r="CL56" s="36">
        <v>0</v>
      </c>
      <c r="CM56" s="36">
        <v>0</v>
      </c>
      <c r="CN56" s="36">
        <v>0</v>
      </c>
      <c r="CO56" s="36">
        <v>0</v>
      </c>
      <c r="CP56" s="36">
        <v>0</v>
      </c>
      <c r="CQ56" s="36">
        <v>0</v>
      </c>
      <c r="CR56" s="36">
        <v>0</v>
      </c>
      <c r="CS56" s="36">
        <v>0</v>
      </c>
      <c r="CT56" s="36">
        <v>0</v>
      </c>
      <c r="CU56" s="36">
        <v>0</v>
      </c>
      <c r="CV56" s="36">
        <v>0</v>
      </c>
      <c r="CW56" s="36">
        <v>0</v>
      </c>
      <c r="CX56" s="36">
        <v>0</v>
      </c>
      <c r="CY56" s="36">
        <v>0</v>
      </c>
      <c r="CZ56" s="36">
        <v>0</v>
      </c>
      <c r="DA56" s="36">
        <v>0</v>
      </c>
      <c r="DB56" s="36">
        <v>0</v>
      </c>
      <c r="DC56" s="36">
        <v>0</v>
      </c>
      <c r="DD56" s="36">
        <v>0</v>
      </c>
      <c r="DE56" s="36">
        <v>0</v>
      </c>
      <c r="DF56" s="36">
        <v>0</v>
      </c>
      <c r="DG56" s="36">
        <v>0</v>
      </c>
      <c r="DH56" s="36">
        <v>0</v>
      </c>
      <c r="DI56" s="36">
        <v>0</v>
      </c>
      <c r="DJ56" s="36">
        <v>0</v>
      </c>
      <c r="DK56" s="36">
        <v>0</v>
      </c>
      <c r="DL56" s="36">
        <v>0</v>
      </c>
      <c r="DM56" s="36">
        <v>0</v>
      </c>
      <c r="DN56" s="36">
        <v>0</v>
      </c>
      <c r="DO56" s="36">
        <v>0</v>
      </c>
      <c r="DP56" s="36">
        <v>0</v>
      </c>
      <c r="DQ56" s="36">
        <v>0</v>
      </c>
      <c r="DR56" s="36">
        <v>0</v>
      </c>
      <c r="DS56" s="36">
        <v>0</v>
      </c>
      <c r="DT56" s="36">
        <v>0</v>
      </c>
      <c r="DU56" s="36">
        <v>0</v>
      </c>
      <c r="DV56" s="36">
        <v>0</v>
      </c>
      <c r="DW56" s="36">
        <v>0</v>
      </c>
      <c r="DX56" s="36">
        <v>0</v>
      </c>
      <c r="DY56" s="36">
        <v>0</v>
      </c>
      <c r="DZ56" s="36">
        <v>0</v>
      </c>
      <c r="EA56" s="36">
        <v>0</v>
      </c>
      <c r="EB56" s="36">
        <v>0</v>
      </c>
      <c r="EC56" s="36">
        <v>0</v>
      </c>
      <c r="ED56" s="36">
        <v>0</v>
      </c>
      <c r="EE56" s="36">
        <v>0</v>
      </c>
      <c r="EF56" s="36">
        <v>0</v>
      </c>
      <c r="EG56" s="36">
        <v>0</v>
      </c>
      <c r="EH56" s="36">
        <v>0</v>
      </c>
      <c r="EI56" s="36">
        <v>0</v>
      </c>
      <c r="EJ56" s="36">
        <v>0</v>
      </c>
      <c r="EK56" s="36">
        <v>0</v>
      </c>
      <c r="EL56" s="36">
        <v>0</v>
      </c>
      <c r="EM56" s="36">
        <v>0</v>
      </c>
      <c r="EN56" s="36">
        <v>0</v>
      </c>
      <c r="EO56" s="36">
        <v>0</v>
      </c>
      <c r="EP56" s="36">
        <v>0</v>
      </c>
      <c r="ET56" t="s">
        <v>264</v>
      </c>
      <c r="EU56" t="s">
        <v>530</v>
      </c>
      <c r="EV56" s="36">
        <v>3</v>
      </c>
      <c r="EW56" s="36">
        <v>0</v>
      </c>
      <c r="EX56" s="36">
        <v>0</v>
      </c>
      <c r="EY56" s="36">
        <v>0</v>
      </c>
      <c r="EZ56" s="36">
        <v>0</v>
      </c>
      <c r="FA56" s="36">
        <v>0</v>
      </c>
      <c r="FB56" s="36">
        <v>0</v>
      </c>
      <c r="FC56" s="36">
        <v>0</v>
      </c>
      <c r="FE56">
        <f t="shared" ref="FE56:FE57" si="15">((4*(EW56))+(EX56)+(5*EY56)+(-2*EZ56)+(5*FA56)+(6*FB56)+(-EV56))/1</f>
        <v>-3</v>
      </c>
      <c r="FF56">
        <f t="shared" ref="FF56:FF57" si="16">((4*(EW56))+(EX56)+(-3*EY56)+(-2*EZ56)+(5*FA56)+(6*FB56)+(-EV56))/1</f>
        <v>-3</v>
      </c>
      <c r="FG56">
        <f t="shared" ref="FG56:FG57" si="17">((4*(EW56))+(EX56)+(0*EY56)+(-2*EZ56)+(5*FA56)+(6*FB56)+(-EV56))/1</f>
        <v>-3</v>
      </c>
      <c r="FM56" s="43">
        <f t="shared" si="14"/>
        <v>0</v>
      </c>
      <c r="FN56" s="43">
        <f t="shared" si="14"/>
        <v>0</v>
      </c>
      <c r="FO56" s="43">
        <f t="shared" si="14"/>
        <v>0</v>
      </c>
      <c r="FP56" s="43">
        <f t="shared" si="13"/>
        <v>0</v>
      </c>
      <c r="FQ56" s="43">
        <f t="shared" si="13"/>
        <v>0</v>
      </c>
      <c r="FR56" s="43">
        <f t="shared" si="13"/>
        <v>0</v>
      </c>
      <c r="FS56" s="43">
        <f t="shared" si="13"/>
        <v>0</v>
      </c>
      <c r="FV56" t="s">
        <v>576</v>
      </c>
      <c r="FW56" t="s">
        <v>577</v>
      </c>
    </row>
    <row r="57" spans="1:179" ht="19.5" customHeight="1" x14ac:dyDescent="0.25">
      <c r="A57" t="s">
        <v>578</v>
      </c>
      <c r="B57" s="36">
        <v>1</v>
      </c>
      <c r="C57" s="36">
        <v>0</v>
      </c>
      <c r="D57" s="36">
        <v>0</v>
      </c>
      <c r="E57" s="36">
        <v>0</v>
      </c>
      <c r="F57" s="36">
        <v>0</v>
      </c>
      <c r="G57" s="36">
        <v>0</v>
      </c>
      <c r="H57" s="36">
        <v>0</v>
      </c>
      <c r="I57" s="36">
        <v>0</v>
      </c>
      <c r="J57" s="36">
        <v>0</v>
      </c>
      <c r="K57" s="36">
        <v>0</v>
      </c>
      <c r="L57" s="36">
        <v>0</v>
      </c>
      <c r="M57" s="36">
        <v>0</v>
      </c>
      <c r="N57" s="36">
        <v>0</v>
      </c>
      <c r="O57" s="36">
        <v>0</v>
      </c>
      <c r="P57" s="36">
        <v>0</v>
      </c>
      <c r="Q57" s="36">
        <v>0</v>
      </c>
      <c r="R57" s="36">
        <v>0</v>
      </c>
      <c r="S57" s="36">
        <v>0</v>
      </c>
      <c r="T57" s="36">
        <v>0</v>
      </c>
      <c r="U57" s="36">
        <v>-1</v>
      </c>
      <c r="V57" s="36">
        <v>0</v>
      </c>
      <c r="W57" s="36">
        <v>0</v>
      </c>
      <c r="X57" s="36">
        <v>0</v>
      </c>
      <c r="Y57" s="36">
        <v>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0</v>
      </c>
      <c r="AS57" s="36">
        <v>0</v>
      </c>
      <c r="AT57" s="36">
        <v>0</v>
      </c>
      <c r="AU57" s="36">
        <v>0</v>
      </c>
      <c r="AV57" s="36">
        <v>0</v>
      </c>
      <c r="AW57" s="36">
        <v>0</v>
      </c>
      <c r="AX57" s="36">
        <v>0</v>
      </c>
      <c r="AY57" s="36">
        <v>0</v>
      </c>
      <c r="AZ57" s="36">
        <v>0</v>
      </c>
      <c r="BA57" s="36">
        <v>0</v>
      </c>
      <c r="BB57" s="36">
        <v>0</v>
      </c>
      <c r="BC57" s="36">
        <v>0</v>
      </c>
      <c r="BD57" s="36">
        <v>0</v>
      </c>
      <c r="BE57" s="36">
        <v>0</v>
      </c>
      <c r="BF57" s="36">
        <v>0</v>
      </c>
      <c r="BG57" s="36">
        <v>0</v>
      </c>
      <c r="BH57" s="36">
        <v>0</v>
      </c>
      <c r="BI57" s="36">
        <v>0</v>
      </c>
      <c r="BJ57" s="36">
        <v>1</v>
      </c>
      <c r="BK57" s="36">
        <v>0</v>
      </c>
      <c r="BL57" s="36">
        <v>0</v>
      </c>
      <c r="BM57" s="36">
        <v>0</v>
      </c>
      <c r="BN57" s="36">
        <v>0</v>
      </c>
      <c r="BO57" s="36">
        <v>0</v>
      </c>
      <c r="BP57" s="36">
        <v>0</v>
      </c>
      <c r="BQ57" s="36">
        <v>0</v>
      </c>
      <c r="BR57" s="36">
        <v>0</v>
      </c>
      <c r="BS57" s="36">
        <v>0</v>
      </c>
      <c r="BT57" s="36">
        <v>0</v>
      </c>
      <c r="BU57" s="36">
        <v>0</v>
      </c>
      <c r="BV57" s="36">
        <v>0</v>
      </c>
      <c r="BW57" s="36">
        <v>0</v>
      </c>
      <c r="BX57" s="36">
        <v>0</v>
      </c>
      <c r="BY57" s="36">
        <v>0</v>
      </c>
      <c r="BZ57" s="36">
        <v>0</v>
      </c>
      <c r="CA57" s="36">
        <v>0</v>
      </c>
      <c r="CB57" s="36">
        <v>0</v>
      </c>
      <c r="CC57" s="36">
        <v>0</v>
      </c>
      <c r="CD57" s="36">
        <v>0</v>
      </c>
      <c r="CE57" s="36">
        <v>0</v>
      </c>
      <c r="CF57" s="36">
        <v>0</v>
      </c>
      <c r="CG57" s="36">
        <v>0</v>
      </c>
      <c r="CH57" s="36">
        <v>0</v>
      </c>
      <c r="CI57" s="36">
        <v>0</v>
      </c>
      <c r="CJ57" s="36">
        <v>0</v>
      </c>
      <c r="CK57" s="36">
        <v>0</v>
      </c>
      <c r="CL57" s="36">
        <v>-1</v>
      </c>
      <c r="CM57" s="36">
        <v>0</v>
      </c>
      <c r="CN57" s="36">
        <v>0</v>
      </c>
      <c r="CO57" s="36">
        <v>0</v>
      </c>
      <c r="CP57" s="36">
        <v>0</v>
      </c>
      <c r="CQ57" s="36">
        <v>0</v>
      </c>
      <c r="CR57" s="36">
        <v>0</v>
      </c>
      <c r="CS57" s="36">
        <v>0</v>
      </c>
      <c r="CT57" s="36">
        <v>0</v>
      </c>
      <c r="CU57" s="36">
        <v>0</v>
      </c>
      <c r="CV57" s="36">
        <v>0</v>
      </c>
      <c r="CW57" s="36">
        <v>0</v>
      </c>
      <c r="CX57" s="36">
        <v>0</v>
      </c>
      <c r="CY57" s="36">
        <v>0</v>
      </c>
      <c r="CZ57" s="36">
        <v>0</v>
      </c>
      <c r="DA57" s="36">
        <v>0</v>
      </c>
      <c r="DB57" s="36">
        <v>0</v>
      </c>
      <c r="DC57" s="36">
        <v>0</v>
      </c>
      <c r="DD57" s="36">
        <v>0</v>
      </c>
      <c r="DE57" s="36">
        <v>0</v>
      </c>
      <c r="DF57" s="36">
        <v>0</v>
      </c>
      <c r="DG57" s="36">
        <v>0</v>
      </c>
      <c r="DH57" s="36">
        <v>0</v>
      </c>
      <c r="DI57" s="36">
        <v>0</v>
      </c>
      <c r="DJ57" s="36">
        <v>0</v>
      </c>
      <c r="DK57" s="36">
        <v>1</v>
      </c>
      <c r="DL57" s="36">
        <v>-1</v>
      </c>
      <c r="DM57" s="36">
        <v>0</v>
      </c>
      <c r="DN57" s="36">
        <v>0</v>
      </c>
      <c r="DO57" s="36">
        <v>0</v>
      </c>
      <c r="DP57" s="36">
        <v>0</v>
      </c>
      <c r="DQ57" s="36">
        <v>0</v>
      </c>
      <c r="DR57" s="36">
        <v>0</v>
      </c>
      <c r="DS57" s="36">
        <v>0</v>
      </c>
      <c r="DT57" s="36">
        <v>0</v>
      </c>
      <c r="DU57" s="36">
        <v>0</v>
      </c>
      <c r="DV57" s="36">
        <v>0</v>
      </c>
      <c r="DW57" s="36">
        <v>0</v>
      </c>
      <c r="DX57" s="36">
        <v>1</v>
      </c>
      <c r="DY57" s="36">
        <v>0</v>
      </c>
      <c r="DZ57" s="36">
        <v>0</v>
      </c>
      <c r="EA57" s="36">
        <v>0</v>
      </c>
      <c r="EB57" s="36">
        <v>0</v>
      </c>
      <c r="EC57" s="36">
        <v>0</v>
      </c>
      <c r="ED57" s="36">
        <v>0</v>
      </c>
      <c r="EE57" s="36">
        <v>0</v>
      </c>
      <c r="EF57" s="36">
        <v>0</v>
      </c>
      <c r="EG57" s="36">
        <v>0</v>
      </c>
      <c r="EH57" s="36">
        <v>0</v>
      </c>
      <c r="EI57" s="36">
        <v>0</v>
      </c>
      <c r="EJ57" s="36">
        <v>0</v>
      </c>
      <c r="EK57" s="36">
        <v>0</v>
      </c>
      <c r="EL57" s="36">
        <v>0</v>
      </c>
      <c r="EM57" s="36">
        <v>0</v>
      </c>
      <c r="EN57" s="36">
        <v>0</v>
      </c>
      <c r="EO57" s="36">
        <v>0</v>
      </c>
      <c r="EP57" s="36">
        <v>0</v>
      </c>
      <c r="ET57" t="s">
        <v>265</v>
      </c>
      <c r="EU57" t="s">
        <v>530</v>
      </c>
      <c r="EV57" s="36">
        <v>2</v>
      </c>
      <c r="EW57" s="36">
        <v>0</v>
      </c>
      <c r="EX57" s="36">
        <v>0</v>
      </c>
      <c r="EY57" s="36">
        <v>0</v>
      </c>
      <c r="EZ57" s="36">
        <v>0</v>
      </c>
      <c r="FA57" s="36">
        <v>0</v>
      </c>
      <c r="FB57" s="36">
        <v>0</v>
      </c>
      <c r="FC57" s="36">
        <v>1</v>
      </c>
      <c r="FE57">
        <f t="shared" si="15"/>
        <v>-2</v>
      </c>
      <c r="FF57">
        <f t="shared" si="16"/>
        <v>-2</v>
      </c>
      <c r="FG57">
        <f t="shared" si="17"/>
        <v>-2</v>
      </c>
      <c r="FM57" s="43">
        <f t="shared" si="14"/>
        <v>0</v>
      </c>
      <c r="FN57" s="43">
        <f t="shared" si="14"/>
        <v>0</v>
      </c>
      <c r="FO57" s="43">
        <f t="shared" si="14"/>
        <v>0</v>
      </c>
      <c r="FP57" s="43">
        <f t="shared" si="13"/>
        <v>0</v>
      </c>
      <c r="FQ57" s="43">
        <f t="shared" si="13"/>
        <v>0</v>
      </c>
      <c r="FR57" s="43">
        <f t="shared" si="13"/>
        <v>0</v>
      </c>
      <c r="FS57" s="43">
        <f t="shared" si="13"/>
        <v>0</v>
      </c>
      <c r="FV57" t="s">
        <v>579</v>
      </c>
      <c r="FW57" t="s">
        <v>580</v>
      </c>
    </row>
    <row r="58" spans="1:179" ht="19.5" customHeight="1" x14ac:dyDescent="0.35">
      <c r="A58" t="s">
        <v>581</v>
      </c>
      <c r="B58" s="36">
        <v>1</v>
      </c>
      <c r="C58" s="36">
        <v>0</v>
      </c>
      <c r="D58" s="36">
        <v>0</v>
      </c>
      <c r="E58" s="36">
        <v>0</v>
      </c>
      <c r="F58" s="36">
        <v>0</v>
      </c>
      <c r="G58" s="36">
        <v>0</v>
      </c>
      <c r="H58" s="36">
        <v>0</v>
      </c>
      <c r="I58" s="36">
        <v>0</v>
      </c>
      <c r="J58" s="36">
        <v>0</v>
      </c>
      <c r="K58" s="36">
        <v>0</v>
      </c>
      <c r="L58" s="36">
        <v>0</v>
      </c>
      <c r="M58" s="36">
        <v>0</v>
      </c>
      <c r="N58" s="36">
        <v>0</v>
      </c>
      <c r="O58" s="36">
        <v>0</v>
      </c>
      <c r="P58" s="36">
        <v>0</v>
      </c>
      <c r="Q58" s="36">
        <v>0</v>
      </c>
      <c r="R58" s="36">
        <v>0</v>
      </c>
      <c r="S58" s="36">
        <v>0</v>
      </c>
      <c r="T58" s="36">
        <v>-1</v>
      </c>
      <c r="U58" s="36">
        <v>1</v>
      </c>
      <c r="V58" s="36">
        <v>0</v>
      </c>
      <c r="W58" s="36">
        <v>0</v>
      </c>
      <c r="X58" s="36">
        <v>0</v>
      </c>
      <c r="Y58" s="36">
        <v>0</v>
      </c>
      <c r="Z58" s="36">
        <v>0</v>
      </c>
      <c r="AA58" s="36">
        <v>0</v>
      </c>
      <c r="AB58" s="36">
        <v>0</v>
      </c>
      <c r="AC58" s="36">
        <v>0</v>
      </c>
      <c r="AD58" s="36">
        <v>0</v>
      </c>
      <c r="AE58" s="36">
        <v>0</v>
      </c>
      <c r="AF58" s="36">
        <v>0</v>
      </c>
      <c r="AG58" s="36">
        <v>0</v>
      </c>
      <c r="AH58" s="36">
        <v>0</v>
      </c>
      <c r="AI58" s="36">
        <v>0</v>
      </c>
      <c r="AJ58" s="36">
        <v>0</v>
      </c>
      <c r="AK58" s="36">
        <v>0</v>
      </c>
      <c r="AL58" s="36">
        <v>1</v>
      </c>
      <c r="AM58" s="36">
        <v>0</v>
      </c>
      <c r="AN58" s="36">
        <v>0</v>
      </c>
      <c r="AO58" s="36">
        <v>0</v>
      </c>
      <c r="AP58" s="36">
        <v>0</v>
      </c>
      <c r="AQ58" s="36">
        <v>0</v>
      </c>
      <c r="AR58" s="36">
        <v>-1</v>
      </c>
      <c r="AS58" s="36">
        <v>0</v>
      </c>
      <c r="AT58" s="36">
        <v>0</v>
      </c>
      <c r="AU58" s="36">
        <v>0</v>
      </c>
      <c r="AV58" s="36">
        <v>0</v>
      </c>
      <c r="AW58" s="36">
        <v>0</v>
      </c>
      <c r="AX58" s="36">
        <v>0</v>
      </c>
      <c r="AY58" s="36">
        <v>0</v>
      </c>
      <c r="AZ58" s="36">
        <v>0</v>
      </c>
      <c r="BA58" s="36">
        <v>0</v>
      </c>
      <c r="BB58" s="36">
        <v>0</v>
      </c>
      <c r="BC58" s="36">
        <v>0</v>
      </c>
      <c r="BD58" s="36">
        <v>0</v>
      </c>
      <c r="BE58" s="36">
        <v>0</v>
      </c>
      <c r="BF58" s="36">
        <v>0</v>
      </c>
      <c r="BG58" s="36">
        <v>0</v>
      </c>
      <c r="BH58" s="36">
        <v>0</v>
      </c>
      <c r="BI58" s="36">
        <v>0</v>
      </c>
      <c r="BJ58" s="36">
        <v>0</v>
      </c>
      <c r="BK58" s="36">
        <v>0</v>
      </c>
      <c r="BL58" s="36">
        <v>0</v>
      </c>
      <c r="BM58" s="36">
        <v>0</v>
      </c>
      <c r="BN58" s="36">
        <v>0</v>
      </c>
      <c r="BO58" s="36">
        <v>0</v>
      </c>
      <c r="BP58" s="36">
        <v>0</v>
      </c>
      <c r="BQ58" s="36">
        <v>0</v>
      </c>
      <c r="BR58" s="36">
        <v>0</v>
      </c>
      <c r="BS58" s="36">
        <v>0</v>
      </c>
      <c r="BT58" s="36">
        <v>0</v>
      </c>
      <c r="BU58" s="36">
        <v>0</v>
      </c>
      <c r="BV58" s="36">
        <v>0</v>
      </c>
      <c r="BW58" s="36">
        <v>0</v>
      </c>
      <c r="BX58" s="36">
        <v>0</v>
      </c>
      <c r="BY58" s="36">
        <v>0</v>
      </c>
      <c r="BZ58" s="36">
        <v>0</v>
      </c>
      <c r="CA58" s="36">
        <v>0</v>
      </c>
      <c r="CB58" s="36">
        <v>0</v>
      </c>
      <c r="CC58" s="36">
        <v>0</v>
      </c>
      <c r="CD58" s="36">
        <v>0</v>
      </c>
      <c r="CE58" s="36">
        <v>0</v>
      </c>
      <c r="CF58" s="36">
        <v>0</v>
      </c>
      <c r="CG58" s="36">
        <v>0</v>
      </c>
      <c r="CH58" s="36">
        <v>0</v>
      </c>
      <c r="CI58" s="36">
        <v>0</v>
      </c>
      <c r="CJ58" s="36">
        <v>0</v>
      </c>
      <c r="CK58" s="36">
        <v>0</v>
      </c>
      <c r="CL58" s="36">
        <v>0</v>
      </c>
      <c r="CM58" s="36">
        <v>0</v>
      </c>
      <c r="CN58" s="36">
        <v>0</v>
      </c>
      <c r="CO58" s="36">
        <v>0</v>
      </c>
      <c r="CP58" s="36">
        <v>0</v>
      </c>
      <c r="CQ58" s="36">
        <v>0</v>
      </c>
      <c r="CR58" s="36">
        <v>0</v>
      </c>
      <c r="CS58" s="36">
        <v>0</v>
      </c>
      <c r="CT58" s="36">
        <v>0</v>
      </c>
      <c r="CU58" s="36">
        <v>0</v>
      </c>
      <c r="CV58" s="36">
        <v>0</v>
      </c>
      <c r="CW58" s="36">
        <v>0</v>
      </c>
      <c r="CX58" s="36">
        <v>0</v>
      </c>
      <c r="CY58" s="36">
        <v>0</v>
      </c>
      <c r="CZ58" s="36">
        <v>0</v>
      </c>
      <c r="DA58" s="36">
        <v>0</v>
      </c>
      <c r="DB58" s="36">
        <v>0</v>
      </c>
      <c r="DC58" s="36">
        <v>0</v>
      </c>
      <c r="DD58" s="36">
        <v>0</v>
      </c>
      <c r="DE58" s="36">
        <v>0</v>
      </c>
      <c r="DF58" s="36">
        <v>0</v>
      </c>
      <c r="DG58" s="36">
        <v>0</v>
      </c>
      <c r="DH58" s="36">
        <v>0</v>
      </c>
      <c r="DI58" s="36">
        <v>0</v>
      </c>
      <c r="DJ58" s="36">
        <v>0</v>
      </c>
      <c r="DK58" s="36">
        <v>0</v>
      </c>
      <c r="DL58" s="36">
        <v>0</v>
      </c>
      <c r="DM58" s="36">
        <v>0</v>
      </c>
      <c r="DN58" s="36">
        <v>0</v>
      </c>
      <c r="DO58" s="36">
        <v>0</v>
      </c>
      <c r="DP58" s="36">
        <v>0</v>
      </c>
      <c r="DQ58" s="36">
        <v>0</v>
      </c>
      <c r="DR58" s="36">
        <v>0</v>
      </c>
      <c r="DS58" s="36">
        <v>0</v>
      </c>
      <c r="DT58" s="36">
        <v>0</v>
      </c>
      <c r="DU58" s="36">
        <v>0</v>
      </c>
      <c r="DV58" s="36">
        <v>0</v>
      </c>
      <c r="DW58" s="36">
        <v>0</v>
      </c>
      <c r="DX58" s="36">
        <v>0</v>
      </c>
      <c r="DY58" s="36">
        <v>0</v>
      </c>
      <c r="DZ58" s="36">
        <v>0</v>
      </c>
      <c r="EA58" s="36">
        <v>0</v>
      </c>
      <c r="EB58" s="36">
        <v>0</v>
      </c>
      <c r="EC58" s="36">
        <v>0</v>
      </c>
      <c r="ED58" s="36">
        <v>0</v>
      </c>
      <c r="EE58" s="36">
        <v>0</v>
      </c>
      <c r="EF58" s="36">
        <v>0</v>
      </c>
      <c r="EG58" s="36">
        <v>0</v>
      </c>
      <c r="EH58" s="36">
        <v>0</v>
      </c>
      <c r="EI58" s="36">
        <v>0</v>
      </c>
      <c r="EJ58" s="36">
        <v>0</v>
      </c>
      <c r="EK58" s="36">
        <v>0</v>
      </c>
      <c r="EL58" s="36">
        <v>0</v>
      </c>
      <c r="EM58" s="36">
        <v>0</v>
      </c>
      <c r="EN58" s="36">
        <v>0</v>
      </c>
      <c r="EO58" s="36">
        <v>0</v>
      </c>
      <c r="EP58" s="36">
        <v>0</v>
      </c>
      <c r="ET58" t="s">
        <v>159</v>
      </c>
      <c r="EU58" t="s">
        <v>582</v>
      </c>
      <c r="EV58" s="36">
        <v>-2</v>
      </c>
      <c r="EW58" s="36">
        <v>4</v>
      </c>
      <c r="EX58" s="36">
        <v>7</v>
      </c>
      <c r="EY58" s="36">
        <v>0</v>
      </c>
      <c r="EZ58" s="36">
        <v>7</v>
      </c>
      <c r="FA58" s="36">
        <v>1</v>
      </c>
      <c r="FB58" s="36">
        <v>0</v>
      </c>
      <c r="FC58" s="42">
        <f>(4*EW58)+(EX58)+(-3*EY58)+(-2*EZ58)+(5*FA58)+(-2*FB58)+(-1*EV58)</f>
        <v>16</v>
      </c>
      <c r="FE58">
        <f t="shared" si="10"/>
        <v>4</v>
      </c>
      <c r="FF58">
        <f t="shared" si="11"/>
        <v>4</v>
      </c>
      <c r="FG58">
        <f t="shared" si="12"/>
        <v>4</v>
      </c>
      <c r="FM58" s="43">
        <f t="shared" si="14"/>
        <v>0</v>
      </c>
      <c r="FN58" s="43">
        <f t="shared" si="14"/>
        <v>0</v>
      </c>
      <c r="FO58" s="43">
        <f t="shared" si="14"/>
        <v>0</v>
      </c>
      <c r="FP58" s="43">
        <f t="shared" si="13"/>
        <v>0</v>
      </c>
      <c r="FQ58" s="43">
        <f t="shared" si="13"/>
        <v>0</v>
      </c>
      <c r="FR58" s="43">
        <f t="shared" si="13"/>
        <v>0</v>
      </c>
      <c r="FS58" s="43">
        <f t="shared" si="13"/>
        <v>0</v>
      </c>
      <c r="FV58" t="s">
        <v>583</v>
      </c>
      <c r="FW58" t="s">
        <v>584</v>
      </c>
    </row>
    <row r="59" spans="1:179" ht="19.5" customHeight="1" x14ac:dyDescent="0.35">
      <c r="A59" t="s">
        <v>585</v>
      </c>
      <c r="B59" s="36">
        <v>1</v>
      </c>
      <c r="C59" s="36">
        <v>0</v>
      </c>
      <c r="D59" s="36">
        <v>0</v>
      </c>
      <c r="E59" s="36">
        <v>0</v>
      </c>
      <c r="F59" s="36">
        <v>0</v>
      </c>
      <c r="G59" s="36">
        <v>0</v>
      </c>
      <c r="H59" s="36">
        <v>0</v>
      </c>
      <c r="I59" s="36">
        <v>0</v>
      </c>
      <c r="J59" s="36">
        <v>0</v>
      </c>
      <c r="K59" s="36">
        <v>0</v>
      </c>
      <c r="L59" s="36">
        <v>0</v>
      </c>
      <c r="M59" s="36">
        <v>0</v>
      </c>
      <c r="N59" s="36">
        <v>0</v>
      </c>
      <c r="O59" s="36">
        <v>0</v>
      </c>
      <c r="P59" s="36">
        <v>0</v>
      </c>
      <c r="Q59" s="36">
        <v>0</v>
      </c>
      <c r="R59" s="36">
        <v>0</v>
      </c>
      <c r="S59" s="36">
        <v>0</v>
      </c>
      <c r="T59" s="36">
        <v>0</v>
      </c>
      <c r="U59" s="36">
        <v>0</v>
      </c>
      <c r="V59" s="36">
        <v>0</v>
      </c>
      <c r="W59" s="36">
        <v>0</v>
      </c>
      <c r="X59" s="36">
        <v>0</v>
      </c>
      <c r="Y59" s="36">
        <v>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-1</v>
      </c>
      <c r="AR59" s="36">
        <v>1</v>
      </c>
      <c r="AS59" s="36">
        <v>0</v>
      </c>
      <c r="AT59" s="36">
        <v>0</v>
      </c>
      <c r="AU59" s="36">
        <v>0</v>
      </c>
      <c r="AV59" s="36">
        <v>0</v>
      </c>
      <c r="AW59" s="36">
        <v>0</v>
      </c>
      <c r="AX59" s="36">
        <v>0</v>
      </c>
      <c r="AY59" s="36">
        <v>0</v>
      </c>
      <c r="AZ59" s="36">
        <v>0</v>
      </c>
      <c r="BA59" s="36">
        <v>0</v>
      </c>
      <c r="BB59" s="36">
        <v>0</v>
      </c>
      <c r="BC59" s="36">
        <v>0</v>
      </c>
      <c r="BD59" s="36">
        <v>0</v>
      </c>
      <c r="BE59" s="36">
        <v>0</v>
      </c>
      <c r="BF59" s="36">
        <v>0</v>
      </c>
      <c r="BG59" s="36">
        <v>0</v>
      </c>
      <c r="BH59" s="36">
        <v>0</v>
      </c>
      <c r="BI59" s="36">
        <v>0</v>
      </c>
      <c r="BJ59" s="36">
        <v>0</v>
      </c>
      <c r="BK59" s="36">
        <v>0</v>
      </c>
      <c r="BL59" s="36">
        <v>-1</v>
      </c>
      <c r="BM59" s="36">
        <v>0</v>
      </c>
      <c r="BN59" s="36">
        <v>0</v>
      </c>
      <c r="BO59" s="36">
        <v>0</v>
      </c>
      <c r="BP59" s="36">
        <v>0</v>
      </c>
      <c r="BQ59" s="36">
        <v>0</v>
      </c>
      <c r="BR59" s="36">
        <v>0</v>
      </c>
      <c r="BS59" s="36">
        <v>0</v>
      </c>
      <c r="BT59" s="36">
        <v>0</v>
      </c>
      <c r="BU59" s="36">
        <v>0</v>
      </c>
      <c r="BV59" s="36">
        <v>0</v>
      </c>
      <c r="BW59" s="36">
        <v>0</v>
      </c>
      <c r="BX59" s="36">
        <v>0</v>
      </c>
      <c r="BY59" s="36">
        <v>0</v>
      </c>
      <c r="BZ59" s="36">
        <v>0</v>
      </c>
      <c r="CA59" s="36">
        <v>0</v>
      </c>
      <c r="CB59" s="36">
        <v>0</v>
      </c>
      <c r="CC59" s="36">
        <v>0</v>
      </c>
      <c r="CD59" s="36">
        <v>0</v>
      </c>
      <c r="CE59" s="36">
        <v>0</v>
      </c>
      <c r="CF59" s="36">
        <v>0</v>
      </c>
      <c r="CG59" s="36">
        <v>0</v>
      </c>
      <c r="CH59" s="36">
        <v>0</v>
      </c>
      <c r="CI59" s="36">
        <v>0</v>
      </c>
      <c r="CJ59" s="36">
        <v>0</v>
      </c>
      <c r="CK59" s="36">
        <v>0</v>
      </c>
      <c r="CL59" s="36">
        <v>-1</v>
      </c>
      <c r="CM59" s="36">
        <v>0</v>
      </c>
      <c r="CN59" s="36">
        <v>0</v>
      </c>
      <c r="CO59" s="36">
        <v>0</v>
      </c>
      <c r="CP59" s="36">
        <v>0</v>
      </c>
      <c r="CQ59" s="36">
        <v>0</v>
      </c>
      <c r="CR59" s="36">
        <v>0</v>
      </c>
      <c r="CS59" s="36">
        <v>0</v>
      </c>
      <c r="CT59" s="36">
        <v>0</v>
      </c>
      <c r="CU59" s="36">
        <v>0</v>
      </c>
      <c r="CV59" s="36">
        <v>0</v>
      </c>
      <c r="CW59" s="36">
        <v>0</v>
      </c>
      <c r="CX59" s="36">
        <v>0</v>
      </c>
      <c r="CY59" s="36">
        <v>0</v>
      </c>
      <c r="CZ59" s="36">
        <v>0</v>
      </c>
      <c r="DA59" s="36">
        <v>0</v>
      </c>
      <c r="DB59" s="36">
        <v>0</v>
      </c>
      <c r="DC59" s="36">
        <v>0</v>
      </c>
      <c r="DD59" s="36">
        <v>0</v>
      </c>
      <c r="DE59" s="36">
        <v>0</v>
      </c>
      <c r="DF59" s="36">
        <v>0</v>
      </c>
      <c r="DG59" s="36">
        <v>0</v>
      </c>
      <c r="DH59" s="36">
        <v>0</v>
      </c>
      <c r="DI59" s="36">
        <v>0</v>
      </c>
      <c r="DJ59" s="36">
        <v>0</v>
      </c>
      <c r="DK59" s="36">
        <v>0</v>
      </c>
      <c r="DL59" s="36">
        <v>0</v>
      </c>
      <c r="DM59" s="36">
        <v>0</v>
      </c>
      <c r="DN59" s="36">
        <v>0</v>
      </c>
      <c r="DO59" s="36">
        <v>0</v>
      </c>
      <c r="DP59" s="36">
        <v>0</v>
      </c>
      <c r="DQ59" s="36">
        <v>0</v>
      </c>
      <c r="DR59" s="36">
        <v>0</v>
      </c>
      <c r="DS59" s="36">
        <v>0</v>
      </c>
      <c r="DT59" s="36">
        <v>0</v>
      </c>
      <c r="DU59" s="36">
        <v>0</v>
      </c>
      <c r="DV59" s="36">
        <v>0</v>
      </c>
      <c r="DW59" s="36">
        <v>0</v>
      </c>
      <c r="DX59" s="36">
        <v>1</v>
      </c>
      <c r="DY59" s="36">
        <v>0</v>
      </c>
      <c r="DZ59" s="36">
        <v>-1</v>
      </c>
      <c r="EA59" s="36">
        <v>0</v>
      </c>
      <c r="EB59" s="36">
        <v>0</v>
      </c>
      <c r="EC59" s="36">
        <v>0</v>
      </c>
      <c r="ED59" s="36">
        <v>0</v>
      </c>
      <c r="EE59" s="36">
        <v>0</v>
      </c>
      <c r="EF59" s="36">
        <v>0</v>
      </c>
      <c r="EG59" s="36">
        <v>0</v>
      </c>
      <c r="EH59" s="36">
        <v>1</v>
      </c>
      <c r="EI59" s="36">
        <v>0</v>
      </c>
      <c r="EJ59" s="36">
        <v>0</v>
      </c>
      <c r="EK59" s="36">
        <v>0</v>
      </c>
      <c r="EL59" s="36">
        <v>0</v>
      </c>
      <c r="EM59" s="36">
        <v>0</v>
      </c>
      <c r="EN59" s="36">
        <v>0</v>
      </c>
      <c r="EO59" s="36">
        <v>0</v>
      </c>
      <c r="EP59" s="36">
        <v>0</v>
      </c>
      <c r="ET59" t="s">
        <v>586</v>
      </c>
      <c r="EU59" t="s">
        <v>587</v>
      </c>
      <c r="EV59" s="36">
        <v>-3</v>
      </c>
      <c r="EW59" s="36">
        <v>6</v>
      </c>
      <c r="EX59" s="36">
        <v>10</v>
      </c>
      <c r="EY59" s="36">
        <v>0</v>
      </c>
      <c r="EZ59" s="36">
        <v>10</v>
      </c>
      <c r="FA59" s="36">
        <v>1</v>
      </c>
      <c r="FB59" s="36">
        <v>0</v>
      </c>
      <c r="FC59" s="42">
        <f>(4*EW59)+(EX59)+(-3*EY59)+(-2*EZ59)+(5*FA59)+(-2*FB59)+(-1*EV59)</f>
        <v>22</v>
      </c>
      <c r="FE59">
        <f t="shared" si="10"/>
        <v>3.6666666666666665</v>
      </c>
      <c r="FF59">
        <f t="shared" si="11"/>
        <v>3.6666666666666665</v>
      </c>
      <c r="FG59">
        <f t="shared" si="12"/>
        <v>3.6666666666666665</v>
      </c>
      <c r="FM59" s="43">
        <f t="shared" si="14"/>
        <v>0</v>
      </c>
      <c r="FN59" s="43">
        <f t="shared" si="14"/>
        <v>0</v>
      </c>
      <c r="FO59" s="43">
        <f t="shared" si="14"/>
        <v>0</v>
      </c>
      <c r="FP59" s="43">
        <f t="shared" si="13"/>
        <v>0</v>
      </c>
      <c r="FQ59" s="43">
        <f t="shared" si="13"/>
        <v>0</v>
      </c>
      <c r="FR59" s="43">
        <f t="shared" si="13"/>
        <v>0</v>
      </c>
      <c r="FS59" s="43">
        <f t="shared" si="13"/>
        <v>0</v>
      </c>
      <c r="FV59" t="s">
        <v>588</v>
      </c>
      <c r="FW59" t="s">
        <v>589</v>
      </c>
    </row>
    <row r="60" spans="1:179" ht="19.5" customHeight="1" x14ac:dyDescent="0.35">
      <c r="A60" t="s">
        <v>590</v>
      </c>
      <c r="B60" s="36">
        <v>1</v>
      </c>
      <c r="C60" s="36">
        <v>0</v>
      </c>
      <c r="D60" s="36">
        <v>0</v>
      </c>
      <c r="E60" s="36">
        <v>0</v>
      </c>
      <c r="F60" s="36">
        <v>0</v>
      </c>
      <c r="G60" s="36">
        <v>0</v>
      </c>
      <c r="H60" s="36">
        <v>0</v>
      </c>
      <c r="I60" s="36">
        <v>0</v>
      </c>
      <c r="J60" s="36">
        <v>0</v>
      </c>
      <c r="K60" s="36">
        <v>0</v>
      </c>
      <c r="L60" s="36">
        <v>0</v>
      </c>
      <c r="M60" s="36">
        <v>0</v>
      </c>
      <c r="N60" s="36">
        <v>0</v>
      </c>
      <c r="O60" s="36">
        <v>0</v>
      </c>
      <c r="P60" s="36">
        <v>0</v>
      </c>
      <c r="Q60" s="36">
        <v>0</v>
      </c>
      <c r="R60" s="36">
        <v>0</v>
      </c>
      <c r="S60" s="36">
        <v>0</v>
      </c>
      <c r="T60" s="36">
        <v>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0</v>
      </c>
      <c r="AZ60" s="36">
        <v>0</v>
      </c>
      <c r="BA60" s="36">
        <v>0</v>
      </c>
      <c r="BB60" s="36">
        <v>0</v>
      </c>
      <c r="BC60" s="36">
        <v>0</v>
      </c>
      <c r="BD60" s="36">
        <v>0</v>
      </c>
      <c r="BE60" s="36">
        <v>0</v>
      </c>
      <c r="BF60" s="36">
        <v>0</v>
      </c>
      <c r="BG60" s="36">
        <v>0</v>
      </c>
      <c r="BH60" s="36">
        <v>0</v>
      </c>
      <c r="BI60" s="36">
        <v>0</v>
      </c>
      <c r="BJ60" s="36">
        <v>1</v>
      </c>
      <c r="BK60" s="36">
        <v>0</v>
      </c>
      <c r="BL60" s="36">
        <v>0</v>
      </c>
      <c r="BM60" s="36">
        <v>-1</v>
      </c>
      <c r="BN60" s="36">
        <v>0</v>
      </c>
      <c r="BO60" s="36">
        <v>1</v>
      </c>
      <c r="BP60" s="36">
        <v>0</v>
      </c>
      <c r="BQ60" s="36">
        <v>-1</v>
      </c>
      <c r="BR60" s="36">
        <v>0</v>
      </c>
      <c r="BS60" s="36">
        <v>0</v>
      </c>
      <c r="BT60" s="36">
        <v>0</v>
      </c>
      <c r="BU60" s="36">
        <v>0</v>
      </c>
      <c r="BV60" s="36">
        <v>0</v>
      </c>
      <c r="BW60" s="36">
        <v>0</v>
      </c>
      <c r="BX60" s="36">
        <v>0</v>
      </c>
      <c r="BY60" s="36">
        <v>0</v>
      </c>
      <c r="BZ60" s="36">
        <v>0</v>
      </c>
      <c r="CA60" s="36">
        <v>0</v>
      </c>
      <c r="CB60" s="36">
        <v>0</v>
      </c>
      <c r="CC60" s="36">
        <v>0</v>
      </c>
      <c r="CD60" s="36">
        <v>0</v>
      </c>
      <c r="CE60" s="36">
        <v>0</v>
      </c>
      <c r="CF60" s="36">
        <v>0</v>
      </c>
      <c r="CG60" s="36">
        <v>0</v>
      </c>
      <c r="CH60" s="36">
        <v>0</v>
      </c>
      <c r="CI60" s="36">
        <v>0</v>
      </c>
      <c r="CJ60" s="36">
        <v>0</v>
      </c>
      <c r="CK60" s="36">
        <v>0</v>
      </c>
      <c r="CL60" s="36">
        <v>0</v>
      </c>
      <c r="CM60" s="36">
        <v>0</v>
      </c>
      <c r="CN60" s="36">
        <v>0</v>
      </c>
      <c r="CO60" s="36">
        <v>0</v>
      </c>
      <c r="CP60" s="36">
        <v>0</v>
      </c>
      <c r="CQ60" s="36">
        <v>0</v>
      </c>
      <c r="CR60" s="36">
        <v>0</v>
      </c>
      <c r="CS60" s="36">
        <v>0</v>
      </c>
      <c r="CT60" s="36">
        <v>0</v>
      </c>
      <c r="CU60" s="36">
        <v>0</v>
      </c>
      <c r="CV60" s="36">
        <v>0</v>
      </c>
      <c r="CW60" s="36">
        <v>0</v>
      </c>
      <c r="CX60" s="36">
        <v>0</v>
      </c>
      <c r="CY60" s="36">
        <v>0</v>
      </c>
      <c r="CZ60" s="36">
        <v>0</v>
      </c>
      <c r="DA60" s="36">
        <v>0</v>
      </c>
      <c r="DB60" s="36">
        <v>0</v>
      </c>
      <c r="DC60" s="36">
        <v>0</v>
      </c>
      <c r="DD60" s="36">
        <v>0</v>
      </c>
      <c r="DE60" s="36">
        <v>0</v>
      </c>
      <c r="DF60" s="36">
        <v>0</v>
      </c>
      <c r="DG60" s="36">
        <v>0</v>
      </c>
      <c r="DH60" s="36">
        <v>0</v>
      </c>
      <c r="DI60" s="36">
        <v>0</v>
      </c>
      <c r="DJ60" s="36">
        <v>0</v>
      </c>
      <c r="DK60" s="36">
        <v>0</v>
      </c>
      <c r="DL60" s="36">
        <v>0</v>
      </c>
      <c r="DM60" s="36">
        <v>0</v>
      </c>
      <c r="DN60" s="36">
        <v>0</v>
      </c>
      <c r="DO60" s="36">
        <v>0</v>
      </c>
      <c r="DP60" s="36">
        <v>0</v>
      </c>
      <c r="DQ60" s="36">
        <v>0</v>
      </c>
      <c r="DR60" s="36">
        <v>0</v>
      </c>
      <c r="DS60" s="36">
        <v>0</v>
      </c>
      <c r="DT60" s="36">
        <v>0</v>
      </c>
      <c r="DU60" s="36">
        <v>0</v>
      </c>
      <c r="DV60" s="36">
        <v>0</v>
      </c>
      <c r="DW60" s="36">
        <v>0</v>
      </c>
      <c r="DX60" s="36">
        <v>0</v>
      </c>
      <c r="DY60" s="36">
        <v>0</v>
      </c>
      <c r="DZ60" s="36">
        <v>0</v>
      </c>
      <c r="EA60" s="36">
        <v>0</v>
      </c>
      <c r="EB60" s="36">
        <v>0</v>
      </c>
      <c r="EC60" s="36">
        <v>0</v>
      </c>
      <c r="ED60" s="36">
        <v>0</v>
      </c>
      <c r="EE60" s="36">
        <v>0</v>
      </c>
      <c r="EF60" s="36">
        <v>0</v>
      </c>
      <c r="EG60" s="36">
        <v>0</v>
      </c>
      <c r="EH60" s="36">
        <v>0</v>
      </c>
      <c r="EI60" s="36">
        <v>0</v>
      </c>
      <c r="EJ60" s="36">
        <v>0</v>
      </c>
      <c r="EK60" s="36">
        <v>0</v>
      </c>
      <c r="EL60" s="36">
        <v>0</v>
      </c>
      <c r="EM60" s="36">
        <v>0</v>
      </c>
      <c r="EN60" s="36">
        <v>0</v>
      </c>
      <c r="EO60" s="36">
        <v>0</v>
      </c>
      <c r="EP60" s="36">
        <v>0</v>
      </c>
      <c r="ET60" t="s">
        <v>157</v>
      </c>
      <c r="EU60" t="s">
        <v>540</v>
      </c>
      <c r="EV60" s="36">
        <v>-2</v>
      </c>
      <c r="EW60" s="36">
        <v>6</v>
      </c>
      <c r="EX60" s="36">
        <v>11</v>
      </c>
      <c r="EY60" s="36">
        <v>0</v>
      </c>
      <c r="EZ60" s="36">
        <v>9</v>
      </c>
      <c r="FA60" s="36">
        <v>1</v>
      </c>
      <c r="FB60" s="36">
        <v>0</v>
      </c>
      <c r="FC60" s="42">
        <f>(4*EW60)+(EX60)+(-3*EY60)+(-2*EZ60)+(5*FA60)+(-2*FB60)+(-1*EV60)</f>
        <v>24</v>
      </c>
      <c r="FE60">
        <f t="shared" si="10"/>
        <v>4</v>
      </c>
      <c r="FF60">
        <f t="shared" si="11"/>
        <v>4</v>
      </c>
      <c r="FG60">
        <f t="shared" si="12"/>
        <v>4</v>
      </c>
      <c r="FM60" s="43">
        <f t="shared" si="14"/>
        <v>0</v>
      </c>
      <c r="FN60" s="43">
        <f t="shared" si="14"/>
        <v>0</v>
      </c>
      <c r="FO60" s="43">
        <f t="shared" si="14"/>
        <v>0</v>
      </c>
      <c r="FP60" s="43">
        <f t="shared" si="13"/>
        <v>0</v>
      </c>
      <c r="FQ60" s="43">
        <f t="shared" si="13"/>
        <v>0</v>
      </c>
      <c r="FR60" s="43">
        <f t="shared" si="13"/>
        <v>0</v>
      </c>
      <c r="FS60" s="43">
        <f t="shared" si="13"/>
        <v>0</v>
      </c>
      <c r="FV60" t="s">
        <v>591</v>
      </c>
      <c r="FW60" t="s">
        <v>592</v>
      </c>
    </row>
    <row r="61" spans="1:179" ht="19.5" customHeight="1" x14ac:dyDescent="0.35">
      <c r="A61" t="s">
        <v>593</v>
      </c>
      <c r="B61" s="36">
        <v>1</v>
      </c>
      <c r="C61" s="36">
        <v>0</v>
      </c>
      <c r="D61" s="36">
        <v>0</v>
      </c>
      <c r="E61" s="36">
        <v>0</v>
      </c>
      <c r="F61" s="36">
        <v>0</v>
      </c>
      <c r="G61" s="36">
        <v>0</v>
      </c>
      <c r="H61" s="36">
        <v>0</v>
      </c>
      <c r="I61" s="36">
        <v>0</v>
      </c>
      <c r="J61" s="36">
        <v>0</v>
      </c>
      <c r="K61" s="36">
        <v>0</v>
      </c>
      <c r="L61" s="36">
        <v>0</v>
      </c>
      <c r="M61" s="36">
        <v>0</v>
      </c>
      <c r="N61" s="36">
        <v>0</v>
      </c>
      <c r="O61" s="36">
        <v>0</v>
      </c>
      <c r="P61" s="36">
        <v>0</v>
      </c>
      <c r="Q61" s="36">
        <v>0</v>
      </c>
      <c r="R61" s="36">
        <v>0</v>
      </c>
      <c r="S61" s="36">
        <v>0</v>
      </c>
      <c r="T61" s="36">
        <v>0</v>
      </c>
      <c r="U61" s="36">
        <v>0</v>
      </c>
      <c r="V61" s="36">
        <v>0</v>
      </c>
      <c r="W61" s="36">
        <v>0</v>
      </c>
      <c r="X61" s="36">
        <v>0</v>
      </c>
      <c r="Y61" s="36">
        <v>0</v>
      </c>
      <c r="Z61" s="36">
        <v>0</v>
      </c>
      <c r="AA61" s="36">
        <v>0</v>
      </c>
      <c r="AB61" s="36">
        <v>0</v>
      </c>
      <c r="AC61" s="36">
        <v>0</v>
      </c>
      <c r="AD61" s="36">
        <v>0</v>
      </c>
      <c r="AE61" s="36">
        <v>0</v>
      </c>
      <c r="AF61" s="36">
        <v>0</v>
      </c>
      <c r="AG61" s="36">
        <v>0</v>
      </c>
      <c r="AH61" s="36">
        <v>0</v>
      </c>
      <c r="AI61" s="36">
        <v>0</v>
      </c>
      <c r="AJ61" s="36">
        <v>0</v>
      </c>
      <c r="AK61" s="36">
        <v>0</v>
      </c>
      <c r="AL61" s="36">
        <v>0</v>
      </c>
      <c r="AM61" s="36">
        <v>0</v>
      </c>
      <c r="AN61" s="36">
        <v>0</v>
      </c>
      <c r="AO61" s="36">
        <v>0</v>
      </c>
      <c r="AP61" s="36">
        <v>0</v>
      </c>
      <c r="AQ61" s="36">
        <v>0</v>
      </c>
      <c r="AR61" s="36">
        <v>0</v>
      </c>
      <c r="AS61" s="36">
        <v>0</v>
      </c>
      <c r="AT61" s="36">
        <v>0</v>
      </c>
      <c r="AU61" s="36">
        <v>1</v>
      </c>
      <c r="AV61" s="36">
        <v>0</v>
      </c>
      <c r="AW61" s="36">
        <v>0</v>
      </c>
      <c r="AX61" s="36">
        <v>0</v>
      </c>
      <c r="AY61" s="36">
        <v>0</v>
      </c>
      <c r="AZ61" s="36">
        <v>0</v>
      </c>
      <c r="BA61" s="36">
        <v>0</v>
      </c>
      <c r="BB61" s="36">
        <v>0</v>
      </c>
      <c r="BC61" s="36">
        <v>0</v>
      </c>
      <c r="BD61" s="36">
        <v>0</v>
      </c>
      <c r="BE61" s="36">
        <v>0</v>
      </c>
      <c r="BF61" s="36">
        <v>0</v>
      </c>
      <c r="BG61" s="36">
        <v>-1</v>
      </c>
      <c r="BH61" s="36">
        <v>0</v>
      </c>
      <c r="BI61" s="36">
        <v>0</v>
      </c>
      <c r="BJ61" s="36">
        <v>1</v>
      </c>
      <c r="BK61" s="36">
        <v>0</v>
      </c>
      <c r="BL61" s="36">
        <v>0</v>
      </c>
      <c r="BM61" s="36">
        <v>0</v>
      </c>
      <c r="BN61" s="36">
        <v>0</v>
      </c>
      <c r="BO61" s="36">
        <v>0</v>
      </c>
      <c r="BP61" s="36">
        <v>0</v>
      </c>
      <c r="BQ61" s="36">
        <v>-1</v>
      </c>
      <c r="BR61" s="36">
        <v>0</v>
      </c>
      <c r="BS61" s="36">
        <v>0</v>
      </c>
      <c r="BT61" s="36">
        <v>0</v>
      </c>
      <c r="BU61" s="36">
        <v>0</v>
      </c>
      <c r="BV61" s="36">
        <v>0</v>
      </c>
      <c r="BW61" s="36">
        <v>0</v>
      </c>
      <c r="BX61" s="36">
        <v>0</v>
      </c>
      <c r="BY61" s="36">
        <v>0</v>
      </c>
      <c r="BZ61" s="36">
        <v>0</v>
      </c>
      <c r="CA61" s="36">
        <v>0</v>
      </c>
      <c r="CB61" s="36">
        <v>0</v>
      </c>
      <c r="CC61" s="36">
        <v>0</v>
      </c>
      <c r="CD61" s="36">
        <v>0</v>
      </c>
      <c r="CE61" s="36">
        <v>0</v>
      </c>
      <c r="CF61" s="36">
        <v>0</v>
      </c>
      <c r="CG61" s="36">
        <v>0</v>
      </c>
      <c r="CH61" s="36">
        <v>0</v>
      </c>
      <c r="CI61" s="36">
        <v>0</v>
      </c>
      <c r="CJ61" s="36">
        <v>0</v>
      </c>
      <c r="CK61" s="36">
        <v>0</v>
      </c>
      <c r="CL61" s="36">
        <v>0</v>
      </c>
      <c r="CM61" s="36">
        <v>0</v>
      </c>
      <c r="CN61" s="36">
        <v>0</v>
      </c>
      <c r="CO61" s="36">
        <v>0</v>
      </c>
      <c r="CP61" s="36">
        <v>0</v>
      </c>
      <c r="CQ61" s="36">
        <v>0</v>
      </c>
      <c r="CR61" s="36">
        <v>0</v>
      </c>
      <c r="CS61" s="36">
        <v>0</v>
      </c>
      <c r="CT61" s="36">
        <v>0</v>
      </c>
      <c r="CU61" s="36">
        <v>0</v>
      </c>
      <c r="CV61" s="36">
        <v>0</v>
      </c>
      <c r="CW61" s="36">
        <v>0</v>
      </c>
      <c r="CX61" s="36">
        <v>0</v>
      </c>
      <c r="CY61" s="36">
        <v>0</v>
      </c>
      <c r="CZ61" s="36">
        <v>0</v>
      </c>
      <c r="DA61" s="36">
        <v>0</v>
      </c>
      <c r="DB61" s="36">
        <v>0</v>
      </c>
      <c r="DC61" s="36">
        <v>0</v>
      </c>
      <c r="DD61" s="36">
        <v>0</v>
      </c>
      <c r="DE61" s="36">
        <v>0</v>
      </c>
      <c r="DF61" s="36">
        <v>0</v>
      </c>
      <c r="DG61" s="36">
        <v>0</v>
      </c>
      <c r="DH61" s="36">
        <v>0</v>
      </c>
      <c r="DI61" s="36">
        <v>0</v>
      </c>
      <c r="DJ61" s="36">
        <v>0</v>
      </c>
      <c r="DK61" s="36">
        <v>0</v>
      </c>
      <c r="DL61" s="36">
        <v>0</v>
      </c>
      <c r="DM61" s="36">
        <v>0</v>
      </c>
      <c r="DN61" s="36">
        <v>0</v>
      </c>
      <c r="DO61" s="36">
        <v>0</v>
      </c>
      <c r="DP61" s="36">
        <v>0</v>
      </c>
      <c r="DQ61" s="36">
        <v>0</v>
      </c>
      <c r="DR61" s="36">
        <v>0</v>
      </c>
      <c r="DS61" s="36">
        <v>0</v>
      </c>
      <c r="DT61" s="36">
        <v>0</v>
      </c>
      <c r="DU61" s="36">
        <v>0</v>
      </c>
      <c r="DV61" s="36">
        <v>0</v>
      </c>
      <c r="DW61" s="36">
        <v>0</v>
      </c>
      <c r="DX61" s="36">
        <v>0</v>
      </c>
      <c r="DY61" s="36">
        <v>0</v>
      </c>
      <c r="DZ61" s="36">
        <v>0</v>
      </c>
      <c r="EA61" s="36">
        <v>0</v>
      </c>
      <c r="EB61" s="36">
        <v>0</v>
      </c>
      <c r="EC61" s="36">
        <v>0</v>
      </c>
      <c r="ED61" s="36">
        <v>0</v>
      </c>
      <c r="EE61" s="36">
        <v>0</v>
      </c>
      <c r="EF61" s="36">
        <v>0</v>
      </c>
      <c r="EG61" s="36">
        <v>0</v>
      </c>
      <c r="EH61" s="36">
        <v>0</v>
      </c>
      <c r="EI61" s="36">
        <v>0</v>
      </c>
      <c r="EJ61" s="36">
        <v>0</v>
      </c>
      <c r="EK61" s="36">
        <v>0</v>
      </c>
      <c r="EL61" s="36">
        <v>0</v>
      </c>
      <c r="EM61" s="36">
        <v>0</v>
      </c>
      <c r="EN61" s="36">
        <v>0</v>
      </c>
      <c r="EO61" s="36">
        <v>0</v>
      </c>
      <c r="EP61" s="36">
        <v>0</v>
      </c>
      <c r="ET61" t="s">
        <v>594</v>
      </c>
      <c r="EU61" s="4" t="s">
        <v>595</v>
      </c>
      <c r="EV61" s="36">
        <v>-2</v>
      </c>
      <c r="EW61" s="36">
        <v>3</v>
      </c>
      <c r="EX61" s="36">
        <v>5</v>
      </c>
      <c r="EY61" s="36">
        <v>0</v>
      </c>
      <c r="EZ61" s="36">
        <v>6</v>
      </c>
      <c r="FA61" s="36">
        <v>1</v>
      </c>
      <c r="FB61" s="36">
        <v>0</v>
      </c>
      <c r="FC61" s="42">
        <f>(4*EW61)+(EX61)+(-3*EY61)+(-2*EZ61)+(5*FA61)+(-2*FB61)+(-1*EV61)</f>
        <v>12</v>
      </c>
      <c r="FE61">
        <f t="shared" si="10"/>
        <v>4</v>
      </c>
      <c r="FF61">
        <f t="shared" si="11"/>
        <v>4</v>
      </c>
      <c r="FG61">
        <f t="shared" si="12"/>
        <v>4</v>
      </c>
      <c r="FM61" s="43">
        <f t="shared" si="14"/>
        <v>0</v>
      </c>
      <c r="FN61" s="43">
        <f t="shared" si="14"/>
        <v>0</v>
      </c>
      <c r="FO61" s="43">
        <f t="shared" si="14"/>
        <v>0</v>
      </c>
      <c r="FP61" s="43">
        <f t="shared" si="13"/>
        <v>0</v>
      </c>
      <c r="FQ61" s="43">
        <f t="shared" si="13"/>
        <v>0</v>
      </c>
      <c r="FR61" s="43">
        <f t="shared" si="13"/>
        <v>0</v>
      </c>
      <c r="FS61" s="43">
        <f t="shared" si="13"/>
        <v>0</v>
      </c>
      <c r="FV61" t="s">
        <v>596</v>
      </c>
      <c r="FW61" t="s">
        <v>597</v>
      </c>
    </row>
    <row r="62" spans="1:179" ht="19.5" customHeight="1" x14ac:dyDescent="0.35">
      <c r="A62" t="s">
        <v>598</v>
      </c>
      <c r="B62" s="36">
        <v>1</v>
      </c>
      <c r="C62" s="36">
        <v>0</v>
      </c>
      <c r="D62" s="36">
        <v>0</v>
      </c>
      <c r="E62" s="36">
        <v>0</v>
      </c>
      <c r="F62" s="36">
        <v>0</v>
      </c>
      <c r="G62" s="36">
        <v>0</v>
      </c>
      <c r="H62" s="36">
        <v>0</v>
      </c>
      <c r="I62" s="36">
        <v>0</v>
      </c>
      <c r="J62" s="36">
        <v>0</v>
      </c>
      <c r="K62" s="36">
        <v>0</v>
      </c>
      <c r="L62" s="36">
        <v>0</v>
      </c>
      <c r="M62" s="36">
        <v>0</v>
      </c>
      <c r="N62" s="36">
        <v>0</v>
      </c>
      <c r="O62" s="36">
        <v>0</v>
      </c>
      <c r="P62" s="36">
        <v>0</v>
      </c>
      <c r="Q62" s="36">
        <v>0</v>
      </c>
      <c r="R62" s="36">
        <v>0</v>
      </c>
      <c r="S62" s="36">
        <v>0</v>
      </c>
      <c r="T62" s="36">
        <v>0</v>
      </c>
      <c r="U62" s="36">
        <v>0</v>
      </c>
      <c r="V62" s="36">
        <v>0</v>
      </c>
      <c r="W62" s="36">
        <v>0</v>
      </c>
      <c r="X62" s="36">
        <v>0</v>
      </c>
      <c r="Y62" s="36">
        <v>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0</v>
      </c>
      <c r="BK62" s="36">
        <v>0</v>
      </c>
      <c r="BL62" s="36">
        <v>0</v>
      </c>
      <c r="BM62" s="36">
        <v>0</v>
      </c>
      <c r="BN62" s="36">
        <v>-1</v>
      </c>
      <c r="BO62" s="36">
        <v>0</v>
      </c>
      <c r="BP62" s="36">
        <v>0</v>
      </c>
      <c r="BQ62" s="36">
        <v>1</v>
      </c>
      <c r="BR62" s="36">
        <v>0</v>
      </c>
      <c r="BS62" s="36">
        <v>0</v>
      </c>
      <c r="BT62" s="36">
        <v>0</v>
      </c>
      <c r="BU62" s="36">
        <v>0</v>
      </c>
      <c r="BV62" s="36">
        <v>0</v>
      </c>
      <c r="BW62" s="36">
        <v>0</v>
      </c>
      <c r="BX62" s="36">
        <v>0</v>
      </c>
      <c r="BY62" s="36">
        <v>0</v>
      </c>
      <c r="BZ62" s="36">
        <v>0</v>
      </c>
      <c r="CA62" s="36">
        <v>0</v>
      </c>
      <c r="CB62" s="36">
        <v>0</v>
      </c>
      <c r="CC62" s="36">
        <v>0</v>
      </c>
      <c r="CD62" s="36">
        <v>0</v>
      </c>
      <c r="CE62" s="36">
        <v>0</v>
      </c>
      <c r="CF62" s="36">
        <v>0</v>
      </c>
      <c r="CG62" s="36">
        <v>0</v>
      </c>
      <c r="CH62" s="36">
        <v>0</v>
      </c>
      <c r="CI62" s="36">
        <v>0</v>
      </c>
      <c r="CJ62" s="36">
        <v>0</v>
      </c>
      <c r="CK62" s="36">
        <v>0</v>
      </c>
      <c r="CL62" s="36">
        <v>0</v>
      </c>
      <c r="CM62" s="36">
        <v>0</v>
      </c>
      <c r="CN62" s="36">
        <v>0</v>
      </c>
      <c r="CO62" s="36">
        <v>0</v>
      </c>
      <c r="CP62" s="36">
        <v>0</v>
      </c>
      <c r="CQ62" s="36">
        <v>0</v>
      </c>
      <c r="CR62" s="36">
        <v>0</v>
      </c>
      <c r="CS62" s="36">
        <v>0</v>
      </c>
      <c r="CT62" s="36">
        <v>0</v>
      </c>
      <c r="CU62" s="36">
        <v>0</v>
      </c>
      <c r="CV62" s="36">
        <v>0</v>
      </c>
      <c r="CW62" s="36">
        <v>0</v>
      </c>
      <c r="CX62" s="36">
        <v>0</v>
      </c>
      <c r="CY62" s="36">
        <v>0</v>
      </c>
      <c r="CZ62" s="36">
        <v>0</v>
      </c>
      <c r="DA62" s="36">
        <v>0</v>
      </c>
      <c r="DB62" s="36">
        <v>0</v>
      </c>
      <c r="DC62" s="36">
        <v>0</v>
      </c>
      <c r="DD62" s="36">
        <v>0</v>
      </c>
      <c r="DE62" s="36">
        <v>0</v>
      </c>
      <c r="DF62" s="36">
        <v>0</v>
      </c>
      <c r="DG62" s="36">
        <v>0</v>
      </c>
      <c r="DH62" s="36">
        <v>0</v>
      </c>
      <c r="DI62" s="36">
        <v>0</v>
      </c>
      <c r="DJ62" s="36">
        <v>0</v>
      </c>
      <c r="DK62" s="36">
        <v>0</v>
      </c>
      <c r="DL62" s="36">
        <v>0</v>
      </c>
      <c r="DM62" s="36">
        <v>0</v>
      </c>
      <c r="DN62" s="36">
        <v>0</v>
      </c>
      <c r="DO62" s="36">
        <v>0</v>
      </c>
      <c r="DP62" s="36">
        <v>0</v>
      </c>
      <c r="DQ62" s="36">
        <v>0</v>
      </c>
      <c r="DR62" s="36">
        <v>0</v>
      </c>
      <c r="DS62" s="36">
        <v>0</v>
      </c>
      <c r="DT62" s="36">
        <v>0</v>
      </c>
      <c r="DU62" s="36">
        <v>0</v>
      </c>
      <c r="DV62" s="36">
        <v>0</v>
      </c>
      <c r="DW62" s="36">
        <v>0</v>
      </c>
      <c r="DX62" s="36">
        <v>0</v>
      </c>
      <c r="DY62" s="36">
        <v>0</v>
      </c>
      <c r="DZ62" s="36">
        <v>0</v>
      </c>
      <c r="EA62" s="36">
        <v>0</v>
      </c>
      <c r="EB62" s="36">
        <v>0</v>
      </c>
      <c r="EC62" s="36">
        <v>0</v>
      </c>
      <c r="ED62" s="36">
        <v>0</v>
      </c>
      <c r="EE62" s="36">
        <v>0</v>
      </c>
      <c r="EF62" s="36">
        <v>0</v>
      </c>
      <c r="EG62" s="36">
        <v>0</v>
      </c>
      <c r="EH62" s="36">
        <v>0</v>
      </c>
      <c r="EI62" s="36">
        <v>0</v>
      </c>
      <c r="EJ62" s="36">
        <v>0</v>
      </c>
      <c r="EK62" s="36">
        <v>0</v>
      </c>
      <c r="EL62" s="36">
        <v>0</v>
      </c>
      <c r="EM62" s="36">
        <v>0</v>
      </c>
      <c r="EN62" s="36">
        <v>0</v>
      </c>
      <c r="EO62" s="36">
        <v>0</v>
      </c>
      <c r="EP62" s="36">
        <v>0</v>
      </c>
      <c r="ET62" t="s">
        <v>599</v>
      </c>
      <c r="EU62" t="s">
        <v>600</v>
      </c>
      <c r="EV62" s="36">
        <v>-1</v>
      </c>
      <c r="EW62" s="36">
        <v>3</v>
      </c>
      <c r="EX62" s="36">
        <v>5</v>
      </c>
      <c r="EY62" s="36">
        <v>0</v>
      </c>
      <c r="EZ62" s="36">
        <v>4</v>
      </c>
      <c r="FA62" s="36">
        <v>0</v>
      </c>
      <c r="FB62" s="36">
        <v>0</v>
      </c>
      <c r="FC62" s="42">
        <v>10</v>
      </c>
      <c r="FE62">
        <f t="shared" si="10"/>
        <v>3.3333333333333335</v>
      </c>
      <c r="FF62">
        <f t="shared" si="11"/>
        <v>3.3333333333333335</v>
      </c>
      <c r="FG62">
        <f t="shared" si="12"/>
        <v>3.3333333333333335</v>
      </c>
      <c r="FM62" s="43">
        <f t="shared" si="14"/>
        <v>0</v>
      </c>
      <c r="FN62" s="43">
        <f t="shared" si="14"/>
        <v>0</v>
      </c>
      <c r="FO62" s="43">
        <f t="shared" si="14"/>
        <v>0</v>
      </c>
      <c r="FP62" s="43">
        <f t="shared" si="13"/>
        <v>0</v>
      </c>
      <c r="FQ62" s="43">
        <f t="shared" si="13"/>
        <v>0</v>
      </c>
      <c r="FR62" s="43">
        <f t="shared" si="13"/>
        <v>0</v>
      </c>
      <c r="FS62" s="43">
        <f t="shared" si="13"/>
        <v>0</v>
      </c>
      <c r="FV62" t="s">
        <v>601</v>
      </c>
      <c r="FW62" t="s">
        <v>602</v>
      </c>
    </row>
    <row r="63" spans="1:179" ht="19.5" customHeight="1" x14ac:dyDescent="0.35">
      <c r="A63" t="s">
        <v>603</v>
      </c>
      <c r="B63" s="36">
        <v>1</v>
      </c>
      <c r="C63" s="36">
        <v>0</v>
      </c>
      <c r="D63" s="36">
        <v>0</v>
      </c>
      <c r="E63" s="36">
        <v>0</v>
      </c>
      <c r="F63" s="36">
        <v>0</v>
      </c>
      <c r="G63" s="36">
        <v>0</v>
      </c>
      <c r="H63" s="36">
        <v>0</v>
      </c>
      <c r="I63" s="36">
        <v>0</v>
      </c>
      <c r="J63" s="36">
        <v>0</v>
      </c>
      <c r="K63" s="36">
        <v>0</v>
      </c>
      <c r="L63" s="36">
        <v>0</v>
      </c>
      <c r="M63" s="36">
        <v>0</v>
      </c>
      <c r="N63" s="36">
        <v>0</v>
      </c>
      <c r="O63" s="36">
        <v>0</v>
      </c>
      <c r="P63" s="36">
        <v>0</v>
      </c>
      <c r="Q63" s="36">
        <v>0</v>
      </c>
      <c r="R63" s="36">
        <v>0</v>
      </c>
      <c r="S63" s="36">
        <v>0</v>
      </c>
      <c r="T63" s="36">
        <v>0</v>
      </c>
      <c r="U63" s="36">
        <v>0</v>
      </c>
      <c r="V63" s="36">
        <v>0</v>
      </c>
      <c r="W63" s="36">
        <v>0</v>
      </c>
      <c r="X63" s="36">
        <v>0</v>
      </c>
      <c r="Y63" s="36">
        <v>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0</v>
      </c>
      <c r="BK63" s="36">
        <v>0</v>
      </c>
      <c r="BL63" s="36">
        <v>0</v>
      </c>
      <c r="BM63" s="36">
        <v>-1</v>
      </c>
      <c r="BN63" s="36">
        <v>1</v>
      </c>
      <c r="BO63" s="36">
        <v>0</v>
      </c>
      <c r="BP63" s="36">
        <v>0</v>
      </c>
      <c r="BQ63" s="36">
        <v>0</v>
      </c>
      <c r="BR63" s="36">
        <v>0</v>
      </c>
      <c r="BS63" s="36">
        <v>0</v>
      </c>
      <c r="BT63" s="36">
        <v>0</v>
      </c>
      <c r="BU63" s="36">
        <v>0</v>
      </c>
      <c r="BV63" s="36">
        <v>0</v>
      </c>
      <c r="BW63" s="36">
        <v>0</v>
      </c>
      <c r="BX63" s="36">
        <v>0</v>
      </c>
      <c r="BY63" s="36">
        <v>0</v>
      </c>
      <c r="BZ63" s="36">
        <v>0</v>
      </c>
      <c r="CA63" s="36">
        <v>0</v>
      </c>
      <c r="CB63" s="36">
        <v>0</v>
      </c>
      <c r="CC63" s="36">
        <v>0</v>
      </c>
      <c r="CD63" s="36">
        <v>0</v>
      </c>
      <c r="CE63" s="36">
        <v>0</v>
      </c>
      <c r="CF63" s="36">
        <v>0</v>
      </c>
      <c r="CG63" s="36">
        <v>0</v>
      </c>
      <c r="CH63" s="36">
        <v>0</v>
      </c>
      <c r="CI63" s="36">
        <v>0</v>
      </c>
      <c r="CJ63" s="36">
        <v>0</v>
      </c>
      <c r="CK63" s="36">
        <v>0</v>
      </c>
      <c r="CL63" s="36">
        <v>0</v>
      </c>
      <c r="CM63" s="36">
        <v>0</v>
      </c>
      <c r="CN63" s="36">
        <v>0</v>
      </c>
      <c r="CO63" s="36">
        <v>0</v>
      </c>
      <c r="CP63" s="36">
        <v>0</v>
      </c>
      <c r="CQ63" s="36">
        <v>0</v>
      </c>
      <c r="CR63" s="36">
        <v>0</v>
      </c>
      <c r="CS63" s="36">
        <v>0</v>
      </c>
      <c r="CT63" s="36">
        <v>0</v>
      </c>
      <c r="CU63" s="36">
        <v>0</v>
      </c>
      <c r="CV63" s="36">
        <v>0</v>
      </c>
      <c r="CW63" s="36">
        <v>0</v>
      </c>
      <c r="CX63" s="36">
        <v>0</v>
      </c>
      <c r="CY63" s="36">
        <v>0</v>
      </c>
      <c r="CZ63" s="36">
        <v>0</v>
      </c>
      <c r="DA63" s="36">
        <v>0</v>
      </c>
      <c r="DB63" s="36">
        <v>0</v>
      </c>
      <c r="DC63" s="36">
        <v>0</v>
      </c>
      <c r="DD63" s="36">
        <v>0</v>
      </c>
      <c r="DE63" s="36">
        <v>0</v>
      </c>
      <c r="DF63" s="36">
        <v>0</v>
      </c>
      <c r="DG63" s="36">
        <v>0</v>
      </c>
      <c r="DH63" s="36">
        <v>0</v>
      </c>
      <c r="DI63" s="36">
        <v>0</v>
      </c>
      <c r="DJ63" s="36">
        <v>0</v>
      </c>
      <c r="DK63" s="36">
        <v>0</v>
      </c>
      <c r="DL63" s="36">
        <v>0</v>
      </c>
      <c r="DM63" s="36">
        <v>0</v>
      </c>
      <c r="DN63" s="36">
        <v>0</v>
      </c>
      <c r="DO63" s="36">
        <v>0</v>
      </c>
      <c r="DP63" s="36">
        <v>0</v>
      </c>
      <c r="DQ63" s="36">
        <v>0</v>
      </c>
      <c r="DR63" s="36">
        <v>0</v>
      </c>
      <c r="DS63" s="36">
        <v>0</v>
      </c>
      <c r="DT63" s="36">
        <v>0</v>
      </c>
      <c r="DU63" s="36">
        <v>0</v>
      </c>
      <c r="DV63" s="36">
        <v>0</v>
      </c>
      <c r="DW63" s="36">
        <v>0</v>
      </c>
      <c r="DX63" s="36">
        <v>0</v>
      </c>
      <c r="DY63" s="36">
        <v>0</v>
      </c>
      <c r="DZ63" s="36">
        <v>0</v>
      </c>
      <c r="EA63" s="36">
        <v>0</v>
      </c>
      <c r="EB63" s="36">
        <v>0</v>
      </c>
      <c r="EC63" s="36">
        <v>0</v>
      </c>
      <c r="ED63" s="36">
        <v>0</v>
      </c>
      <c r="EE63" s="36">
        <v>0</v>
      </c>
      <c r="EF63" s="36">
        <v>0</v>
      </c>
      <c r="EG63" s="36">
        <v>0</v>
      </c>
      <c r="EH63" s="36">
        <v>0</v>
      </c>
      <c r="EI63" s="36">
        <v>0</v>
      </c>
      <c r="EJ63" s="36">
        <v>0</v>
      </c>
      <c r="EK63" s="36">
        <v>0</v>
      </c>
      <c r="EL63" s="36">
        <v>0</v>
      </c>
      <c r="EM63" s="36">
        <v>0</v>
      </c>
      <c r="EN63" s="36">
        <v>0</v>
      </c>
      <c r="EO63" s="36">
        <v>0</v>
      </c>
      <c r="EP63" s="36">
        <v>0</v>
      </c>
      <c r="ET63" t="s">
        <v>271</v>
      </c>
      <c r="EU63" s="4" t="s">
        <v>604</v>
      </c>
      <c r="EV63" s="36">
        <v>-3</v>
      </c>
      <c r="EW63" s="36">
        <v>0</v>
      </c>
      <c r="EX63" s="36">
        <v>1</v>
      </c>
      <c r="EY63" s="36">
        <v>0</v>
      </c>
      <c r="EZ63" s="36">
        <v>7</v>
      </c>
      <c r="FA63" s="36">
        <v>2</v>
      </c>
      <c r="FB63" s="36">
        <v>0</v>
      </c>
      <c r="FC63" s="42">
        <f t="shared" ref="FC63:FC71" si="18">(4*EW63)+(EX63)+(-3*EY63)+(-2*EZ63)+(5*FA63)+(-2*FB63)+(-1*EV63)</f>
        <v>0</v>
      </c>
      <c r="FE63">
        <f t="shared" ref="FE63" si="19">((4*(EW63))+(EX63)+(5*EY63)+(-2*EZ63)+(5*FA63)+(6*FB63)+(-EV63))/1</f>
        <v>0</v>
      </c>
      <c r="FF63">
        <f t="shared" ref="FF63" si="20">((4*(EW63))+(EX63)+(-3*EY63)+(-2*EZ63)+(5*FA63)+(6*FB63)+(-EV63))/1</f>
        <v>0</v>
      </c>
      <c r="FG63">
        <f t="shared" ref="FG63" si="21">((4*(EW63))+(EX63)+(0*EY63)+(-2*EZ63)+(5*FA63)+(6*FB63)+(-EV63))/1</f>
        <v>0</v>
      </c>
      <c r="FM63" s="43">
        <f t="shared" si="14"/>
        <v>0</v>
      </c>
      <c r="FN63" s="43">
        <f t="shared" si="14"/>
        <v>0</v>
      </c>
      <c r="FO63" s="43">
        <f t="shared" si="14"/>
        <v>0</v>
      </c>
      <c r="FP63" s="43">
        <f t="shared" si="13"/>
        <v>0</v>
      </c>
      <c r="FQ63" s="43">
        <f t="shared" si="13"/>
        <v>0</v>
      </c>
      <c r="FR63" s="43">
        <f t="shared" si="13"/>
        <v>0</v>
      </c>
      <c r="FS63" s="43">
        <f t="shared" si="13"/>
        <v>0</v>
      </c>
      <c r="FV63" t="s">
        <v>605</v>
      </c>
      <c r="FW63" t="s">
        <v>606</v>
      </c>
    </row>
    <row r="64" spans="1:179" ht="19.5" customHeight="1" x14ac:dyDescent="0.35">
      <c r="A64" t="s">
        <v>607</v>
      </c>
      <c r="B64" s="36">
        <v>1</v>
      </c>
      <c r="C64" s="36">
        <v>0</v>
      </c>
      <c r="D64" s="36">
        <v>0</v>
      </c>
      <c r="E64" s="36">
        <v>0</v>
      </c>
      <c r="F64" s="36">
        <v>0</v>
      </c>
      <c r="G64" s="36">
        <v>0</v>
      </c>
      <c r="H64" s="36">
        <v>0</v>
      </c>
      <c r="I64" s="36">
        <v>0</v>
      </c>
      <c r="J64" s="36">
        <v>0</v>
      </c>
      <c r="K64" s="36">
        <v>0</v>
      </c>
      <c r="L64" s="36">
        <v>0</v>
      </c>
      <c r="M64" s="36">
        <v>0</v>
      </c>
      <c r="N64" s="36">
        <v>0</v>
      </c>
      <c r="O64" s="36">
        <v>0</v>
      </c>
      <c r="P64" s="36">
        <v>0</v>
      </c>
      <c r="Q64" s="36">
        <v>0</v>
      </c>
      <c r="R64" s="36">
        <v>0</v>
      </c>
      <c r="S64" s="36">
        <v>0</v>
      </c>
      <c r="T64" s="36">
        <v>0</v>
      </c>
      <c r="U64" s="36">
        <v>0</v>
      </c>
      <c r="V64" s="36">
        <v>0</v>
      </c>
      <c r="W64" s="36">
        <v>0</v>
      </c>
      <c r="X64" s="36">
        <v>0</v>
      </c>
      <c r="Y64" s="36">
        <v>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1</v>
      </c>
      <c r="AV64" s="36">
        <v>0</v>
      </c>
      <c r="AW64" s="36">
        <v>0</v>
      </c>
      <c r="AX64" s="36">
        <v>0</v>
      </c>
      <c r="AY64" s="36">
        <v>0</v>
      </c>
      <c r="AZ64" s="36">
        <v>0</v>
      </c>
      <c r="BA64" s="36">
        <v>0</v>
      </c>
      <c r="BB64" s="36">
        <v>0</v>
      </c>
      <c r="BC64" s="36">
        <v>0</v>
      </c>
      <c r="BD64" s="36">
        <v>0</v>
      </c>
      <c r="BE64" s="36">
        <v>0</v>
      </c>
      <c r="BF64" s="36">
        <v>0</v>
      </c>
      <c r="BG64" s="36">
        <v>1</v>
      </c>
      <c r="BH64" s="36">
        <v>0</v>
      </c>
      <c r="BI64" s="36">
        <v>0</v>
      </c>
      <c r="BJ64" s="36">
        <v>-1</v>
      </c>
      <c r="BK64" s="36">
        <v>0</v>
      </c>
      <c r="BL64" s="36">
        <v>0</v>
      </c>
      <c r="BM64" s="36">
        <v>0</v>
      </c>
      <c r="BN64" s="36">
        <v>0</v>
      </c>
      <c r="BO64" s="36">
        <v>-1</v>
      </c>
      <c r="BP64" s="36">
        <v>0</v>
      </c>
      <c r="BQ64" s="36">
        <v>0</v>
      </c>
      <c r="BR64" s="36">
        <v>0</v>
      </c>
      <c r="BS64" s="36">
        <v>0</v>
      </c>
      <c r="BT64" s="36">
        <v>0</v>
      </c>
      <c r="BU64" s="36">
        <v>0</v>
      </c>
      <c r="BV64" s="36">
        <v>0</v>
      </c>
      <c r="BW64" s="36">
        <v>0</v>
      </c>
      <c r="BX64" s="36">
        <v>0</v>
      </c>
      <c r="BY64" s="36">
        <v>0</v>
      </c>
      <c r="BZ64" s="36">
        <v>0</v>
      </c>
      <c r="CA64" s="36">
        <v>0</v>
      </c>
      <c r="CB64" s="36">
        <v>0</v>
      </c>
      <c r="CC64" s="36">
        <v>0</v>
      </c>
      <c r="CD64" s="36">
        <v>0</v>
      </c>
      <c r="CE64" s="36">
        <v>0</v>
      </c>
      <c r="CF64" s="36">
        <v>0</v>
      </c>
      <c r="CG64" s="36">
        <v>0</v>
      </c>
      <c r="CH64" s="36">
        <v>0</v>
      </c>
      <c r="CI64" s="36">
        <v>0</v>
      </c>
      <c r="CJ64" s="36">
        <v>0</v>
      </c>
      <c r="CK64" s="36">
        <v>0</v>
      </c>
      <c r="CL64" s="36">
        <v>0</v>
      </c>
      <c r="CM64" s="36">
        <v>0</v>
      </c>
      <c r="CN64" s="36">
        <v>0</v>
      </c>
      <c r="CO64" s="36">
        <v>0</v>
      </c>
      <c r="CP64" s="36">
        <v>0</v>
      </c>
      <c r="CQ64" s="36">
        <v>0</v>
      </c>
      <c r="CR64" s="36">
        <v>0</v>
      </c>
      <c r="CS64" s="36">
        <v>0</v>
      </c>
      <c r="CT64" s="36">
        <v>0</v>
      </c>
      <c r="CU64" s="36">
        <v>0</v>
      </c>
      <c r="CV64" s="36">
        <v>0</v>
      </c>
      <c r="CW64" s="36">
        <v>0</v>
      </c>
      <c r="CX64" s="36">
        <v>0</v>
      </c>
      <c r="CY64" s="36">
        <v>0</v>
      </c>
      <c r="CZ64" s="36">
        <v>0</v>
      </c>
      <c r="DA64" s="36">
        <v>0</v>
      </c>
      <c r="DB64" s="36">
        <v>0</v>
      </c>
      <c r="DC64" s="36">
        <v>0</v>
      </c>
      <c r="DD64" s="36">
        <v>0</v>
      </c>
      <c r="DE64" s="36">
        <v>0</v>
      </c>
      <c r="DF64" s="36">
        <v>0</v>
      </c>
      <c r="DG64" s="36">
        <v>0</v>
      </c>
      <c r="DH64" s="36">
        <v>0</v>
      </c>
      <c r="DI64" s="36">
        <v>0</v>
      </c>
      <c r="DJ64" s="36">
        <v>0</v>
      </c>
      <c r="DK64" s="36">
        <v>0</v>
      </c>
      <c r="DL64" s="36">
        <v>0</v>
      </c>
      <c r="DM64" s="36">
        <v>0</v>
      </c>
      <c r="DN64" s="36">
        <v>0</v>
      </c>
      <c r="DO64" s="36">
        <v>0</v>
      </c>
      <c r="DP64" s="36">
        <v>0</v>
      </c>
      <c r="DQ64" s="36">
        <v>0</v>
      </c>
      <c r="DR64" s="36">
        <v>0</v>
      </c>
      <c r="DS64" s="36">
        <v>0</v>
      </c>
      <c r="DT64" s="36">
        <v>0</v>
      </c>
      <c r="DU64" s="36">
        <v>0</v>
      </c>
      <c r="DV64" s="36">
        <v>0</v>
      </c>
      <c r="DW64" s="36">
        <v>0</v>
      </c>
      <c r="DX64" s="36">
        <v>0</v>
      </c>
      <c r="DY64" s="36">
        <v>0</v>
      </c>
      <c r="DZ64" s="36">
        <v>0</v>
      </c>
      <c r="EA64" s="36">
        <v>0</v>
      </c>
      <c r="EB64" s="36">
        <v>0</v>
      </c>
      <c r="EC64" s="36">
        <v>0</v>
      </c>
      <c r="ED64" s="36">
        <v>0</v>
      </c>
      <c r="EE64" s="36">
        <v>0</v>
      </c>
      <c r="EF64" s="36">
        <v>0</v>
      </c>
      <c r="EG64" s="36">
        <v>0</v>
      </c>
      <c r="EH64" s="36">
        <v>0</v>
      </c>
      <c r="EI64" s="36">
        <v>0</v>
      </c>
      <c r="EJ64" s="36">
        <v>0</v>
      </c>
      <c r="EK64" s="36">
        <v>0</v>
      </c>
      <c r="EL64" s="36">
        <v>0</v>
      </c>
      <c r="EM64" s="36">
        <v>0</v>
      </c>
      <c r="EN64" s="36">
        <v>0</v>
      </c>
      <c r="EO64" s="36">
        <v>0</v>
      </c>
      <c r="EP64" s="36">
        <v>0</v>
      </c>
      <c r="ET64" t="s">
        <v>158</v>
      </c>
      <c r="EU64" t="s">
        <v>608</v>
      </c>
      <c r="EV64" s="36">
        <v>-2</v>
      </c>
      <c r="EW64" s="36">
        <v>5</v>
      </c>
      <c r="EX64" s="36">
        <v>9</v>
      </c>
      <c r="EY64" s="36">
        <v>0</v>
      </c>
      <c r="EZ64" s="36">
        <v>8</v>
      </c>
      <c r="FA64" s="36">
        <v>1</v>
      </c>
      <c r="FB64" s="36">
        <v>0</v>
      </c>
      <c r="FC64" s="42">
        <f t="shared" si="18"/>
        <v>20</v>
      </c>
      <c r="FE64">
        <f t="shared" si="10"/>
        <v>4</v>
      </c>
      <c r="FF64">
        <f t="shared" si="11"/>
        <v>4</v>
      </c>
      <c r="FG64">
        <f t="shared" si="12"/>
        <v>4</v>
      </c>
      <c r="FM64" s="43">
        <f t="shared" si="14"/>
        <v>0</v>
      </c>
      <c r="FN64" s="43">
        <f t="shared" si="14"/>
        <v>0</v>
      </c>
      <c r="FO64" s="43">
        <f t="shared" si="14"/>
        <v>0</v>
      </c>
      <c r="FP64" s="43">
        <f t="shared" si="13"/>
        <v>0</v>
      </c>
      <c r="FQ64" s="43">
        <f t="shared" si="13"/>
        <v>0</v>
      </c>
      <c r="FR64" s="43">
        <f t="shared" si="13"/>
        <v>0</v>
      </c>
      <c r="FS64" s="43">
        <f t="shared" si="13"/>
        <v>0</v>
      </c>
      <c r="FV64" t="s">
        <v>609</v>
      </c>
      <c r="FW64" t="s">
        <v>610</v>
      </c>
    </row>
    <row r="65" spans="1:179" ht="19.5" customHeight="1" x14ac:dyDescent="0.35">
      <c r="A65" t="s">
        <v>611</v>
      </c>
      <c r="B65" s="36">
        <v>0</v>
      </c>
      <c r="C65" s="36">
        <v>0</v>
      </c>
      <c r="D65" s="36">
        <v>0</v>
      </c>
      <c r="E65" s="36">
        <v>0</v>
      </c>
      <c r="F65" s="36">
        <v>0</v>
      </c>
      <c r="G65" s="36">
        <v>-1</v>
      </c>
      <c r="H65" s="36">
        <v>0</v>
      </c>
      <c r="I65" s="36">
        <v>0</v>
      </c>
      <c r="J65" s="36">
        <v>0</v>
      </c>
      <c r="K65" s="36">
        <v>0</v>
      </c>
      <c r="L65" s="36">
        <v>0</v>
      </c>
      <c r="M65" s="36">
        <v>0</v>
      </c>
      <c r="N65" s="36">
        <v>0</v>
      </c>
      <c r="O65" s="36">
        <v>0</v>
      </c>
      <c r="P65" s="36">
        <v>0</v>
      </c>
      <c r="Q65" s="36">
        <v>0</v>
      </c>
      <c r="R65" s="36">
        <v>0</v>
      </c>
      <c r="S65" s="36">
        <v>0</v>
      </c>
      <c r="T65" s="36">
        <v>0</v>
      </c>
      <c r="U65" s="36">
        <v>0</v>
      </c>
      <c r="V65" s="36">
        <v>0</v>
      </c>
      <c r="W65" s="36">
        <v>0</v>
      </c>
      <c r="X65" s="36">
        <v>0</v>
      </c>
      <c r="Y65" s="36">
        <v>0</v>
      </c>
      <c r="Z65" s="36">
        <v>0</v>
      </c>
      <c r="AA65" s="36">
        <v>0</v>
      </c>
      <c r="AB65" s="36">
        <v>0</v>
      </c>
      <c r="AC65" s="36">
        <v>0</v>
      </c>
      <c r="AD65" s="36">
        <v>0</v>
      </c>
      <c r="AE65" s="36">
        <v>0</v>
      </c>
      <c r="AF65" s="36">
        <v>0</v>
      </c>
      <c r="AG65" s="36">
        <v>0</v>
      </c>
      <c r="AH65" s="36">
        <v>0</v>
      </c>
      <c r="AI65" s="36">
        <v>0</v>
      </c>
      <c r="AJ65" s="36">
        <v>0</v>
      </c>
      <c r="AK65" s="36">
        <v>0</v>
      </c>
      <c r="AL65" s="36">
        <v>0</v>
      </c>
      <c r="AM65" s="36">
        <v>0</v>
      </c>
      <c r="AN65" s="36">
        <v>0</v>
      </c>
      <c r="AO65" s="36">
        <v>0</v>
      </c>
      <c r="AP65" s="36">
        <v>0</v>
      </c>
      <c r="AQ65" s="36">
        <v>0</v>
      </c>
      <c r="AR65" s="36">
        <v>0</v>
      </c>
      <c r="AS65" s="36">
        <v>0</v>
      </c>
      <c r="AT65" s="36">
        <v>0</v>
      </c>
      <c r="AU65" s="36">
        <v>0</v>
      </c>
      <c r="AV65" s="36">
        <v>0</v>
      </c>
      <c r="AW65" s="36">
        <v>0</v>
      </c>
      <c r="AX65" s="36">
        <v>0</v>
      </c>
      <c r="AY65" s="36">
        <v>0</v>
      </c>
      <c r="AZ65" s="36">
        <v>0</v>
      </c>
      <c r="BA65" s="36">
        <v>0</v>
      </c>
      <c r="BB65" s="36">
        <v>0</v>
      </c>
      <c r="BC65" s="36">
        <v>1</v>
      </c>
      <c r="BD65" s="36">
        <v>0</v>
      </c>
      <c r="BE65" s="36">
        <v>0</v>
      </c>
      <c r="BF65" s="36">
        <v>0</v>
      </c>
      <c r="BG65" s="36">
        <v>0</v>
      </c>
      <c r="BH65" s="36">
        <v>0</v>
      </c>
      <c r="BI65" s="36">
        <v>0</v>
      </c>
      <c r="BJ65" s="36">
        <v>0</v>
      </c>
      <c r="BK65" s="36">
        <v>0</v>
      </c>
      <c r="BL65" s="36">
        <v>0</v>
      </c>
      <c r="BM65" s="36">
        <v>0</v>
      </c>
      <c r="BN65" s="36">
        <v>0</v>
      </c>
      <c r="BO65" s="36">
        <v>0</v>
      </c>
      <c r="BP65" s="36">
        <v>0</v>
      </c>
      <c r="BQ65" s="36">
        <v>0</v>
      </c>
      <c r="BR65" s="36">
        <v>0</v>
      </c>
      <c r="BS65" s="36">
        <v>0</v>
      </c>
      <c r="BT65" s="36">
        <v>0</v>
      </c>
      <c r="BU65" s="36">
        <v>0</v>
      </c>
      <c r="BV65" s="36">
        <v>0</v>
      </c>
      <c r="BW65" s="36">
        <v>0</v>
      </c>
      <c r="BX65" s="36">
        <v>0</v>
      </c>
      <c r="BY65" s="36">
        <v>0</v>
      </c>
      <c r="BZ65" s="36">
        <v>0</v>
      </c>
      <c r="CA65" s="36">
        <v>0</v>
      </c>
      <c r="CB65" s="36">
        <v>0</v>
      </c>
      <c r="CC65" s="36">
        <v>0</v>
      </c>
      <c r="CD65" s="36">
        <v>0</v>
      </c>
      <c r="CE65" s="36">
        <v>0</v>
      </c>
      <c r="CF65" s="36">
        <v>0</v>
      </c>
      <c r="CG65" s="36">
        <v>0</v>
      </c>
      <c r="CH65" s="36">
        <v>0</v>
      </c>
      <c r="CI65" s="36">
        <v>0</v>
      </c>
      <c r="CJ65" s="36">
        <v>0</v>
      </c>
      <c r="CK65" s="36">
        <v>0</v>
      </c>
      <c r="CL65" s="36">
        <v>1</v>
      </c>
      <c r="CM65" s="36">
        <v>0</v>
      </c>
      <c r="CN65" s="36">
        <v>0</v>
      </c>
      <c r="CO65" s="36">
        <v>0</v>
      </c>
      <c r="CP65" s="36">
        <v>-1</v>
      </c>
      <c r="CQ65" s="36">
        <v>0</v>
      </c>
      <c r="CR65" s="36">
        <v>0</v>
      </c>
      <c r="CS65" s="36">
        <v>0</v>
      </c>
      <c r="CT65" s="36">
        <v>0</v>
      </c>
      <c r="CU65" s="36">
        <v>0</v>
      </c>
      <c r="CV65" s="36">
        <v>0</v>
      </c>
      <c r="CW65" s="36">
        <v>0</v>
      </c>
      <c r="CX65" s="36">
        <v>0</v>
      </c>
      <c r="CY65" s="36">
        <v>0</v>
      </c>
      <c r="CZ65" s="36">
        <v>0</v>
      </c>
      <c r="DA65" s="36">
        <v>0</v>
      </c>
      <c r="DB65" s="36">
        <v>0</v>
      </c>
      <c r="DC65" s="36">
        <v>0</v>
      </c>
      <c r="DD65" s="36">
        <v>0</v>
      </c>
      <c r="DE65" s="36">
        <v>0</v>
      </c>
      <c r="DF65" s="36">
        <v>0</v>
      </c>
      <c r="DG65" s="36">
        <v>0</v>
      </c>
      <c r="DH65" s="36">
        <v>0</v>
      </c>
      <c r="DI65" s="36">
        <v>0</v>
      </c>
      <c r="DJ65" s="36">
        <v>0</v>
      </c>
      <c r="DK65" s="36">
        <v>0</v>
      </c>
      <c r="DL65" s="36">
        <v>0</v>
      </c>
      <c r="DM65" s="36">
        <v>0</v>
      </c>
      <c r="DN65" s="36">
        <v>0</v>
      </c>
      <c r="DO65" s="36">
        <v>0</v>
      </c>
      <c r="DP65" s="36">
        <v>0</v>
      </c>
      <c r="DQ65" s="36">
        <v>0</v>
      </c>
      <c r="DR65" s="36">
        <v>0</v>
      </c>
      <c r="DS65" s="36">
        <v>0</v>
      </c>
      <c r="DT65" s="36">
        <v>0</v>
      </c>
      <c r="DU65" s="36">
        <v>0</v>
      </c>
      <c r="DV65" s="36">
        <v>0</v>
      </c>
      <c r="DW65" s="36">
        <v>0</v>
      </c>
      <c r="DX65" s="36">
        <v>0</v>
      </c>
      <c r="DY65" s="36">
        <v>0</v>
      </c>
      <c r="DZ65" s="36">
        <v>0</v>
      </c>
      <c r="EA65" s="36">
        <v>0</v>
      </c>
      <c r="EB65" s="36">
        <v>0</v>
      </c>
      <c r="EC65" s="36">
        <v>1</v>
      </c>
      <c r="ED65" s="36">
        <v>0</v>
      </c>
      <c r="EE65" s="36">
        <v>0</v>
      </c>
      <c r="EF65" s="36">
        <v>0</v>
      </c>
      <c r="EG65" s="36">
        <v>0</v>
      </c>
      <c r="EH65" s="36">
        <v>0</v>
      </c>
      <c r="EI65" s="36">
        <v>0</v>
      </c>
      <c r="EJ65" s="36">
        <v>0</v>
      </c>
      <c r="EK65" s="36">
        <v>0</v>
      </c>
      <c r="EL65" s="36">
        <v>0</v>
      </c>
      <c r="EM65" s="36">
        <v>0</v>
      </c>
      <c r="EN65" s="36">
        <v>0</v>
      </c>
      <c r="EO65" s="36">
        <v>0</v>
      </c>
      <c r="EP65" s="36">
        <v>0</v>
      </c>
      <c r="ET65" t="s">
        <v>612</v>
      </c>
      <c r="EU65" t="s">
        <v>608</v>
      </c>
      <c r="EV65" s="36">
        <v>-2</v>
      </c>
      <c r="EW65" s="36">
        <v>5</v>
      </c>
      <c r="EX65" s="36">
        <v>9</v>
      </c>
      <c r="EY65" s="36">
        <v>0</v>
      </c>
      <c r="EZ65" s="36">
        <v>8</v>
      </c>
      <c r="FA65" s="36">
        <v>1</v>
      </c>
      <c r="FB65" s="36">
        <v>0</v>
      </c>
      <c r="FC65" s="42">
        <f t="shared" si="18"/>
        <v>20</v>
      </c>
      <c r="FE65">
        <f t="shared" si="10"/>
        <v>4</v>
      </c>
      <c r="FF65">
        <f t="shared" si="11"/>
        <v>4</v>
      </c>
      <c r="FG65">
        <f t="shared" si="12"/>
        <v>4</v>
      </c>
      <c r="FM65" s="43">
        <f t="shared" si="14"/>
        <v>0</v>
      </c>
      <c r="FN65" s="43">
        <f t="shared" si="14"/>
        <v>0</v>
      </c>
      <c r="FO65" s="43">
        <f t="shared" si="14"/>
        <v>0</v>
      </c>
      <c r="FP65" s="43">
        <f t="shared" si="13"/>
        <v>0</v>
      </c>
      <c r="FQ65" s="43">
        <f t="shared" si="13"/>
        <v>0</v>
      </c>
      <c r="FR65" s="43">
        <f t="shared" si="13"/>
        <v>0</v>
      </c>
      <c r="FS65" s="43">
        <f t="shared" si="13"/>
        <v>0</v>
      </c>
      <c r="FV65" t="s">
        <v>613</v>
      </c>
      <c r="FW65" t="s">
        <v>614</v>
      </c>
    </row>
    <row r="66" spans="1:179" ht="19.5" customHeight="1" x14ac:dyDescent="0.35">
      <c r="A66" t="s">
        <v>615</v>
      </c>
      <c r="B66" s="36">
        <v>0</v>
      </c>
      <c r="C66" s="36">
        <v>0</v>
      </c>
      <c r="D66" s="36">
        <v>0</v>
      </c>
      <c r="E66" s="36">
        <v>0</v>
      </c>
      <c r="F66" s="36">
        <v>0</v>
      </c>
      <c r="G66" s="36">
        <v>0</v>
      </c>
      <c r="H66" s="36">
        <v>0</v>
      </c>
      <c r="I66" s="36">
        <v>0</v>
      </c>
      <c r="J66" s="36">
        <v>0</v>
      </c>
      <c r="K66" s="36">
        <v>0</v>
      </c>
      <c r="L66" s="36">
        <v>0</v>
      </c>
      <c r="M66" s="36">
        <v>0</v>
      </c>
      <c r="N66" s="36">
        <v>0</v>
      </c>
      <c r="O66" s="36">
        <v>0</v>
      </c>
      <c r="P66" s="36">
        <v>0</v>
      </c>
      <c r="Q66" s="36">
        <v>0</v>
      </c>
      <c r="R66" s="36">
        <v>0</v>
      </c>
      <c r="S66" s="36">
        <v>1</v>
      </c>
      <c r="T66" s="36">
        <v>0</v>
      </c>
      <c r="U66" s="36">
        <v>0</v>
      </c>
      <c r="V66" s="36">
        <v>0</v>
      </c>
      <c r="W66" s="36">
        <v>0</v>
      </c>
      <c r="X66" s="36">
        <v>0</v>
      </c>
      <c r="Y66" s="36">
        <v>0</v>
      </c>
      <c r="Z66" s="36">
        <v>0</v>
      </c>
      <c r="AA66" s="36">
        <v>0</v>
      </c>
      <c r="AB66" s="36">
        <v>0</v>
      </c>
      <c r="AC66" s="36">
        <v>0</v>
      </c>
      <c r="AD66" s="36">
        <v>0</v>
      </c>
      <c r="AE66" s="36">
        <v>0</v>
      </c>
      <c r="AF66" s="36">
        <v>0</v>
      </c>
      <c r="AG66" s="36">
        <v>0</v>
      </c>
      <c r="AH66" s="36">
        <v>0</v>
      </c>
      <c r="AI66" s="36">
        <v>0</v>
      </c>
      <c r="AJ66" s="36">
        <v>0</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0</v>
      </c>
      <c r="BD66" s="36">
        <v>0</v>
      </c>
      <c r="BE66" s="36">
        <v>0</v>
      </c>
      <c r="BF66" s="36">
        <v>0</v>
      </c>
      <c r="BG66" s="36">
        <v>0</v>
      </c>
      <c r="BH66" s="36">
        <v>0</v>
      </c>
      <c r="BI66" s="36">
        <v>0</v>
      </c>
      <c r="BJ66" s="36">
        <v>0</v>
      </c>
      <c r="BK66" s="36">
        <v>0</v>
      </c>
      <c r="BL66" s="36">
        <v>0</v>
      </c>
      <c r="BM66" s="36">
        <v>0</v>
      </c>
      <c r="BN66" s="36">
        <v>0</v>
      </c>
      <c r="BO66" s="36">
        <v>0</v>
      </c>
      <c r="BP66" s="36">
        <v>0</v>
      </c>
      <c r="BQ66" s="36">
        <v>0</v>
      </c>
      <c r="BR66" s="36">
        <v>0</v>
      </c>
      <c r="BS66" s="36">
        <v>0</v>
      </c>
      <c r="BT66" s="36">
        <v>0</v>
      </c>
      <c r="BU66" s="36">
        <v>0</v>
      </c>
      <c r="BV66" s="36">
        <v>0</v>
      </c>
      <c r="BW66" s="36">
        <v>0</v>
      </c>
      <c r="BX66" s="36">
        <v>0</v>
      </c>
      <c r="BY66" s="36">
        <v>0</v>
      </c>
      <c r="BZ66" s="36">
        <v>0</v>
      </c>
      <c r="CA66" s="36">
        <v>0</v>
      </c>
      <c r="CB66" s="36">
        <v>0</v>
      </c>
      <c r="CC66" s="36">
        <v>0</v>
      </c>
      <c r="CD66" s="36">
        <v>0</v>
      </c>
      <c r="CE66" s="36">
        <v>0</v>
      </c>
      <c r="CF66" s="36">
        <v>0</v>
      </c>
      <c r="CG66" s="36">
        <v>0</v>
      </c>
      <c r="CH66" s="36">
        <v>0</v>
      </c>
      <c r="CI66" s="36">
        <v>0</v>
      </c>
      <c r="CJ66" s="36">
        <v>0</v>
      </c>
      <c r="CK66" s="36">
        <v>0</v>
      </c>
      <c r="CL66" s="36">
        <v>0</v>
      </c>
      <c r="CM66" s="36">
        <v>0</v>
      </c>
      <c r="CN66" s="36">
        <v>0</v>
      </c>
      <c r="CO66" s="36">
        <v>0</v>
      </c>
      <c r="CP66" s="36">
        <v>0</v>
      </c>
      <c r="CQ66" s="36">
        <v>0</v>
      </c>
      <c r="CR66" s="36">
        <v>0</v>
      </c>
      <c r="CS66" s="36">
        <v>0</v>
      </c>
      <c r="CT66" s="36">
        <v>0</v>
      </c>
      <c r="CU66" s="36">
        <v>0</v>
      </c>
      <c r="CV66" s="36">
        <v>0</v>
      </c>
      <c r="CW66" s="36">
        <v>0</v>
      </c>
      <c r="CX66" s="36">
        <v>0</v>
      </c>
      <c r="CY66" s="36">
        <v>0</v>
      </c>
      <c r="CZ66" s="36">
        <v>0</v>
      </c>
      <c r="DA66" s="36">
        <v>0</v>
      </c>
      <c r="DB66" s="36">
        <v>0</v>
      </c>
      <c r="DC66" s="36">
        <v>0</v>
      </c>
      <c r="DD66" s="36">
        <v>0</v>
      </c>
      <c r="DE66" s="36">
        <v>0</v>
      </c>
      <c r="DF66" s="36">
        <v>0</v>
      </c>
      <c r="DG66" s="36">
        <v>0</v>
      </c>
      <c r="DH66" s="36">
        <v>0</v>
      </c>
      <c r="DI66" s="36">
        <v>0</v>
      </c>
      <c r="DJ66" s="36">
        <v>0</v>
      </c>
      <c r="DK66" s="36">
        <v>0</v>
      </c>
      <c r="DL66" s="36">
        <v>0</v>
      </c>
      <c r="DM66" s="36">
        <v>0</v>
      </c>
      <c r="DN66" s="36">
        <v>0</v>
      </c>
      <c r="DO66" s="36">
        <v>0</v>
      </c>
      <c r="DP66" s="36">
        <v>0</v>
      </c>
      <c r="DQ66" s="36">
        <v>0</v>
      </c>
      <c r="DR66" s="36">
        <v>0</v>
      </c>
      <c r="DS66" s="36">
        <v>0</v>
      </c>
      <c r="DT66" s="36">
        <v>0</v>
      </c>
      <c r="DU66" s="36">
        <v>0</v>
      </c>
      <c r="DV66" s="36">
        <v>0</v>
      </c>
      <c r="DW66" s="36">
        <v>0</v>
      </c>
      <c r="DX66" s="36">
        <v>0</v>
      </c>
      <c r="DY66" s="36">
        <v>0</v>
      </c>
      <c r="DZ66" s="36">
        <v>0</v>
      </c>
      <c r="EA66" s="36">
        <v>-1</v>
      </c>
      <c r="EB66" s="36">
        <v>0</v>
      </c>
      <c r="EC66" s="36">
        <v>0</v>
      </c>
      <c r="ED66" s="36">
        <v>0</v>
      </c>
      <c r="EE66" s="36">
        <v>0</v>
      </c>
      <c r="EF66" s="36">
        <v>0</v>
      </c>
      <c r="EG66" s="36">
        <v>0</v>
      </c>
      <c r="EH66" s="36">
        <v>0</v>
      </c>
      <c r="EI66" s="36">
        <v>0</v>
      </c>
      <c r="EJ66" s="36">
        <v>0</v>
      </c>
      <c r="EK66" s="36">
        <v>0</v>
      </c>
      <c r="EL66" s="36">
        <v>0</v>
      </c>
      <c r="EM66" s="36">
        <v>0</v>
      </c>
      <c r="EN66" s="36">
        <v>0</v>
      </c>
      <c r="EO66" s="36">
        <v>0</v>
      </c>
      <c r="EP66" s="36">
        <v>0</v>
      </c>
      <c r="ET66" t="s">
        <v>616</v>
      </c>
      <c r="EU66" t="s">
        <v>617</v>
      </c>
      <c r="EV66" s="36">
        <v>-2</v>
      </c>
      <c r="EW66" s="36">
        <v>7</v>
      </c>
      <c r="EX66" s="36">
        <v>13</v>
      </c>
      <c r="EY66" s="36">
        <v>0</v>
      </c>
      <c r="EZ66" s="36">
        <v>10</v>
      </c>
      <c r="FA66" s="36">
        <v>1</v>
      </c>
      <c r="FB66" s="36">
        <v>0</v>
      </c>
      <c r="FC66" s="42">
        <f t="shared" si="18"/>
        <v>28</v>
      </c>
      <c r="FE66">
        <f t="shared" si="10"/>
        <v>4</v>
      </c>
      <c r="FF66">
        <f t="shared" si="11"/>
        <v>4</v>
      </c>
      <c r="FG66">
        <f t="shared" si="12"/>
        <v>4</v>
      </c>
      <c r="FM66" s="43">
        <f t="shared" si="14"/>
        <v>0</v>
      </c>
      <c r="FN66" s="43">
        <f t="shared" si="14"/>
        <v>0</v>
      </c>
      <c r="FO66" s="43">
        <f t="shared" si="14"/>
        <v>0</v>
      </c>
      <c r="FP66" s="43">
        <f t="shared" si="13"/>
        <v>0</v>
      </c>
      <c r="FQ66" s="43">
        <f t="shared" si="13"/>
        <v>0</v>
      </c>
      <c r="FR66" s="43">
        <f t="shared" si="13"/>
        <v>0</v>
      </c>
      <c r="FS66" s="43">
        <f t="shared" si="13"/>
        <v>0</v>
      </c>
      <c r="FV66" t="s">
        <v>618</v>
      </c>
      <c r="FW66" t="s">
        <v>619</v>
      </c>
    </row>
    <row r="67" spans="1:179" ht="19.5" customHeight="1" x14ac:dyDescent="0.35">
      <c r="A67" t="s">
        <v>620</v>
      </c>
      <c r="B67" s="36">
        <v>1</v>
      </c>
      <c r="C67" s="36">
        <v>0</v>
      </c>
      <c r="D67" s="36">
        <v>0</v>
      </c>
      <c r="E67" s="36">
        <v>0</v>
      </c>
      <c r="F67" s="36">
        <v>0</v>
      </c>
      <c r="G67" s="36">
        <v>0</v>
      </c>
      <c r="H67" s="36">
        <v>0</v>
      </c>
      <c r="I67" s="36">
        <v>0</v>
      </c>
      <c r="J67" s="36">
        <v>0</v>
      </c>
      <c r="K67" s="36">
        <v>0</v>
      </c>
      <c r="L67" s="36">
        <v>0</v>
      </c>
      <c r="M67" s="36">
        <v>0</v>
      </c>
      <c r="N67" s="36">
        <v>0</v>
      </c>
      <c r="O67" s="36">
        <v>0</v>
      </c>
      <c r="P67" s="36">
        <v>0</v>
      </c>
      <c r="Q67" s="36">
        <v>0</v>
      </c>
      <c r="R67" s="36">
        <v>0</v>
      </c>
      <c r="S67" s="36">
        <v>-1</v>
      </c>
      <c r="T67" s="36">
        <v>0</v>
      </c>
      <c r="U67" s="36">
        <v>0</v>
      </c>
      <c r="V67" s="36">
        <v>0</v>
      </c>
      <c r="W67" s="36">
        <v>0</v>
      </c>
      <c r="X67" s="36">
        <v>0</v>
      </c>
      <c r="Y67" s="36">
        <v>0</v>
      </c>
      <c r="Z67" s="36">
        <v>0</v>
      </c>
      <c r="AA67" s="36">
        <v>0</v>
      </c>
      <c r="AB67" s="36">
        <v>0</v>
      </c>
      <c r="AC67" s="36">
        <v>0</v>
      </c>
      <c r="AD67" s="36">
        <v>0</v>
      </c>
      <c r="AE67" s="36">
        <v>1</v>
      </c>
      <c r="AF67" s="36">
        <v>0</v>
      </c>
      <c r="AG67" s="36">
        <v>0</v>
      </c>
      <c r="AH67" s="36">
        <v>0</v>
      </c>
      <c r="AI67" s="36">
        <v>0</v>
      </c>
      <c r="AJ67" s="36">
        <v>0</v>
      </c>
      <c r="AK67" s="36">
        <v>0</v>
      </c>
      <c r="AL67" s="36">
        <v>0</v>
      </c>
      <c r="AM67" s="36">
        <v>0</v>
      </c>
      <c r="AN67" s="36">
        <v>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0</v>
      </c>
      <c r="BK67" s="36">
        <v>0</v>
      </c>
      <c r="BL67" s="36">
        <v>0</v>
      </c>
      <c r="BM67" s="36">
        <v>0</v>
      </c>
      <c r="BN67" s="36">
        <v>0</v>
      </c>
      <c r="BO67" s="36">
        <v>0</v>
      </c>
      <c r="BP67" s="36">
        <v>0</v>
      </c>
      <c r="BQ67" s="36">
        <v>0</v>
      </c>
      <c r="BR67" s="36">
        <v>0</v>
      </c>
      <c r="BS67" s="36">
        <v>0</v>
      </c>
      <c r="BT67" s="36">
        <v>0</v>
      </c>
      <c r="BU67" s="36">
        <v>0</v>
      </c>
      <c r="BV67" s="36">
        <v>0</v>
      </c>
      <c r="BW67" s="36">
        <v>0</v>
      </c>
      <c r="BX67" s="36">
        <v>0</v>
      </c>
      <c r="BY67" s="36">
        <v>0</v>
      </c>
      <c r="BZ67" s="36">
        <v>0</v>
      </c>
      <c r="CA67" s="36">
        <v>0</v>
      </c>
      <c r="CB67" s="36">
        <v>0</v>
      </c>
      <c r="CC67" s="36">
        <v>0</v>
      </c>
      <c r="CD67" s="36">
        <v>0</v>
      </c>
      <c r="CE67" s="36">
        <v>0</v>
      </c>
      <c r="CF67" s="36">
        <v>0</v>
      </c>
      <c r="CG67" s="36">
        <v>0</v>
      </c>
      <c r="CH67" s="36">
        <v>0</v>
      </c>
      <c r="CI67" s="36">
        <v>0</v>
      </c>
      <c r="CJ67" s="36">
        <v>0</v>
      </c>
      <c r="CK67" s="36">
        <v>0</v>
      </c>
      <c r="CL67" s="36">
        <v>1</v>
      </c>
      <c r="CM67" s="36">
        <v>0</v>
      </c>
      <c r="CN67" s="36">
        <v>0</v>
      </c>
      <c r="CO67" s="36">
        <v>0</v>
      </c>
      <c r="CP67" s="36">
        <v>0</v>
      </c>
      <c r="CQ67" s="36">
        <v>0</v>
      </c>
      <c r="CR67" s="36">
        <v>0</v>
      </c>
      <c r="CS67" s="36">
        <v>0</v>
      </c>
      <c r="CT67" s="36">
        <v>0</v>
      </c>
      <c r="CU67" s="36">
        <v>0</v>
      </c>
      <c r="CV67" s="36">
        <v>0</v>
      </c>
      <c r="CW67" s="36">
        <v>0</v>
      </c>
      <c r="CX67" s="36">
        <v>0</v>
      </c>
      <c r="CY67" s="36">
        <v>0</v>
      </c>
      <c r="CZ67" s="36">
        <v>0</v>
      </c>
      <c r="DA67" s="36">
        <v>0</v>
      </c>
      <c r="DB67" s="36">
        <v>0</v>
      </c>
      <c r="DC67" s="36">
        <v>0</v>
      </c>
      <c r="DD67" s="36">
        <v>0</v>
      </c>
      <c r="DE67" s="36">
        <v>0</v>
      </c>
      <c r="DF67" s="36">
        <v>0</v>
      </c>
      <c r="DG67" s="36">
        <v>0</v>
      </c>
      <c r="DH67" s="36">
        <v>0</v>
      </c>
      <c r="DI67" s="36">
        <v>0</v>
      </c>
      <c r="DJ67" s="36">
        <v>0</v>
      </c>
      <c r="DK67" s="36">
        <v>-1</v>
      </c>
      <c r="DL67" s="36">
        <v>1</v>
      </c>
      <c r="DM67" s="36">
        <v>0</v>
      </c>
      <c r="DN67" s="36">
        <v>0</v>
      </c>
      <c r="DO67" s="36">
        <v>0</v>
      </c>
      <c r="DP67" s="36">
        <v>0</v>
      </c>
      <c r="DQ67" s="36">
        <v>0</v>
      </c>
      <c r="DR67" s="36">
        <v>0</v>
      </c>
      <c r="DS67" s="36">
        <v>0</v>
      </c>
      <c r="DT67" s="36">
        <v>0</v>
      </c>
      <c r="DU67" s="36">
        <v>0</v>
      </c>
      <c r="DV67" s="36">
        <v>0</v>
      </c>
      <c r="DW67" s="36">
        <v>0</v>
      </c>
      <c r="DX67" s="36">
        <v>0</v>
      </c>
      <c r="DY67" s="36">
        <v>0</v>
      </c>
      <c r="DZ67" s="36">
        <v>0</v>
      </c>
      <c r="EA67" s="36">
        <v>0</v>
      </c>
      <c r="EB67" s="36">
        <v>0</v>
      </c>
      <c r="EC67" s="36">
        <v>0</v>
      </c>
      <c r="ED67" s="36">
        <v>0</v>
      </c>
      <c r="EE67" s="36">
        <v>0</v>
      </c>
      <c r="EF67" s="36">
        <v>0</v>
      </c>
      <c r="EG67" s="36">
        <v>0</v>
      </c>
      <c r="EH67" s="36">
        <v>0</v>
      </c>
      <c r="EI67" s="36">
        <v>0</v>
      </c>
      <c r="EJ67" s="36">
        <v>0</v>
      </c>
      <c r="EK67" s="36">
        <v>0</v>
      </c>
      <c r="EL67" s="36">
        <v>0</v>
      </c>
      <c r="EM67" s="36">
        <v>0</v>
      </c>
      <c r="EN67" s="36">
        <v>0</v>
      </c>
      <c r="EO67" s="36">
        <v>0</v>
      </c>
      <c r="EP67" s="36">
        <v>0</v>
      </c>
      <c r="ET67" t="s">
        <v>621</v>
      </c>
      <c r="EU67" t="s">
        <v>622</v>
      </c>
      <c r="EV67" s="36">
        <v>-3</v>
      </c>
      <c r="EW67" s="36">
        <v>6</v>
      </c>
      <c r="EX67" s="36">
        <v>5</v>
      </c>
      <c r="EY67" s="36">
        <v>0</v>
      </c>
      <c r="EZ67" s="36">
        <v>7</v>
      </c>
      <c r="FA67" s="36">
        <v>0</v>
      </c>
      <c r="FB67" s="36">
        <v>0</v>
      </c>
      <c r="FC67" s="42">
        <f t="shared" si="18"/>
        <v>18</v>
      </c>
      <c r="FE67">
        <f t="shared" si="10"/>
        <v>3</v>
      </c>
      <c r="FF67">
        <f t="shared" si="11"/>
        <v>3</v>
      </c>
      <c r="FG67">
        <f t="shared" si="12"/>
        <v>3</v>
      </c>
      <c r="FM67" s="43">
        <f t="shared" si="14"/>
        <v>0</v>
      </c>
      <c r="FN67" s="43">
        <f t="shared" si="14"/>
        <v>0</v>
      </c>
      <c r="FO67" s="43">
        <f t="shared" si="14"/>
        <v>0</v>
      </c>
      <c r="FP67" s="43">
        <f t="shared" si="13"/>
        <v>0</v>
      </c>
      <c r="FQ67" s="43">
        <f t="shared" si="13"/>
        <v>0</v>
      </c>
      <c r="FR67" s="43">
        <f t="shared" si="13"/>
        <v>0</v>
      </c>
      <c r="FS67" s="43">
        <f t="shared" si="13"/>
        <v>0</v>
      </c>
      <c r="FV67" t="s">
        <v>623</v>
      </c>
      <c r="FW67" t="s">
        <v>624</v>
      </c>
    </row>
    <row r="68" spans="1:179" ht="19.5" customHeight="1" x14ac:dyDescent="0.35">
      <c r="A68" t="s">
        <v>625</v>
      </c>
      <c r="B68" s="36">
        <v>0</v>
      </c>
      <c r="C68" s="36">
        <v>0</v>
      </c>
      <c r="D68" s="36">
        <v>0</v>
      </c>
      <c r="E68" s="36">
        <v>0</v>
      </c>
      <c r="F68" s="36">
        <v>0</v>
      </c>
      <c r="G68" s="36">
        <v>0</v>
      </c>
      <c r="H68" s="36">
        <v>0</v>
      </c>
      <c r="I68" s="36">
        <v>0</v>
      </c>
      <c r="J68" s="36">
        <v>0</v>
      </c>
      <c r="K68" s="36">
        <v>0</v>
      </c>
      <c r="L68" s="36">
        <v>0</v>
      </c>
      <c r="M68" s="36">
        <v>0</v>
      </c>
      <c r="N68" s="36">
        <v>0</v>
      </c>
      <c r="O68" s="36">
        <v>0</v>
      </c>
      <c r="P68" s="36">
        <v>0</v>
      </c>
      <c r="Q68" s="36">
        <v>0</v>
      </c>
      <c r="R68" s="36">
        <v>0</v>
      </c>
      <c r="S68" s="36">
        <v>0</v>
      </c>
      <c r="T68" s="36">
        <v>0</v>
      </c>
      <c r="U68" s="36">
        <v>0</v>
      </c>
      <c r="V68" s="36">
        <v>0</v>
      </c>
      <c r="W68" s="36">
        <v>0</v>
      </c>
      <c r="X68" s="36">
        <v>0</v>
      </c>
      <c r="Y68" s="36">
        <v>0</v>
      </c>
      <c r="Z68" s="36">
        <v>0</v>
      </c>
      <c r="AA68" s="36">
        <v>0</v>
      </c>
      <c r="AB68" s="36">
        <v>0</v>
      </c>
      <c r="AC68" s="36">
        <v>0</v>
      </c>
      <c r="AD68" s="36">
        <v>0</v>
      </c>
      <c r="AE68" s="36">
        <v>-1</v>
      </c>
      <c r="AF68" s="36">
        <v>1</v>
      </c>
      <c r="AG68" s="36">
        <v>0</v>
      </c>
      <c r="AH68" s="36">
        <v>0</v>
      </c>
      <c r="AI68" s="36">
        <v>0</v>
      </c>
      <c r="AJ68" s="36">
        <v>0</v>
      </c>
      <c r="AK68" s="36">
        <v>0</v>
      </c>
      <c r="AL68" s="36">
        <v>0</v>
      </c>
      <c r="AM68" s="36">
        <v>0</v>
      </c>
      <c r="AN68" s="36">
        <v>0</v>
      </c>
      <c r="AO68" s="36">
        <v>0</v>
      </c>
      <c r="AP68" s="36">
        <v>0</v>
      </c>
      <c r="AQ68" s="36">
        <v>1</v>
      </c>
      <c r="AR68" s="36">
        <v>-1</v>
      </c>
      <c r="AS68" s="36">
        <v>0</v>
      </c>
      <c r="AT68" s="36">
        <v>0</v>
      </c>
      <c r="AU68" s="36">
        <v>0</v>
      </c>
      <c r="AV68" s="36">
        <v>0</v>
      </c>
      <c r="AW68" s="36">
        <v>0</v>
      </c>
      <c r="AX68" s="36">
        <v>0</v>
      </c>
      <c r="AY68" s="36">
        <v>0</v>
      </c>
      <c r="AZ68" s="36">
        <v>0</v>
      </c>
      <c r="BA68" s="36">
        <v>0</v>
      </c>
      <c r="BB68" s="36">
        <v>0</v>
      </c>
      <c r="BC68" s="36">
        <v>-1</v>
      </c>
      <c r="BD68" s="36">
        <v>0</v>
      </c>
      <c r="BE68" s="36">
        <v>0</v>
      </c>
      <c r="BF68" s="36">
        <v>0</v>
      </c>
      <c r="BG68" s="36">
        <v>0</v>
      </c>
      <c r="BH68" s="36">
        <v>0</v>
      </c>
      <c r="BI68" s="36">
        <v>0</v>
      </c>
      <c r="BJ68" s="36">
        <v>0</v>
      </c>
      <c r="BK68" s="36">
        <v>0</v>
      </c>
      <c r="BL68" s="36">
        <v>1</v>
      </c>
      <c r="BM68" s="36">
        <v>0</v>
      </c>
      <c r="BN68" s="36">
        <v>0</v>
      </c>
      <c r="BO68" s="36">
        <v>0</v>
      </c>
      <c r="BP68" s="36">
        <v>0</v>
      </c>
      <c r="BQ68" s="36">
        <v>0</v>
      </c>
      <c r="BR68" s="36">
        <v>0</v>
      </c>
      <c r="BS68" s="36">
        <v>0</v>
      </c>
      <c r="BT68" s="36">
        <v>0</v>
      </c>
      <c r="BU68" s="36">
        <v>0</v>
      </c>
      <c r="BV68" s="36">
        <v>0</v>
      </c>
      <c r="BW68" s="36">
        <v>0</v>
      </c>
      <c r="BX68" s="36">
        <v>0</v>
      </c>
      <c r="BY68" s="36">
        <v>0</v>
      </c>
      <c r="BZ68" s="36">
        <v>0</v>
      </c>
      <c r="CA68" s="36">
        <v>0</v>
      </c>
      <c r="CB68" s="36">
        <v>0</v>
      </c>
      <c r="CC68" s="36">
        <v>0</v>
      </c>
      <c r="CD68" s="36">
        <v>0</v>
      </c>
      <c r="CE68" s="36">
        <v>0</v>
      </c>
      <c r="CF68" s="36">
        <v>0</v>
      </c>
      <c r="CG68" s="36">
        <v>0</v>
      </c>
      <c r="CH68" s="36">
        <v>0</v>
      </c>
      <c r="CI68" s="36">
        <v>0</v>
      </c>
      <c r="CJ68" s="36">
        <v>0</v>
      </c>
      <c r="CK68" s="36">
        <v>0</v>
      </c>
      <c r="CL68" s="36">
        <v>0</v>
      </c>
      <c r="CM68" s="36">
        <v>0</v>
      </c>
      <c r="CN68" s="36">
        <v>0</v>
      </c>
      <c r="CO68" s="36">
        <v>0</v>
      </c>
      <c r="CP68" s="36">
        <v>0</v>
      </c>
      <c r="CQ68" s="36">
        <v>0</v>
      </c>
      <c r="CR68" s="36">
        <v>0</v>
      </c>
      <c r="CS68" s="36">
        <v>0</v>
      </c>
      <c r="CT68" s="36">
        <v>0</v>
      </c>
      <c r="CU68" s="36">
        <v>0</v>
      </c>
      <c r="CV68" s="36">
        <v>0</v>
      </c>
      <c r="CW68" s="36">
        <v>0</v>
      </c>
      <c r="CX68" s="36">
        <v>0</v>
      </c>
      <c r="CY68" s="36">
        <v>0</v>
      </c>
      <c r="CZ68" s="36">
        <v>0</v>
      </c>
      <c r="DA68" s="36">
        <v>0</v>
      </c>
      <c r="DB68" s="36">
        <v>0</v>
      </c>
      <c r="DC68" s="36">
        <v>0</v>
      </c>
      <c r="DD68" s="36">
        <v>0</v>
      </c>
      <c r="DE68" s="36">
        <v>0</v>
      </c>
      <c r="DF68" s="36">
        <v>0</v>
      </c>
      <c r="DG68" s="36">
        <v>0</v>
      </c>
      <c r="DH68" s="36">
        <v>0</v>
      </c>
      <c r="DI68" s="36">
        <v>0</v>
      </c>
      <c r="DJ68" s="36">
        <v>0</v>
      </c>
      <c r="DK68" s="36">
        <v>0</v>
      </c>
      <c r="DL68" s="36">
        <v>0</v>
      </c>
      <c r="DM68" s="36">
        <v>0</v>
      </c>
      <c r="DN68" s="36">
        <v>0</v>
      </c>
      <c r="DO68" s="36">
        <v>0</v>
      </c>
      <c r="DP68" s="36">
        <v>0</v>
      </c>
      <c r="DQ68" s="36">
        <v>0</v>
      </c>
      <c r="DR68" s="36">
        <v>0</v>
      </c>
      <c r="DS68" s="36">
        <v>0</v>
      </c>
      <c r="DT68" s="36">
        <v>0</v>
      </c>
      <c r="DU68" s="36">
        <v>0</v>
      </c>
      <c r="DV68" s="36">
        <v>0</v>
      </c>
      <c r="DW68" s="36">
        <v>0</v>
      </c>
      <c r="DX68" s="36">
        <v>0</v>
      </c>
      <c r="DY68" s="36">
        <v>0</v>
      </c>
      <c r="DZ68" s="36">
        <v>0</v>
      </c>
      <c r="EA68" s="36">
        <v>0</v>
      </c>
      <c r="EB68" s="36">
        <v>0</v>
      </c>
      <c r="EC68" s="36">
        <v>0</v>
      </c>
      <c r="ED68" s="36">
        <v>0</v>
      </c>
      <c r="EE68" s="36">
        <v>0</v>
      </c>
      <c r="EF68" s="36">
        <v>0</v>
      </c>
      <c r="EG68" s="36">
        <v>0</v>
      </c>
      <c r="EH68" s="36">
        <v>0</v>
      </c>
      <c r="EI68" s="36">
        <v>0</v>
      </c>
      <c r="EJ68" s="36">
        <v>0</v>
      </c>
      <c r="EK68" s="36">
        <v>0</v>
      </c>
      <c r="EL68" s="36">
        <v>0</v>
      </c>
      <c r="EM68" s="36">
        <v>0</v>
      </c>
      <c r="EN68" s="36">
        <v>0</v>
      </c>
      <c r="EO68" s="36">
        <v>0</v>
      </c>
      <c r="EP68" s="36">
        <v>0</v>
      </c>
      <c r="ET68" t="s">
        <v>626</v>
      </c>
      <c r="EU68" t="s">
        <v>608</v>
      </c>
      <c r="EV68" s="36">
        <v>-2</v>
      </c>
      <c r="EW68" s="36">
        <v>5</v>
      </c>
      <c r="EX68" s="36">
        <v>9</v>
      </c>
      <c r="EY68" s="36">
        <v>0</v>
      </c>
      <c r="EZ68" s="36">
        <v>8</v>
      </c>
      <c r="FA68" s="36">
        <v>1</v>
      </c>
      <c r="FB68" s="36">
        <v>0</v>
      </c>
      <c r="FC68" s="42">
        <f t="shared" si="18"/>
        <v>20</v>
      </c>
      <c r="FE68">
        <f t="shared" si="10"/>
        <v>4</v>
      </c>
      <c r="FF68">
        <f t="shared" si="11"/>
        <v>4</v>
      </c>
      <c r="FG68">
        <f t="shared" si="12"/>
        <v>4</v>
      </c>
      <c r="FM68" s="43">
        <f t="shared" si="14"/>
        <v>0</v>
      </c>
      <c r="FN68" s="43">
        <f t="shared" si="14"/>
        <v>0</v>
      </c>
      <c r="FO68" s="43">
        <f t="shared" si="14"/>
        <v>0</v>
      </c>
      <c r="FP68" s="43">
        <f t="shared" si="13"/>
        <v>0</v>
      </c>
      <c r="FQ68" s="43">
        <f t="shared" si="13"/>
        <v>0</v>
      </c>
      <c r="FR68" s="43">
        <f t="shared" si="13"/>
        <v>0</v>
      </c>
      <c r="FS68" s="43">
        <f t="shared" si="13"/>
        <v>0</v>
      </c>
      <c r="FV68" t="s">
        <v>627</v>
      </c>
      <c r="FW68" t="s">
        <v>628</v>
      </c>
    </row>
    <row r="69" spans="1:179" ht="19.5" customHeight="1" x14ac:dyDescent="0.35">
      <c r="A69" t="s">
        <v>629</v>
      </c>
      <c r="B69" s="36">
        <v>0</v>
      </c>
      <c r="C69" s="36">
        <v>0</v>
      </c>
      <c r="D69" s="36">
        <v>0</v>
      </c>
      <c r="E69" s="36">
        <v>0</v>
      </c>
      <c r="F69" s="36">
        <v>0</v>
      </c>
      <c r="G69" s="36">
        <v>0</v>
      </c>
      <c r="H69" s="36">
        <v>0</v>
      </c>
      <c r="I69" s="36">
        <v>0</v>
      </c>
      <c r="J69" s="36">
        <v>0</v>
      </c>
      <c r="K69" s="36">
        <v>0</v>
      </c>
      <c r="L69" s="36">
        <v>0</v>
      </c>
      <c r="M69" s="36">
        <v>0</v>
      </c>
      <c r="N69" s="36">
        <v>0</v>
      </c>
      <c r="O69" s="36">
        <v>0</v>
      </c>
      <c r="P69" s="36">
        <v>0</v>
      </c>
      <c r="Q69" s="36">
        <v>0</v>
      </c>
      <c r="R69" s="36">
        <v>0</v>
      </c>
      <c r="S69" s="36">
        <v>0</v>
      </c>
      <c r="T69" s="36">
        <v>0</v>
      </c>
      <c r="U69" s="36">
        <v>0</v>
      </c>
      <c r="V69" s="36">
        <v>0</v>
      </c>
      <c r="W69" s="36">
        <v>0</v>
      </c>
      <c r="X69" s="36">
        <v>0</v>
      </c>
      <c r="Y69" s="36">
        <v>0</v>
      </c>
      <c r="Z69" s="36">
        <v>0</v>
      </c>
      <c r="AA69" s="36">
        <v>0</v>
      </c>
      <c r="AB69" s="36">
        <v>0</v>
      </c>
      <c r="AC69" s="36">
        <v>0</v>
      </c>
      <c r="AD69" s="36">
        <v>0</v>
      </c>
      <c r="AE69" s="36">
        <v>0</v>
      </c>
      <c r="AF69" s="36">
        <v>0</v>
      </c>
      <c r="AG69" s="36">
        <v>0</v>
      </c>
      <c r="AH69" s="36">
        <v>0</v>
      </c>
      <c r="AI69" s="36">
        <v>0</v>
      </c>
      <c r="AJ69" s="36">
        <v>0</v>
      </c>
      <c r="AK69" s="36">
        <v>0</v>
      </c>
      <c r="AL69" s="36">
        <v>0</v>
      </c>
      <c r="AM69" s="36">
        <v>0</v>
      </c>
      <c r="AN69" s="36">
        <v>0</v>
      </c>
      <c r="AO69" s="36">
        <v>0</v>
      </c>
      <c r="AP69" s="36">
        <v>0</v>
      </c>
      <c r="AQ69" s="36">
        <v>0</v>
      </c>
      <c r="AR69" s="36">
        <v>0</v>
      </c>
      <c r="AS69" s="36">
        <v>0</v>
      </c>
      <c r="AT69" s="36">
        <v>0</v>
      </c>
      <c r="AU69" s="36">
        <v>0</v>
      </c>
      <c r="AV69" s="36">
        <v>0</v>
      </c>
      <c r="AW69" s="36">
        <v>0</v>
      </c>
      <c r="AX69" s="36">
        <v>0</v>
      </c>
      <c r="AY69" s="36">
        <v>0</v>
      </c>
      <c r="AZ69" s="36">
        <v>0</v>
      </c>
      <c r="BA69" s="36">
        <v>0</v>
      </c>
      <c r="BB69" s="36">
        <v>0</v>
      </c>
      <c r="BC69" s="36">
        <v>0</v>
      </c>
      <c r="BD69" s="36">
        <v>0</v>
      </c>
      <c r="BE69" s="36">
        <v>0</v>
      </c>
      <c r="BF69" s="36">
        <v>0</v>
      </c>
      <c r="BG69" s="36">
        <v>0</v>
      </c>
      <c r="BH69" s="36">
        <v>0</v>
      </c>
      <c r="BI69" s="36">
        <v>0</v>
      </c>
      <c r="BJ69" s="36">
        <v>0</v>
      </c>
      <c r="BK69" s="36">
        <v>0</v>
      </c>
      <c r="BL69" s="36">
        <v>0</v>
      </c>
      <c r="BM69" s="36">
        <v>0</v>
      </c>
      <c r="BN69" s="36">
        <v>0</v>
      </c>
      <c r="BO69" s="36">
        <v>0</v>
      </c>
      <c r="BP69" s="36">
        <v>0</v>
      </c>
      <c r="BQ69" s="36">
        <v>0</v>
      </c>
      <c r="BR69" s="36">
        <v>0</v>
      </c>
      <c r="BS69" s="36">
        <v>0</v>
      </c>
      <c r="BT69" s="36">
        <v>0</v>
      </c>
      <c r="BU69" s="36">
        <v>0</v>
      </c>
      <c r="BV69" s="36">
        <v>0</v>
      </c>
      <c r="BW69" s="36">
        <v>0</v>
      </c>
      <c r="BX69" s="36">
        <v>0</v>
      </c>
      <c r="BY69" s="36">
        <v>0</v>
      </c>
      <c r="BZ69" s="36">
        <v>0</v>
      </c>
      <c r="CA69" s="36">
        <v>0</v>
      </c>
      <c r="CB69" s="36">
        <v>0</v>
      </c>
      <c r="CC69" s="36">
        <v>0</v>
      </c>
      <c r="CD69" s="36">
        <v>0</v>
      </c>
      <c r="CE69" s="36">
        <v>0</v>
      </c>
      <c r="CF69" s="36">
        <v>0</v>
      </c>
      <c r="CG69" s="36">
        <v>0</v>
      </c>
      <c r="CH69" s="36">
        <v>0</v>
      </c>
      <c r="CI69" s="36">
        <v>0</v>
      </c>
      <c r="CJ69" s="36">
        <v>0</v>
      </c>
      <c r="CK69" s="36">
        <v>0</v>
      </c>
      <c r="CL69" s="36">
        <v>0</v>
      </c>
      <c r="CM69" s="36">
        <v>0</v>
      </c>
      <c r="CN69" s="36">
        <v>0</v>
      </c>
      <c r="CO69" s="36">
        <v>0</v>
      </c>
      <c r="CP69" s="36">
        <v>0</v>
      </c>
      <c r="CQ69" s="36">
        <v>0</v>
      </c>
      <c r="CR69" s="36">
        <v>0</v>
      </c>
      <c r="CS69" s="36">
        <v>0</v>
      </c>
      <c r="CT69" s="36">
        <v>0</v>
      </c>
      <c r="CU69" s="36">
        <v>0</v>
      </c>
      <c r="CV69" s="36">
        <v>0</v>
      </c>
      <c r="CW69" s="36">
        <v>0</v>
      </c>
      <c r="CX69" s="36">
        <v>0</v>
      </c>
      <c r="CY69" s="36">
        <v>0</v>
      </c>
      <c r="CZ69" s="36">
        <v>0</v>
      </c>
      <c r="DA69" s="36">
        <v>0</v>
      </c>
      <c r="DB69" s="36">
        <v>0</v>
      </c>
      <c r="DC69" s="36">
        <v>0</v>
      </c>
      <c r="DD69" s="36">
        <v>0</v>
      </c>
      <c r="DE69" s="36">
        <v>0</v>
      </c>
      <c r="DF69" s="36">
        <v>0</v>
      </c>
      <c r="DG69" s="36">
        <v>0</v>
      </c>
      <c r="DH69" s="36">
        <v>0</v>
      </c>
      <c r="DI69" s="36">
        <v>0</v>
      </c>
      <c r="DJ69" s="36">
        <v>0</v>
      </c>
      <c r="DK69" s="36">
        <v>0</v>
      </c>
      <c r="DL69" s="36">
        <v>0</v>
      </c>
      <c r="DM69" s="36">
        <v>0</v>
      </c>
      <c r="DN69" s="36">
        <v>0</v>
      </c>
      <c r="DO69" s="36">
        <v>0</v>
      </c>
      <c r="DP69" s="36">
        <v>0</v>
      </c>
      <c r="DQ69" s="36">
        <v>0</v>
      </c>
      <c r="DR69" s="36">
        <v>0</v>
      </c>
      <c r="DS69" s="36">
        <v>0</v>
      </c>
      <c r="DT69" s="36">
        <v>0</v>
      </c>
      <c r="DU69" s="36">
        <v>0</v>
      </c>
      <c r="DV69" s="36">
        <v>0</v>
      </c>
      <c r="DW69" s="36">
        <v>0</v>
      </c>
      <c r="DX69" s="36">
        <v>0</v>
      </c>
      <c r="DY69" s="36">
        <v>0</v>
      </c>
      <c r="DZ69" s="36">
        <v>0</v>
      </c>
      <c r="EA69" s="36">
        <v>-1</v>
      </c>
      <c r="EB69" s="36">
        <v>0</v>
      </c>
      <c r="EC69" s="36">
        <v>1</v>
      </c>
      <c r="ED69" s="36">
        <v>0</v>
      </c>
      <c r="EE69" s="36">
        <v>0</v>
      </c>
      <c r="EF69" s="36">
        <v>0</v>
      </c>
      <c r="EG69" s="36">
        <v>0</v>
      </c>
      <c r="EH69" s="36">
        <v>0</v>
      </c>
      <c r="EI69" s="36">
        <v>0</v>
      </c>
      <c r="EJ69" s="36">
        <v>0</v>
      </c>
      <c r="EK69" s="36">
        <v>0</v>
      </c>
      <c r="EL69" s="36">
        <v>0</v>
      </c>
      <c r="EM69" s="36">
        <v>0</v>
      </c>
      <c r="EN69" s="36">
        <v>0</v>
      </c>
      <c r="EO69" s="36">
        <v>0</v>
      </c>
      <c r="EP69" s="36">
        <v>0</v>
      </c>
      <c r="ET69" t="s">
        <v>277</v>
      </c>
      <c r="EU69" t="s">
        <v>630</v>
      </c>
      <c r="EV69" s="36">
        <v>0</v>
      </c>
      <c r="EW69" s="36">
        <v>2</v>
      </c>
      <c r="EX69" s="36">
        <v>6</v>
      </c>
      <c r="EY69" s="36">
        <v>0</v>
      </c>
      <c r="EZ69" s="36">
        <v>1</v>
      </c>
      <c r="FA69" s="36">
        <v>0</v>
      </c>
      <c r="FB69" s="36">
        <v>0</v>
      </c>
      <c r="FC69" s="42">
        <f t="shared" si="18"/>
        <v>12</v>
      </c>
      <c r="FE69">
        <f t="shared" si="10"/>
        <v>6</v>
      </c>
      <c r="FF69">
        <f t="shared" si="11"/>
        <v>6</v>
      </c>
      <c r="FG69">
        <f t="shared" si="12"/>
        <v>6</v>
      </c>
      <c r="FM69" s="43">
        <f t="shared" si="14"/>
        <v>0</v>
      </c>
      <c r="FN69" s="43">
        <f t="shared" si="14"/>
        <v>0</v>
      </c>
      <c r="FO69" s="43">
        <f t="shared" si="14"/>
        <v>0</v>
      </c>
      <c r="FP69" s="43">
        <f t="shared" si="13"/>
        <v>0</v>
      </c>
      <c r="FQ69" s="43">
        <f t="shared" si="13"/>
        <v>0</v>
      </c>
      <c r="FR69" s="43">
        <f t="shared" si="13"/>
        <v>0</v>
      </c>
      <c r="FS69" s="43">
        <f t="shared" si="13"/>
        <v>0</v>
      </c>
      <c r="FV69" t="s">
        <v>631</v>
      </c>
      <c r="FW69" t="s">
        <v>632</v>
      </c>
    </row>
    <row r="70" spans="1:179" ht="19.5" customHeight="1" x14ac:dyDescent="0.35">
      <c r="A70" t="s">
        <v>633</v>
      </c>
      <c r="B70" s="36">
        <v>1</v>
      </c>
      <c r="C70" s="36">
        <v>0</v>
      </c>
      <c r="D70" s="36">
        <v>0</v>
      </c>
      <c r="E70" s="36">
        <v>0</v>
      </c>
      <c r="F70" s="36">
        <v>0</v>
      </c>
      <c r="G70" s="36">
        <v>0</v>
      </c>
      <c r="H70" s="36">
        <v>0</v>
      </c>
      <c r="I70" s="36">
        <v>0</v>
      </c>
      <c r="J70" s="36">
        <v>0</v>
      </c>
      <c r="K70" s="36">
        <v>0</v>
      </c>
      <c r="L70" s="36">
        <v>0</v>
      </c>
      <c r="M70" s="36">
        <v>0</v>
      </c>
      <c r="N70" s="36">
        <v>0</v>
      </c>
      <c r="O70" s="36">
        <v>0</v>
      </c>
      <c r="P70" s="36">
        <v>0</v>
      </c>
      <c r="Q70" s="36">
        <v>0</v>
      </c>
      <c r="R70" s="36">
        <v>0</v>
      </c>
      <c r="S70" s="36">
        <v>0</v>
      </c>
      <c r="T70" s="36">
        <v>0</v>
      </c>
      <c r="U70" s="36">
        <v>0</v>
      </c>
      <c r="V70" s="36">
        <v>0</v>
      </c>
      <c r="W70" s="36">
        <v>0</v>
      </c>
      <c r="X70" s="36">
        <v>0</v>
      </c>
      <c r="Y70" s="36">
        <v>0</v>
      </c>
      <c r="Z70" s="36">
        <v>0</v>
      </c>
      <c r="AA70" s="36">
        <v>0</v>
      </c>
      <c r="AB70" s="36">
        <v>0</v>
      </c>
      <c r="AC70" s="36">
        <v>0</v>
      </c>
      <c r="AD70" s="36">
        <v>0</v>
      </c>
      <c r="AE70" s="36">
        <v>0</v>
      </c>
      <c r="AF70" s="36">
        <v>0</v>
      </c>
      <c r="AG70" s="36">
        <v>0</v>
      </c>
      <c r="AH70" s="36">
        <v>0</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1</v>
      </c>
      <c r="AZ70" s="36">
        <v>0</v>
      </c>
      <c r="BA70" s="36">
        <v>0</v>
      </c>
      <c r="BB70" s="36">
        <v>0</v>
      </c>
      <c r="BC70" s="36">
        <v>0</v>
      </c>
      <c r="BD70" s="36">
        <v>0</v>
      </c>
      <c r="BE70" s="36">
        <v>0</v>
      </c>
      <c r="BF70" s="36">
        <v>0</v>
      </c>
      <c r="BG70" s="36">
        <v>0</v>
      </c>
      <c r="BH70" s="36">
        <v>0</v>
      </c>
      <c r="BI70" s="36">
        <v>0</v>
      </c>
      <c r="BJ70" s="36">
        <v>0</v>
      </c>
      <c r="BK70" s="36">
        <v>0</v>
      </c>
      <c r="BL70" s="36">
        <v>0</v>
      </c>
      <c r="BM70" s="36">
        <v>0</v>
      </c>
      <c r="BN70" s="36">
        <v>0</v>
      </c>
      <c r="BO70" s="36">
        <v>0</v>
      </c>
      <c r="BP70" s="36">
        <v>0</v>
      </c>
      <c r="BQ70" s="36">
        <v>0</v>
      </c>
      <c r="BR70" s="36">
        <v>0</v>
      </c>
      <c r="BS70" s="36">
        <v>0</v>
      </c>
      <c r="BT70" s="36">
        <v>0</v>
      </c>
      <c r="BU70" s="36">
        <v>0</v>
      </c>
      <c r="BV70" s="36">
        <v>0</v>
      </c>
      <c r="BW70" s="36">
        <v>0</v>
      </c>
      <c r="BX70" s="36">
        <v>0</v>
      </c>
      <c r="BY70" s="36">
        <v>0</v>
      </c>
      <c r="BZ70" s="36">
        <v>0</v>
      </c>
      <c r="CA70" s="36">
        <v>0</v>
      </c>
      <c r="CB70" s="36">
        <v>0</v>
      </c>
      <c r="CC70" s="36">
        <v>0</v>
      </c>
      <c r="CD70" s="36">
        <v>0</v>
      </c>
      <c r="CE70" s="36">
        <v>0</v>
      </c>
      <c r="CF70" s="36">
        <v>0</v>
      </c>
      <c r="CG70" s="36">
        <v>0</v>
      </c>
      <c r="CH70" s="36">
        <v>0</v>
      </c>
      <c r="CI70" s="36">
        <v>0</v>
      </c>
      <c r="CJ70" s="36">
        <v>0</v>
      </c>
      <c r="CK70" s="36">
        <v>0</v>
      </c>
      <c r="CL70" s="36">
        <v>-1</v>
      </c>
      <c r="CM70" s="36">
        <v>0</v>
      </c>
      <c r="CN70" s="36">
        <v>0</v>
      </c>
      <c r="CO70" s="36">
        <v>0</v>
      </c>
      <c r="CP70" s="36">
        <v>1</v>
      </c>
      <c r="CQ70" s="36">
        <v>0</v>
      </c>
      <c r="CR70" s="36">
        <v>0</v>
      </c>
      <c r="CS70" s="36">
        <v>0</v>
      </c>
      <c r="CT70" s="36">
        <v>0</v>
      </c>
      <c r="CU70" s="36">
        <v>-1</v>
      </c>
      <c r="CV70" s="36">
        <v>0</v>
      </c>
      <c r="CW70" s="36">
        <v>0</v>
      </c>
      <c r="CX70" s="36">
        <v>0</v>
      </c>
      <c r="CY70" s="36">
        <v>0</v>
      </c>
      <c r="CZ70" s="36">
        <v>0</v>
      </c>
      <c r="DA70" s="36">
        <v>0</v>
      </c>
      <c r="DB70" s="36">
        <v>0</v>
      </c>
      <c r="DC70" s="36">
        <v>0</v>
      </c>
      <c r="DD70" s="36">
        <v>0</v>
      </c>
      <c r="DE70" s="36">
        <v>0</v>
      </c>
      <c r="DF70" s="36">
        <v>0</v>
      </c>
      <c r="DG70" s="36">
        <v>0</v>
      </c>
      <c r="DH70" s="36">
        <v>0</v>
      </c>
      <c r="DI70" s="36">
        <v>0</v>
      </c>
      <c r="DJ70" s="36">
        <v>0</v>
      </c>
      <c r="DK70" s="36">
        <v>0</v>
      </c>
      <c r="DL70" s="36">
        <v>0</v>
      </c>
      <c r="DM70" s="36">
        <v>0</v>
      </c>
      <c r="DN70" s="36">
        <v>0</v>
      </c>
      <c r="DO70" s="36">
        <v>0</v>
      </c>
      <c r="DP70" s="36">
        <v>0</v>
      </c>
      <c r="DQ70" s="36">
        <v>0</v>
      </c>
      <c r="DR70" s="36">
        <v>0</v>
      </c>
      <c r="DS70" s="36">
        <v>0</v>
      </c>
      <c r="DT70" s="36">
        <v>0</v>
      </c>
      <c r="DU70" s="36">
        <v>0</v>
      </c>
      <c r="DV70" s="36">
        <v>0</v>
      </c>
      <c r="DW70" s="36">
        <v>0</v>
      </c>
      <c r="DX70" s="36">
        <v>0</v>
      </c>
      <c r="DY70" s="36">
        <v>0</v>
      </c>
      <c r="DZ70" s="36">
        <v>0</v>
      </c>
      <c r="EA70" s="36">
        <v>0</v>
      </c>
      <c r="EB70" s="36">
        <v>0</v>
      </c>
      <c r="EC70" s="36">
        <v>0</v>
      </c>
      <c r="ED70" s="36">
        <v>0</v>
      </c>
      <c r="EE70" s="36">
        <v>0</v>
      </c>
      <c r="EF70" s="36">
        <v>0</v>
      </c>
      <c r="EG70" s="36">
        <v>0</v>
      </c>
      <c r="EH70" s="36">
        <v>0</v>
      </c>
      <c r="EI70" s="36">
        <v>0</v>
      </c>
      <c r="EJ70" s="36">
        <v>0</v>
      </c>
      <c r="EK70" s="36">
        <v>0</v>
      </c>
      <c r="EL70" s="36">
        <v>0</v>
      </c>
      <c r="EM70" s="36">
        <v>0</v>
      </c>
      <c r="EN70" s="36">
        <v>0</v>
      </c>
      <c r="EO70" s="36">
        <v>0</v>
      </c>
      <c r="EP70" s="36">
        <v>0</v>
      </c>
      <c r="ET70" t="s">
        <v>278</v>
      </c>
      <c r="EU70" t="s">
        <v>630</v>
      </c>
      <c r="EV70" s="36">
        <v>0</v>
      </c>
      <c r="EW70" s="36">
        <v>2</v>
      </c>
      <c r="EX70" s="36">
        <v>6</v>
      </c>
      <c r="EY70" s="36">
        <v>0</v>
      </c>
      <c r="EZ70" s="36">
        <v>1</v>
      </c>
      <c r="FA70" s="36">
        <v>0</v>
      </c>
      <c r="FB70" s="36">
        <v>0</v>
      </c>
      <c r="FC70" s="42">
        <f t="shared" si="18"/>
        <v>12</v>
      </c>
      <c r="FE70">
        <f t="shared" si="10"/>
        <v>6</v>
      </c>
      <c r="FF70">
        <f t="shared" si="11"/>
        <v>6</v>
      </c>
      <c r="FG70">
        <f t="shared" si="12"/>
        <v>6</v>
      </c>
      <c r="FM70" s="43">
        <f t="shared" si="14"/>
        <v>0</v>
      </c>
      <c r="FN70" s="43">
        <f t="shared" si="14"/>
        <v>0</v>
      </c>
      <c r="FO70" s="43">
        <f t="shared" si="14"/>
        <v>0</v>
      </c>
      <c r="FP70" s="43">
        <f t="shared" si="13"/>
        <v>0</v>
      </c>
      <c r="FQ70" s="43">
        <f t="shared" si="13"/>
        <v>0</v>
      </c>
      <c r="FR70" s="43">
        <f t="shared" si="13"/>
        <v>0</v>
      </c>
      <c r="FS70" s="43">
        <f t="shared" si="13"/>
        <v>0</v>
      </c>
      <c r="FV70" t="s">
        <v>634</v>
      </c>
      <c r="FW70" t="s">
        <v>635</v>
      </c>
    </row>
    <row r="71" spans="1:179" ht="19.5" customHeight="1" x14ac:dyDescent="0.25">
      <c r="A71" t="s">
        <v>636</v>
      </c>
      <c r="B71" s="36">
        <v>0</v>
      </c>
      <c r="C71" s="36">
        <v>0</v>
      </c>
      <c r="D71" s="36">
        <v>0</v>
      </c>
      <c r="E71" s="36">
        <v>0</v>
      </c>
      <c r="F71" s="36">
        <v>0</v>
      </c>
      <c r="G71" s="36">
        <v>0</v>
      </c>
      <c r="H71" s="36">
        <v>0</v>
      </c>
      <c r="I71" s="36">
        <v>0</v>
      </c>
      <c r="J71" s="36">
        <v>0</v>
      </c>
      <c r="K71" s="36">
        <v>0</v>
      </c>
      <c r="L71" s="36">
        <v>0</v>
      </c>
      <c r="M71" s="36">
        <v>0</v>
      </c>
      <c r="N71" s="36">
        <v>0</v>
      </c>
      <c r="O71" s="36">
        <v>0</v>
      </c>
      <c r="P71" s="36">
        <v>0</v>
      </c>
      <c r="Q71" s="36">
        <v>0</v>
      </c>
      <c r="R71" s="36">
        <v>0</v>
      </c>
      <c r="S71" s="36">
        <v>0</v>
      </c>
      <c r="T71" s="36">
        <v>0</v>
      </c>
      <c r="U71" s="36">
        <v>0</v>
      </c>
      <c r="V71" s="36">
        <v>0</v>
      </c>
      <c r="W71" s="36">
        <v>0</v>
      </c>
      <c r="X71" s="36">
        <v>0</v>
      </c>
      <c r="Y71" s="36">
        <v>0</v>
      </c>
      <c r="Z71" s="36">
        <v>0</v>
      </c>
      <c r="AA71" s="36">
        <v>0</v>
      </c>
      <c r="AB71" s="36">
        <v>0</v>
      </c>
      <c r="AC71" s="36">
        <v>0</v>
      </c>
      <c r="AD71" s="36">
        <v>0</v>
      </c>
      <c r="AE71" s="36">
        <v>0</v>
      </c>
      <c r="AF71" s="36">
        <v>0</v>
      </c>
      <c r="AG71" s="36">
        <v>0</v>
      </c>
      <c r="AH71" s="36">
        <v>0</v>
      </c>
      <c r="AI71" s="36">
        <v>0</v>
      </c>
      <c r="AJ71" s="36">
        <v>0</v>
      </c>
      <c r="AK71" s="36">
        <v>0</v>
      </c>
      <c r="AL71" s="36">
        <v>0</v>
      </c>
      <c r="AM71" s="36">
        <v>0</v>
      </c>
      <c r="AN71" s="36">
        <v>1</v>
      </c>
      <c r="AO71" s="36">
        <v>-1</v>
      </c>
      <c r="AP71" s="36">
        <v>0</v>
      </c>
      <c r="AQ71" s="36">
        <v>0</v>
      </c>
      <c r="AR71" s="36">
        <v>0</v>
      </c>
      <c r="AS71" s="36">
        <v>0</v>
      </c>
      <c r="AT71" s="36">
        <v>0</v>
      </c>
      <c r="AU71" s="36">
        <v>0</v>
      </c>
      <c r="AV71" s="36">
        <v>0</v>
      </c>
      <c r="AW71" s="36">
        <v>0</v>
      </c>
      <c r="AX71" s="36">
        <v>0</v>
      </c>
      <c r="AY71" s="36">
        <v>0</v>
      </c>
      <c r="AZ71" s="36">
        <v>0</v>
      </c>
      <c r="BA71" s="36">
        <v>0</v>
      </c>
      <c r="BB71" s="36">
        <v>0</v>
      </c>
      <c r="BC71" s="36">
        <v>0</v>
      </c>
      <c r="BD71" s="36">
        <v>0</v>
      </c>
      <c r="BE71" s="36">
        <v>0</v>
      </c>
      <c r="BF71" s="36">
        <v>0</v>
      </c>
      <c r="BG71" s="36">
        <v>0</v>
      </c>
      <c r="BH71" s="36">
        <v>0</v>
      </c>
      <c r="BI71" s="36">
        <v>0</v>
      </c>
      <c r="BJ71" s="36">
        <v>0</v>
      </c>
      <c r="BK71" s="36">
        <v>0</v>
      </c>
      <c r="BL71" s="36">
        <v>0</v>
      </c>
      <c r="BM71" s="36">
        <v>0</v>
      </c>
      <c r="BN71" s="36">
        <v>0</v>
      </c>
      <c r="BO71" s="36">
        <v>0</v>
      </c>
      <c r="BP71" s="36">
        <v>0</v>
      </c>
      <c r="BQ71" s="36">
        <v>0</v>
      </c>
      <c r="BR71" s="36">
        <v>0</v>
      </c>
      <c r="BS71" s="36">
        <v>0</v>
      </c>
      <c r="BT71" s="36">
        <v>0</v>
      </c>
      <c r="BU71" s="36">
        <v>0</v>
      </c>
      <c r="BV71" s="36">
        <v>0</v>
      </c>
      <c r="BW71" s="36">
        <v>0</v>
      </c>
      <c r="BX71" s="36">
        <v>0</v>
      </c>
      <c r="BY71" s="36">
        <v>0</v>
      </c>
      <c r="BZ71" s="36">
        <v>0</v>
      </c>
      <c r="CA71" s="36">
        <v>0</v>
      </c>
      <c r="CB71" s="36">
        <v>0</v>
      </c>
      <c r="CC71" s="36">
        <v>0</v>
      </c>
      <c r="CD71" s="36">
        <v>0</v>
      </c>
      <c r="CE71" s="36">
        <v>0</v>
      </c>
      <c r="CF71" s="36">
        <v>0</v>
      </c>
      <c r="CG71" s="36">
        <v>0</v>
      </c>
      <c r="CH71" s="36">
        <v>0</v>
      </c>
      <c r="CI71" s="36">
        <v>0</v>
      </c>
      <c r="CJ71" s="36">
        <v>0</v>
      </c>
      <c r="CK71" s="36">
        <v>0</v>
      </c>
      <c r="CL71" s="36">
        <v>1</v>
      </c>
      <c r="CM71" s="36">
        <v>0</v>
      </c>
      <c r="CN71" s="36">
        <v>0</v>
      </c>
      <c r="CO71" s="36">
        <v>0</v>
      </c>
      <c r="CP71" s="36">
        <v>0</v>
      </c>
      <c r="CQ71" s="36">
        <v>0</v>
      </c>
      <c r="CR71" s="36">
        <v>0</v>
      </c>
      <c r="CS71" s="36">
        <v>0</v>
      </c>
      <c r="CT71" s="36">
        <v>0</v>
      </c>
      <c r="CU71" s="36">
        <v>0</v>
      </c>
      <c r="CV71" s="36">
        <v>0</v>
      </c>
      <c r="CW71" s="36">
        <v>0</v>
      </c>
      <c r="CX71" s="36">
        <v>0</v>
      </c>
      <c r="CY71" s="36">
        <v>0</v>
      </c>
      <c r="CZ71" s="36">
        <v>0</v>
      </c>
      <c r="DA71" s="36">
        <v>0</v>
      </c>
      <c r="DB71" s="36">
        <v>0</v>
      </c>
      <c r="DC71" s="36">
        <v>0</v>
      </c>
      <c r="DD71" s="36">
        <v>0</v>
      </c>
      <c r="DE71" s="36">
        <v>0</v>
      </c>
      <c r="DF71" s="36">
        <v>0</v>
      </c>
      <c r="DG71" s="36">
        <v>0</v>
      </c>
      <c r="DH71" s="36">
        <v>0</v>
      </c>
      <c r="DI71" s="36">
        <v>0</v>
      </c>
      <c r="DJ71" s="36">
        <v>0</v>
      </c>
      <c r="DK71" s="36">
        <v>0</v>
      </c>
      <c r="DL71" s="36">
        <v>0</v>
      </c>
      <c r="DM71" s="36">
        <v>0</v>
      </c>
      <c r="DN71" s="36">
        <v>0</v>
      </c>
      <c r="DO71" s="36">
        <v>0</v>
      </c>
      <c r="DP71" s="36">
        <v>0</v>
      </c>
      <c r="DQ71" s="36">
        <v>0</v>
      </c>
      <c r="DR71" s="36">
        <v>0</v>
      </c>
      <c r="DS71" s="36">
        <v>0</v>
      </c>
      <c r="DT71" s="36">
        <v>0</v>
      </c>
      <c r="DU71" s="36">
        <v>0</v>
      </c>
      <c r="DV71" s="36">
        <v>0</v>
      </c>
      <c r="DW71" s="36">
        <v>0</v>
      </c>
      <c r="DX71" s="36">
        <v>0</v>
      </c>
      <c r="DY71" s="36">
        <v>0</v>
      </c>
      <c r="DZ71" s="36">
        <v>0</v>
      </c>
      <c r="EA71" s="36">
        <v>0</v>
      </c>
      <c r="EB71" s="36">
        <v>0</v>
      </c>
      <c r="EC71" s="36">
        <v>0</v>
      </c>
      <c r="ED71" s="36">
        <v>0</v>
      </c>
      <c r="EE71" s="36">
        <v>0</v>
      </c>
      <c r="EF71" s="36">
        <v>0</v>
      </c>
      <c r="EG71" s="36">
        <v>0</v>
      </c>
      <c r="EH71" s="36">
        <v>0</v>
      </c>
      <c r="EI71" s="36">
        <v>0</v>
      </c>
      <c r="EJ71" s="36">
        <v>0</v>
      </c>
      <c r="EK71" s="36">
        <v>0</v>
      </c>
      <c r="EL71" s="36">
        <v>0</v>
      </c>
      <c r="EM71" s="36">
        <v>0</v>
      </c>
      <c r="EN71" s="36">
        <v>0</v>
      </c>
      <c r="EO71" s="36">
        <v>0</v>
      </c>
      <c r="EP71" s="36">
        <v>0</v>
      </c>
      <c r="ET71" t="s">
        <v>279</v>
      </c>
      <c r="EU71" t="s">
        <v>530</v>
      </c>
      <c r="EV71" s="36">
        <v>0</v>
      </c>
      <c r="EW71" s="36">
        <v>0</v>
      </c>
      <c r="EX71" s="36">
        <v>0</v>
      </c>
      <c r="EY71" s="36">
        <v>0</v>
      </c>
      <c r="EZ71" s="36">
        <v>0</v>
      </c>
      <c r="FA71" s="36">
        <v>0</v>
      </c>
      <c r="FB71" s="36">
        <v>0</v>
      </c>
      <c r="FC71" s="42">
        <f t="shared" si="18"/>
        <v>0</v>
      </c>
      <c r="FE71">
        <f t="shared" ref="FE71:FE72" si="22">((4*(EW71))+(EX71)+(5*EY71)+(-2*EZ71)+(5*FA71)+(6*FB71)+(-EV71))/1</f>
        <v>0</v>
      </c>
      <c r="FF71">
        <f t="shared" ref="FF71:FF72" si="23">((4*(EW71))+(EX71)+(-3*EY71)+(-2*EZ71)+(5*FA71)+(6*FB71)+(-EV71))/1</f>
        <v>0</v>
      </c>
      <c r="FG71">
        <f t="shared" ref="FG71:FG72" si="24">((4*(EW71))+(EX71)+(0*EY71)+(-2*EZ71)+(5*FA71)+(6*FB71)+(-EV71))/1</f>
        <v>0</v>
      </c>
      <c r="FM71" s="43">
        <f t="shared" si="14"/>
        <v>0</v>
      </c>
      <c r="FN71" s="43">
        <f t="shared" si="14"/>
        <v>0</v>
      </c>
      <c r="FO71" s="43">
        <f t="shared" si="14"/>
        <v>0</v>
      </c>
      <c r="FP71" s="43">
        <f t="shared" si="13"/>
        <v>0</v>
      </c>
      <c r="FQ71" s="43">
        <f t="shared" si="13"/>
        <v>0</v>
      </c>
      <c r="FR71" s="43">
        <f t="shared" si="13"/>
        <v>0</v>
      </c>
      <c r="FS71" s="43">
        <f t="shared" si="13"/>
        <v>0</v>
      </c>
      <c r="FV71" t="s">
        <v>637</v>
      </c>
      <c r="FW71" t="s">
        <v>638</v>
      </c>
    </row>
    <row r="72" spans="1:179" ht="19.5" customHeight="1" x14ac:dyDescent="0.25">
      <c r="A72" t="s">
        <v>639</v>
      </c>
      <c r="B72" s="36">
        <v>0</v>
      </c>
      <c r="C72" s="36">
        <v>0</v>
      </c>
      <c r="D72" s="36">
        <v>0</v>
      </c>
      <c r="E72" s="36">
        <v>0</v>
      </c>
      <c r="F72" s="36">
        <v>0</v>
      </c>
      <c r="G72" s="36">
        <v>0</v>
      </c>
      <c r="H72" s="36">
        <v>0</v>
      </c>
      <c r="I72" s="36">
        <v>0</v>
      </c>
      <c r="J72" s="36">
        <v>0</v>
      </c>
      <c r="K72" s="36">
        <v>0</v>
      </c>
      <c r="L72" s="36">
        <v>0</v>
      </c>
      <c r="M72" s="36">
        <v>0</v>
      </c>
      <c r="N72" s="36">
        <v>0</v>
      </c>
      <c r="O72" s="36">
        <v>0</v>
      </c>
      <c r="P72" s="36">
        <v>0</v>
      </c>
      <c r="Q72" s="36">
        <v>0</v>
      </c>
      <c r="R72" s="36">
        <v>0</v>
      </c>
      <c r="S72" s="36">
        <v>0</v>
      </c>
      <c r="T72" s="36">
        <v>0</v>
      </c>
      <c r="U72" s="36">
        <v>0</v>
      </c>
      <c r="V72" s="36">
        <v>0</v>
      </c>
      <c r="W72" s="36">
        <v>0</v>
      </c>
      <c r="X72" s="36">
        <v>0</v>
      </c>
      <c r="Y72" s="36">
        <v>0</v>
      </c>
      <c r="Z72" s="36">
        <v>0</v>
      </c>
      <c r="AA72" s="36">
        <v>0</v>
      </c>
      <c r="AB72" s="36">
        <v>0</v>
      </c>
      <c r="AC72" s="36">
        <v>0</v>
      </c>
      <c r="AD72" s="36">
        <v>0</v>
      </c>
      <c r="AE72" s="36">
        <v>0</v>
      </c>
      <c r="AF72" s="36">
        <v>0</v>
      </c>
      <c r="AG72" s="36">
        <v>0</v>
      </c>
      <c r="AH72" s="36">
        <v>0</v>
      </c>
      <c r="AI72" s="36">
        <v>0</v>
      </c>
      <c r="AJ72" s="36">
        <v>0</v>
      </c>
      <c r="AK72" s="36">
        <v>0</v>
      </c>
      <c r="AL72" s="36">
        <v>1</v>
      </c>
      <c r="AM72" s="36">
        <v>0</v>
      </c>
      <c r="AN72" s="36">
        <v>0</v>
      </c>
      <c r="AO72" s="36">
        <v>-1</v>
      </c>
      <c r="AP72" s="36">
        <v>0</v>
      </c>
      <c r="AQ72" s="36">
        <v>0</v>
      </c>
      <c r="AR72" s="36">
        <v>-1</v>
      </c>
      <c r="AS72" s="36">
        <v>0</v>
      </c>
      <c r="AT72" s="36">
        <v>0</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0</v>
      </c>
      <c r="BK72" s="36">
        <v>0</v>
      </c>
      <c r="BL72" s="36">
        <v>0</v>
      </c>
      <c r="BM72" s="36">
        <v>0</v>
      </c>
      <c r="BN72" s="36">
        <v>0</v>
      </c>
      <c r="BO72" s="36">
        <v>0</v>
      </c>
      <c r="BP72" s="36">
        <v>0</v>
      </c>
      <c r="BQ72" s="36">
        <v>0</v>
      </c>
      <c r="BR72" s="36">
        <v>0</v>
      </c>
      <c r="BS72" s="36">
        <v>0</v>
      </c>
      <c r="BT72" s="36">
        <v>0</v>
      </c>
      <c r="BU72" s="36">
        <v>0</v>
      </c>
      <c r="BV72" s="36">
        <v>0</v>
      </c>
      <c r="BW72" s="36">
        <v>0</v>
      </c>
      <c r="BX72" s="36">
        <v>0</v>
      </c>
      <c r="BY72" s="36">
        <v>0</v>
      </c>
      <c r="BZ72" s="36">
        <v>0</v>
      </c>
      <c r="CA72" s="36">
        <v>0</v>
      </c>
      <c r="CB72" s="36">
        <v>0</v>
      </c>
      <c r="CC72" s="36">
        <v>0</v>
      </c>
      <c r="CD72" s="36">
        <v>0</v>
      </c>
      <c r="CE72" s="36">
        <v>0</v>
      </c>
      <c r="CF72" s="36">
        <v>0</v>
      </c>
      <c r="CG72" s="36">
        <v>0</v>
      </c>
      <c r="CH72" s="36">
        <v>0</v>
      </c>
      <c r="CI72" s="36">
        <v>0</v>
      </c>
      <c r="CJ72" s="36">
        <v>0</v>
      </c>
      <c r="CK72" s="36">
        <v>0</v>
      </c>
      <c r="CL72" s="36">
        <v>1</v>
      </c>
      <c r="CM72" s="36">
        <v>0</v>
      </c>
      <c r="CN72" s="36">
        <v>0</v>
      </c>
      <c r="CO72" s="36">
        <v>0</v>
      </c>
      <c r="CP72" s="36">
        <v>0</v>
      </c>
      <c r="CQ72" s="36">
        <v>0</v>
      </c>
      <c r="CR72" s="36">
        <v>0</v>
      </c>
      <c r="CS72" s="36">
        <v>0</v>
      </c>
      <c r="CT72" s="36">
        <v>0</v>
      </c>
      <c r="CU72" s="36">
        <v>0</v>
      </c>
      <c r="CV72" s="36">
        <v>0</v>
      </c>
      <c r="CW72" s="36">
        <v>0</v>
      </c>
      <c r="CX72" s="36">
        <v>-1</v>
      </c>
      <c r="CY72" s="36">
        <v>0</v>
      </c>
      <c r="CZ72" s="36">
        <v>1</v>
      </c>
      <c r="DA72" s="36">
        <v>0</v>
      </c>
      <c r="DB72" s="36">
        <v>0</v>
      </c>
      <c r="DC72" s="36">
        <v>0</v>
      </c>
      <c r="DD72" s="36">
        <v>0</v>
      </c>
      <c r="DE72" s="36">
        <v>0</v>
      </c>
      <c r="DF72" s="36">
        <v>0</v>
      </c>
      <c r="DG72" s="36">
        <v>0</v>
      </c>
      <c r="DH72" s="36">
        <v>0</v>
      </c>
      <c r="DI72" s="36">
        <v>0</v>
      </c>
      <c r="DJ72" s="36">
        <v>0</v>
      </c>
      <c r="DK72" s="36">
        <v>0</v>
      </c>
      <c r="DL72" s="36">
        <v>0</v>
      </c>
      <c r="DM72" s="36">
        <v>0</v>
      </c>
      <c r="DN72" s="36">
        <v>0</v>
      </c>
      <c r="DO72" s="36">
        <v>0</v>
      </c>
      <c r="DP72" s="36">
        <v>0</v>
      </c>
      <c r="DQ72" s="36">
        <v>0</v>
      </c>
      <c r="DR72" s="36">
        <v>0</v>
      </c>
      <c r="DS72" s="36">
        <v>0</v>
      </c>
      <c r="DT72" s="36">
        <v>0</v>
      </c>
      <c r="DU72" s="36">
        <v>0</v>
      </c>
      <c r="DV72" s="36">
        <v>0</v>
      </c>
      <c r="DW72" s="36">
        <v>0</v>
      </c>
      <c r="DX72" s="36">
        <v>1</v>
      </c>
      <c r="DY72" s="36">
        <v>0</v>
      </c>
      <c r="DZ72" s="36">
        <v>0</v>
      </c>
      <c r="EA72" s="36">
        <v>0</v>
      </c>
      <c r="EB72" s="36">
        <v>0</v>
      </c>
      <c r="EC72" s="36">
        <v>0</v>
      </c>
      <c r="ED72" s="36">
        <v>0</v>
      </c>
      <c r="EE72" s="36">
        <v>0</v>
      </c>
      <c r="EF72" s="36">
        <v>0</v>
      </c>
      <c r="EG72" s="36">
        <v>0</v>
      </c>
      <c r="EH72" s="36">
        <v>0</v>
      </c>
      <c r="EI72" s="36">
        <v>0</v>
      </c>
      <c r="EJ72" s="36">
        <v>0</v>
      </c>
      <c r="EK72" s="36">
        <v>0</v>
      </c>
      <c r="EL72" s="36">
        <v>0</v>
      </c>
      <c r="EM72" s="36">
        <v>0</v>
      </c>
      <c r="EN72" s="36">
        <v>0</v>
      </c>
      <c r="EO72" s="36">
        <v>0</v>
      </c>
      <c r="EP72" s="36">
        <v>0</v>
      </c>
      <c r="ET72" t="s">
        <v>280</v>
      </c>
      <c r="EU72" t="s">
        <v>530</v>
      </c>
      <c r="EV72" s="36">
        <v>-1</v>
      </c>
      <c r="EW72" s="36">
        <v>0</v>
      </c>
      <c r="EX72" s="36">
        <v>0</v>
      </c>
      <c r="EY72" s="36">
        <v>0</v>
      </c>
      <c r="EZ72" s="36">
        <v>0</v>
      </c>
      <c r="FA72" s="36">
        <v>0</v>
      </c>
      <c r="FB72" s="36">
        <v>0</v>
      </c>
      <c r="FC72" s="42">
        <v>1</v>
      </c>
      <c r="FE72">
        <f t="shared" si="22"/>
        <v>1</v>
      </c>
      <c r="FF72">
        <f t="shared" si="23"/>
        <v>1</v>
      </c>
      <c r="FG72">
        <f t="shared" si="24"/>
        <v>1</v>
      </c>
      <c r="FM72" s="43">
        <f t="shared" si="14"/>
        <v>0</v>
      </c>
      <c r="FN72" s="43">
        <f t="shared" si="14"/>
        <v>0</v>
      </c>
      <c r="FO72" s="43">
        <f t="shared" si="14"/>
        <v>0</v>
      </c>
      <c r="FP72" s="43">
        <f t="shared" si="13"/>
        <v>0</v>
      </c>
      <c r="FQ72" s="43">
        <f t="shared" si="13"/>
        <v>0</v>
      </c>
      <c r="FR72" s="43">
        <f t="shared" si="13"/>
        <v>0</v>
      </c>
      <c r="FS72" s="43">
        <f t="shared" si="13"/>
        <v>0</v>
      </c>
      <c r="FV72" t="s">
        <v>640</v>
      </c>
      <c r="FW72" t="s">
        <v>641</v>
      </c>
    </row>
    <row r="73" spans="1:179" ht="19.5" customHeight="1" x14ac:dyDescent="0.35">
      <c r="A73" t="s">
        <v>642</v>
      </c>
      <c r="B73" s="36">
        <v>0</v>
      </c>
      <c r="C73" s="36">
        <v>0</v>
      </c>
      <c r="D73" s="36">
        <v>0</v>
      </c>
      <c r="E73" s="36">
        <v>0</v>
      </c>
      <c r="F73" s="36">
        <v>0</v>
      </c>
      <c r="G73" s="36">
        <v>0</v>
      </c>
      <c r="H73" s="36">
        <v>0</v>
      </c>
      <c r="I73" s="36">
        <v>0</v>
      </c>
      <c r="J73" s="36">
        <v>0</v>
      </c>
      <c r="K73" s="36">
        <v>0</v>
      </c>
      <c r="L73" s="36">
        <v>0</v>
      </c>
      <c r="M73" s="36">
        <v>0</v>
      </c>
      <c r="N73" s="36">
        <v>0</v>
      </c>
      <c r="O73" s="36">
        <v>0</v>
      </c>
      <c r="P73" s="36">
        <v>0</v>
      </c>
      <c r="Q73" s="36">
        <v>-1</v>
      </c>
      <c r="R73" s="36">
        <v>0</v>
      </c>
      <c r="S73" s="36">
        <v>0</v>
      </c>
      <c r="T73" s="36">
        <v>0</v>
      </c>
      <c r="U73" s="36">
        <v>0</v>
      </c>
      <c r="V73" s="36">
        <v>0</v>
      </c>
      <c r="W73" s="36">
        <v>0</v>
      </c>
      <c r="X73" s="36">
        <v>0</v>
      </c>
      <c r="Y73" s="36">
        <v>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0</v>
      </c>
      <c r="BK73" s="36">
        <v>0</v>
      </c>
      <c r="BL73" s="36">
        <v>0</v>
      </c>
      <c r="BM73" s="36">
        <v>0</v>
      </c>
      <c r="BN73" s="36">
        <v>0</v>
      </c>
      <c r="BO73" s="36">
        <v>0</v>
      </c>
      <c r="BP73" s="36">
        <v>0</v>
      </c>
      <c r="BQ73" s="36">
        <v>0</v>
      </c>
      <c r="BR73" s="36">
        <v>0</v>
      </c>
      <c r="BS73" s="36">
        <v>0</v>
      </c>
      <c r="BT73" s="36">
        <v>0</v>
      </c>
      <c r="BU73" s="36">
        <v>0</v>
      </c>
      <c r="BV73" s="36">
        <v>0</v>
      </c>
      <c r="BW73" s="36">
        <v>0</v>
      </c>
      <c r="BX73" s="36">
        <v>0</v>
      </c>
      <c r="BY73" s="36">
        <v>0</v>
      </c>
      <c r="BZ73" s="36">
        <v>0</v>
      </c>
      <c r="CA73" s="36">
        <v>0</v>
      </c>
      <c r="CB73" s="36">
        <v>0</v>
      </c>
      <c r="CC73" s="36">
        <v>0</v>
      </c>
      <c r="CD73" s="36">
        <v>0</v>
      </c>
      <c r="CE73" s="36">
        <v>0</v>
      </c>
      <c r="CF73" s="36">
        <v>0</v>
      </c>
      <c r="CG73" s="36">
        <v>0</v>
      </c>
      <c r="CH73" s="36">
        <v>0</v>
      </c>
      <c r="CI73" s="36">
        <v>0</v>
      </c>
      <c r="CJ73" s="36">
        <v>0</v>
      </c>
      <c r="CK73" s="36">
        <v>0</v>
      </c>
      <c r="CL73" s="36">
        <v>-1</v>
      </c>
      <c r="CM73" s="36">
        <v>0</v>
      </c>
      <c r="CN73" s="36">
        <v>0</v>
      </c>
      <c r="CO73" s="36">
        <v>0</v>
      </c>
      <c r="CP73" s="36">
        <v>0</v>
      </c>
      <c r="CQ73" s="36">
        <v>0</v>
      </c>
      <c r="CR73" s="36">
        <v>0</v>
      </c>
      <c r="CS73" s="36">
        <v>0</v>
      </c>
      <c r="CT73" s="36">
        <v>0</v>
      </c>
      <c r="CU73" s="36">
        <v>0</v>
      </c>
      <c r="CV73" s="36">
        <v>0</v>
      </c>
      <c r="CW73" s="36">
        <v>0</v>
      </c>
      <c r="CX73" s="36">
        <v>2</v>
      </c>
      <c r="CY73" s="36">
        <v>0</v>
      </c>
      <c r="CZ73" s="36">
        <v>-1</v>
      </c>
      <c r="DA73" s="36">
        <v>0</v>
      </c>
      <c r="DB73" s="36">
        <v>0</v>
      </c>
      <c r="DC73" s="36">
        <v>0</v>
      </c>
      <c r="DD73" s="36">
        <v>0</v>
      </c>
      <c r="DE73" s="36">
        <v>0</v>
      </c>
      <c r="DF73" s="36">
        <v>0</v>
      </c>
      <c r="DG73" s="36">
        <v>0</v>
      </c>
      <c r="DH73" s="36">
        <v>0</v>
      </c>
      <c r="DI73" s="36">
        <v>0</v>
      </c>
      <c r="DJ73" s="36">
        <v>0</v>
      </c>
      <c r="DK73" s="36">
        <v>0</v>
      </c>
      <c r="DL73" s="36">
        <v>0</v>
      </c>
      <c r="DM73" s="36">
        <v>1</v>
      </c>
      <c r="DN73" s="36">
        <v>-1</v>
      </c>
      <c r="DO73" s="36">
        <v>0</v>
      </c>
      <c r="DP73" s="36">
        <v>0</v>
      </c>
      <c r="DQ73" s="36">
        <v>0</v>
      </c>
      <c r="DR73" s="36">
        <v>0</v>
      </c>
      <c r="DS73" s="36">
        <v>0</v>
      </c>
      <c r="DT73" s="36">
        <v>0</v>
      </c>
      <c r="DU73" s="36">
        <v>0</v>
      </c>
      <c r="DV73" s="36">
        <v>0</v>
      </c>
      <c r="DW73" s="36">
        <v>0</v>
      </c>
      <c r="DX73" s="36">
        <v>0</v>
      </c>
      <c r="DY73" s="36">
        <v>0</v>
      </c>
      <c r="DZ73" s="36">
        <v>0</v>
      </c>
      <c r="EA73" s="36">
        <v>0</v>
      </c>
      <c r="EB73" s="36">
        <v>0</v>
      </c>
      <c r="EC73" s="36">
        <v>0</v>
      </c>
      <c r="ED73" s="36">
        <v>0</v>
      </c>
      <c r="EE73" s="36">
        <v>0</v>
      </c>
      <c r="EF73" s="36">
        <v>0</v>
      </c>
      <c r="EG73" s="36">
        <v>0</v>
      </c>
      <c r="EH73" s="36">
        <v>0</v>
      </c>
      <c r="EI73" s="36">
        <v>0</v>
      </c>
      <c r="EJ73" s="36">
        <v>0</v>
      </c>
      <c r="EK73" s="36">
        <v>0</v>
      </c>
      <c r="EL73" s="36">
        <v>0</v>
      </c>
      <c r="EM73" s="36">
        <v>0</v>
      </c>
      <c r="EN73" s="36">
        <v>0</v>
      </c>
      <c r="EO73" s="36">
        <v>0</v>
      </c>
      <c r="EP73" s="36">
        <v>0</v>
      </c>
      <c r="ET73" t="s">
        <v>281</v>
      </c>
      <c r="EU73" t="s">
        <v>643</v>
      </c>
      <c r="EV73" s="36">
        <v>0</v>
      </c>
      <c r="EW73" s="36">
        <v>1</v>
      </c>
      <c r="EX73" s="36">
        <v>2</v>
      </c>
      <c r="EY73" s="36">
        <v>0</v>
      </c>
      <c r="EZ73" s="36">
        <v>1</v>
      </c>
      <c r="FA73" s="36">
        <v>0</v>
      </c>
      <c r="FB73" s="36">
        <v>0</v>
      </c>
      <c r="FC73" s="42">
        <f t="shared" ref="FC73:FC84" si="25">(4*EW73)+(EX73)+(-3*EY73)+(-2*EZ73)+(5*FA73)+(-2*FB73)+(-1*EV73)</f>
        <v>4</v>
      </c>
      <c r="FE73">
        <f t="shared" si="10"/>
        <v>4</v>
      </c>
      <c r="FF73">
        <f t="shared" si="11"/>
        <v>4</v>
      </c>
      <c r="FG73">
        <f t="shared" si="12"/>
        <v>4</v>
      </c>
      <c r="FM73" s="43">
        <f t="shared" si="14"/>
        <v>0</v>
      </c>
      <c r="FN73" s="43">
        <f t="shared" si="14"/>
        <v>0</v>
      </c>
      <c r="FO73" s="43">
        <f t="shared" si="14"/>
        <v>0</v>
      </c>
      <c r="FP73" s="43">
        <f t="shared" si="13"/>
        <v>0</v>
      </c>
      <c r="FQ73" s="43">
        <f t="shared" si="13"/>
        <v>0</v>
      </c>
      <c r="FR73" s="43">
        <f t="shared" si="13"/>
        <v>0</v>
      </c>
      <c r="FS73" s="43">
        <f t="shared" si="13"/>
        <v>0</v>
      </c>
      <c r="FV73" t="s">
        <v>644</v>
      </c>
      <c r="FW73" t="s">
        <v>645</v>
      </c>
    </row>
    <row r="74" spans="1:179" ht="19.5" customHeight="1" x14ac:dyDescent="0.35">
      <c r="A74" t="s">
        <v>646</v>
      </c>
      <c r="B74" s="36">
        <v>0</v>
      </c>
      <c r="C74" s="36">
        <v>0</v>
      </c>
      <c r="D74" s="36">
        <v>0</v>
      </c>
      <c r="E74" s="36">
        <v>0</v>
      </c>
      <c r="F74" s="36">
        <v>0</v>
      </c>
      <c r="G74" s="36">
        <v>0</v>
      </c>
      <c r="H74" s="36">
        <v>0</v>
      </c>
      <c r="I74" s="36">
        <v>0</v>
      </c>
      <c r="J74" s="36">
        <v>0</v>
      </c>
      <c r="K74" s="36">
        <v>0</v>
      </c>
      <c r="L74" s="36">
        <v>0</v>
      </c>
      <c r="M74" s="36">
        <v>0</v>
      </c>
      <c r="N74" s="36">
        <v>0</v>
      </c>
      <c r="O74" s="36">
        <v>0</v>
      </c>
      <c r="P74" s="36">
        <v>0</v>
      </c>
      <c r="Q74" s="36">
        <v>0</v>
      </c>
      <c r="R74" s="36">
        <v>0</v>
      </c>
      <c r="S74" s="36">
        <v>0</v>
      </c>
      <c r="T74" s="36">
        <v>0</v>
      </c>
      <c r="U74" s="36">
        <v>0</v>
      </c>
      <c r="V74" s="36">
        <v>0</v>
      </c>
      <c r="W74" s="36">
        <v>0</v>
      </c>
      <c r="X74" s="36">
        <v>0</v>
      </c>
      <c r="Y74" s="36">
        <v>0</v>
      </c>
      <c r="Z74" s="36">
        <v>0</v>
      </c>
      <c r="AA74" s="36">
        <v>0</v>
      </c>
      <c r="AB74" s="36">
        <v>0</v>
      </c>
      <c r="AC74" s="36">
        <v>0</v>
      </c>
      <c r="AD74" s="36">
        <v>0</v>
      </c>
      <c r="AE74" s="36">
        <v>0</v>
      </c>
      <c r="AF74" s="36">
        <v>0</v>
      </c>
      <c r="AG74" s="36">
        <v>0</v>
      </c>
      <c r="AH74" s="36">
        <v>0</v>
      </c>
      <c r="AI74" s="36">
        <v>0</v>
      </c>
      <c r="AJ74" s="36">
        <v>0</v>
      </c>
      <c r="AK74" s="36">
        <v>0</v>
      </c>
      <c r="AL74" s="36">
        <v>16</v>
      </c>
      <c r="AM74" s="36">
        <v>0</v>
      </c>
      <c r="AN74" s="36">
        <v>0</v>
      </c>
      <c r="AO74" s="36">
        <v>2</v>
      </c>
      <c r="AP74" s="36">
        <v>0</v>
      </c>
      <c r="AQ74" s="36">
        <v>0</v>
      </c>
      <c r="AR74" s="36">
        <v>-16</v>
      </c>
      <c r="AS74" s="36">
        <v>0</v>
      </c>
      <c r="AT74" s="36">
        <v>0</v>
      </c>
      <c r="AU74" s="36">
        <v>0</v>
      </c>
      <c r="AV74" s="36">
        <v>0</v>
      </c>
      <c r="AW74" s="36">
        <v>0</v>
      </c>
      <c r="AX74" s="36">
        <v>0</v>
      </c>
      <c r="AY74" s="36">
        <v>0</v>
      </c>
      <c r="AZ74" s="36">
        <v>0</v>
      </c>
      <c r="BA74" s="36">
        <v>0</v>
      </c>
      <c r="BB74" s="36">
        <v>0</v>
      </c>
      <c r="BC74" s="36">
        <v>0</v>
      </c>
      <c r="BD74" s="36">
        <v>0</v>
      </c>
      <c r="BE74" s="36">
        <v>0</v>
      </c>
      <c r="BF74" s="36">
        <v>0</v>
      </c>
      <c r="BG74" s="36">
        <v>0</v>
      </c>
      <c r="BH74" s="36">
        <v>0</v>
      </c>
      <c r="BI74" s="36">
        <v>0</v>
      </c>
      <c r="BJ74" s="36">
        <v>0</v>
      </c>
      <c r="BK74" s="36">
        <v>0</v>
      </c>
      <c r="BL74" s="36">
        <v>0</v>
      </c>
      <c r="BM74" s="36">
        <v>0</v>
      </c>
      <c r="BN74" s="36">
        <v>0</v>
      </c>
      <c r="BO74" s="36">
        <v>0</v>
      </c>
      <c r="BP74" s="36">
        <v>0</v>
      </c>
      <c r="BQ74" s="36">
        <v>0</v>
      </c>
      <c r="BR74" s="36">
        <v>0</v>
      </c>
      <c r="BS74" s="36">
        <v>0</v>
      </c>
      <c r="BT74" s="36">
        <v>8</v>
      </c>
      <c r="BU74" s="36">
        <v>-8</v>
      </c>
      <c r="BV74" s="36">
        <v>0</v>
      </c>
      <c r="BW74" s="36">
        <v>0</v>
      </c>
      <c r="BX74" s="36">
        <v>0</v>
      </c>
      <c r="BY74" s="36">
        <v>0</v>
      </c>
      <c r="BZ74" s="36">
        <v>0</v>
      </c>
      <c r="CA74" s="36">
        <v>0</v>
      </c>
      <c r="CB74" s="36">
        <v>0</v>
      </c>
      <c r="CC74" s="36">
        <v>0</v>
      </c>
      <c r="CD74" s="36">
        <v>0</v>
      </c>
      <c r="CE74" s="36">
        <v>0</v>
      </c>
      <c r="CF74" s="36">
        <v>0</v>
      </c>
      <c r="CG74" s="36">
        <v>0</v>
      </c>
      <c r="CH74" s="36">
        <v>0</v>
      </c>
      <c r="CI74" s="36">
        <v>0</v>
      </c>
      <c r="CJ74" s="36">
        <v>0</v>
      </c>
      <c r="CK74" s="36">
        <v>0</v>
      </c>
      <c r="CL74" s="36">
        <v>6</v>
      </c>
      <c r="CM74" s="36">
        <v>0</v>
      </c>
      <c r="CN74" s="36">
        <v>1</v>
      </c>
      <c r="CO74" s="36">
        <v>0</v>
      </c>
      <c r="CP74" s="36">
        <v>-16</v>
      </c>
      <c r="CQ74" s="36">
        <v>0</v>
      </c>
      <c r="CR74" s="36">
        <v>0</v>
      </c>
      <c r="CS74" s="36">
        <v>0</v>
      </c>
      <c r="CT74" s="36">
        <v>0</v>
      </c>
      <c r="CU74" s="36">
        <v>0</v>
      </c>
      <c r="CV74" s="36">
        <v>0</v>
      </c>
      <c r="CW74" s="36">
        <v>0</v>
      </c>
      <c r="CX74" s="36">
        <v>0</v>
      </c>
      <c r="CY74" s="36">
        <v>0</v>
      </c>
      <c r="CZ74" s="36">
        <v>0</v>
      </c>
      <c r="DA74" s="36">
        <v>0</v>
      </c>
      <c r="DB74" s="36">
        <v>0</v>
      </c>
      <c r="DC74" s="36">
        <v>0</v>
      </c>
      <c r="DD74" s="36">
        <v>0</v>
      </c>
      <c r="DE74" s="36">
        <v>0</v>
      </c>
      <c r="DF74" s="36">
        <v>0</v>
      </c>
      <c r="DG74" s="36">
        <v>0</v>
      </c>
      <c r="DH74" s="36">
        <v>0</v>
      </c>
      <c r="DI74" s="36">
        <v>-1</v>
      </c>
      <c r="DJ74" s="36">
        <v>0</v>
      </c>
      <c r="DK74" s="36">
        <v>0</v>
      </c>
      <c r="DL74" s="36">
        <v>0</v>
      </c>
      <c r="DM74" s="36">
        <v>0</v>
      </c>
      <c r="DN74" s="36">
        <v>0</v>
      </c>
      <c r="DO74" s="36">
        <v>0</v>
      </c>
      <c r="DP74" s="36">
        <v>0</v>
      </c>
      <c r="DQ74" s="36">
        <v>0</v>
      </c>
      <c r="DR74" s="36">
        <v>0</v>
      </c>
      <c r="DS74" s="36">
        <v>0</v>
      </c>
      <c r="DT74" s="36">
        <v>0</v>
      </c>
      <c r="DU74" s="36">
        <v>0</v>
      </c>
      <c r="DV74" s="36">
        <v>0</v>
      </c>
      <c r="DW74" s="36">
        <v>0</v>
      </c>
      <c r="DX74" s="36">
        <v>16</v>
      </c>
      <c r="DY74" s="36">
        <v>0</v>
      </c>
      <c r="DZ74" s="36">
        <v>0</v>
      </c>
      <c r="EA74" s="36">
        <v>0</v>
      </c>
      <c r="EB74" s="36">
        <v>0</v>
      </c>
      <c r="EC74" s="36">
        <v>0</v>
      </c>
      <c r="ED74" s="36">
        <v>0</v>
      </c>
      <c r="EE74" s="36">
        <v>0</v>
      </c>
      <c r="EF74" s="36">
        <v>0</v>
      </c>
      <c r="EG74" s="36">
        <v>0</v>
      </c>
      <c r="EH74" s="36">
        <v>0</v>
      </c>
      <c r="EI74" s="36">
        <v>0</v>
      </c>
      <c r="EJ74" s="36">
        <v>0</v>
      </c>
      <c r="EK74" s="36">
        <v>0</v>
      </c>
      <c r="EL74" s="36">
        <v>0</v>
      </c>
      <c r="EM74" s="36">
        <v>0</v>
      </c>
      <c r="EN74" s="36">
        <v>0</v>
      </c>
      <c r="EO74" s="36">
        <v>0</v>
      </c>
      <c r="EP74" s="36">
        <v>0</v>
      </c>
      <c r="ET74" t="s">
        <v>282</v>
      </c>
      <c r="EU74" t="s">
        <v>643</v>
      </c>
      <c r="EV74" s="36">
        <v>0</v>
      </c>
      <c r="EW74" s="36">
        <v>1</v>
      </c>
      <c r="EX74" s="36">
        <v>2</v>
      </c>
      <c r="EY74" s="36">
        <v>0</v>
      </c>
      <c r="EZ74" s="36">
        <v>1</v>
      </c>
      <c r="FA74" s="36">
        <v>0</v>
      </c>
      <c r="FB74" s="36">
        <v>0</v>
      </c>
      <c r="FC74" s="42">
        <f t="shared" si="25"/>
        <v>4</v>
      </c>
      <c r="FE74">
        <f t="shared" si="10"/>
        <v>4</v>
      </c>
      <c r="FF74">
        <f t="shared" si="11"/>
        <v>4</v>
      </c>
      <c r="FG74">
        <f t="shared" si="12"/>
        <v>4</v>
      </c>
      <c r="FM74" s="43">
        <f t="shared" si="14"/>
        <v>0</v>
      </c>
      <c r="FN74" s="43">
        <f t="shared" si="14"/>
        <v>0</v>
      </c>
      <c r="FO74" s="43">
        <f t="shared" si="14"/>
        <v>0</v>
      </c>
      <c r="FP74" s="43">
        <f t="shared" si="13"/>
        <v>0</v>
      </c>
      <c r="FQ74" s="43">
        <f t="shared" si="13"/>
        <v>0</v>
      </c>
      <c r="FR74" s="43">
        <f t="shared" si="13"/>
        <v>0</v>
      </c>
      <c r="FS74" s="43">
        <f t="shared" si="13"/>
        <v>0</v>
      </c>
      <c r="FV74" t="s">
        <v>647</v>
      </c>
      <c r="FW74" t="s">
        <v>648</v>
      </c>
    </row>
    <row r="75" spans="1:179" ht="19.5" customHeight="1" x14ac:dyDescent="0.25">
      <c r="A75" t="s">
        <v>649</v>
      </c>
      <c r="B75" s="36">
        <v>0</v>
      </c>
      <c r="C75" s="36">
        <v>0</v>
      </c>
      <c r="D75" s="36">
        <v>0</v>
      </c>
      <c r="E75" s="36">
        <v>0</v>
      </c>
      <c r="F75" s="36">
        <v>0</v>
      </c>
      <c r="G75" s="36">
        <v>0</v>
      </c>
      <c r="H75" s="36">
        <v>0</v>
      </c>
      <c r="I75" s="36">
        <v>0</v>
      </c>
      <c r="J75" s="36">
        <v>0</v>
      </c>
      <c r="K75" s="36">
        <v>0</v>
      </c>
      <c r="L75" s="36">
        <v>0</v>
      </c>
      <c r="M75" s="36">
        <v>0</v>
      </c>
      <c r="N75" s="36">
        <v>0</v>
      </c>
      <c r="O75" s="36">
        <v>0</v>
      </c>
      <c r="P75" s="36">
        <v>0</v>
      </c>
      <c r="Q75" s="36">
        <v>0</v>
      </c>
      <c r="R75" s="36">
        <v>0</v>
      </c>
      <c r="S75" s="36">
        <v>0</v>
      </c>
      <c r="T75" s="36">
        <v>0</v>
      </c>
      <c r="U75" s="36">
        <v>0</v>
      </c>
      <c r="V75" s="36">
        <v>0</v>
      </c>
      <c r="W75" s="36">
        <v>0</v>
      </c>
      <c r="X75" s="36">
        <v>0</v>
      </c>
      <c r="Y75" s="36">
        <v>0</v>
      </c>
      <c r="Z75" s="36">
        <v>0</v>
      </c>
      <c r="AA75" s="36">
        <v>0</v>
      </c>
      <c r="AB75" s="36">
        <v>0</v>
      </c>
      <c r="AC75" s="36">
        <v>0</v>
      </c>
      <c r="AD75" s="36">
        <v>0</v>
      </c>
      <c r="AE75" s="36">
        <v>0</v>
      </c>
      <c r="AF75" s="36">
        <v>0</v>
      </c>
      <c r="AG75" s="36">
        <v>0</v>
      </c>
      <c r="AH75" s="36">
        <v>0</v>
      </c>
      <c r="AI75" s="36">
        <v>0</v>
      </c>
      <c r="AJ75" s="36">
        <v>0</v>
      </c>
      <c r="AK75" s="36">
        <v>0</v>
      </c>
      <c r="AL75" s="36">
        <v>0</v>
      </c>
      <c r="AM75" s="36">
        <v>0</v>
      </c>
      <c r="AN75" s="36">
        <v>0</v>
      </c>
      <c r="AO75" s="36">
        <v>0</v>
      </c>
      <c r="AP75" s="36">
        <v>0</v>
      </c>
      <c r="AQ75" s="36">
        <v>0</v>
      </c>
      <c r="AR75" s="36">
        <v>0</v>
      </c>
      <c r="AS75" s="36">
        <v>0</v>
      </c>
      <c r="AT75" s="36">
        <v>0</v>
      </c>
      <c r="AU75" s="36">
        <v>0</v>
      </c>
      <c r="AV75" s="36">
        <v>0</v>
      </c>
      <c r="AW75" s="36">
        <v>0</v>
      </c>
      <c r="AX75" s="36">
        <v>0</v>
      </c>
      <c r="AY75" s="36">
        <v>0</v>
      </c>
      <c r="AZ75" s="36">
        <v>0</v>
      </c>
      <c r="BA75" s="36">
        <v>0</v>
      </c>
      <c r="BB75" s="36">
        <v>0</v>
      </c>
      <c r="BC75" s="36">
        <v>0</v>
      </c>
      <c r="BD75" s="36">
        <v>0</v>
      </c>
      <c r="BE75" s="36">
        <v>0</v>
      </c>
      <c r="BF75" s="36">
        <v>0</v>
      </c>
      <c r="BG75" s="36">
        <v>0</v>
      </c>
      <c r="BH75" s="36">
        <v>0</v>
      </c>
      <c r="BI75" s="36">
        <v>0</v>
      </c>
      <c r="BJ75" s="36">
        <v>0</v>
      </c>
      <c r="BK75" s="36">
        <v>0</v>
      </c>
      <c r="BL75" s="36">
        <v>0</v>
      </c>
      <c r="BM75" s="36">
        <v>0</v>
      </c>
      <c r="BN75" s="36">
        <v>0</v>
      </c>
      <c r="BO75" s="36">
        <v>0</v>
      </c>
      <c r="BP75" s="36">
        <v>0</v>
      </c>
      <c r="BQ75" s="36">
        <v>0</v>
      </c>
      <c r="BR75" s="36">
        <v>0</v>
      </c>
      <c r="BS75" s="36">
        <v>0</v>
      </c>
      <c r="BT75" s="36">
        <v>-2</v>
      </c>
      <c r="BU75" s="36">
        <v>2</v>
      </c>
      <c r="BV75" s="36">
        <v>0</v>
      </c>
      <c r="BW75" s="36">
        <v>0</v>
      </c>
      <c r="BX75" s="36">
        <v>0</v>
      </c>
      <c r="BY75" s="36">
        <v>0</v>
      </c>
      <c r="BZ75" s="36">
        <v>0</v>
      </c>
      <c r="CA75" s="36">
        <v>0</v>
      </c>
      <c r="CB75" s="36">
        <v>0</v>
      </c>
      <c r="CC75" s="36">
        <v>0</v>
      </c>
      <c r="CD75" s="36">
        <v>0</v>
      </c>
      <c r="CE75" s="36">
        <v>0</v>
      </c>
      <c r="CF75" s="36">
        <v>0</v>
      </c>
      <c r="CG75" s="36">
        <v>0</v>
      </c>
      <c r="CH75" s="36">
        <v>0</v>
      </c>
      <c r="CI75" s="36">
        <v>0</v>
      </c>
      <c r="CJ75" s="36">
        <v>0</v>
      </c>
      <c r="CK75" s="36">
        <v>0</v>
      </c>
      <c r="CL75" s="36">
        <v>1</v>
      </c>
      <c r="CM75" s="36">
        <v>0</v>
      </c>
      <c r="CN75" s="36">
        <v>0</v>
      </c>
      <c r="CO75" s="36">
        <v>0</v>
      </c>
      <c r="CP75" s="36">
        <v>0</v>
      </c>
      <c r="CQ75" s="36">
        <v>0</v>
      </c>
      <c r="CR75" s="36">
        <v>0</v>
      </c>
      <c r="CS75" s="36">
        <v>0</v>
      </c>
      <c r="CT75" s="36">
        <v>0</v>
      </c>
      <c r="CU75" s="36">
        <v>0</v>
      </c>
      <c r="CV75" s="36">
        <v>0</v>
      </c>
      <c r="CW75" s="36">
        <v>0</v>
      </c>
      <c r="CX75" s="36">
        <v>0</v>
      </c>
      <c r="CY75" s="36">
        <v>0</v>
      </c>
      <c r="CZ75" s="36">
        <v>0</v>
      </c>
      <c r="DA75" s="36">
        <v>0</v>
      </c>
      <c r="DB75" s="36">
        <v>0</v>
      </c>
      <c r="DC75" s="36">
        <v>0</v>
      </c>
      <c r="DD75" s="36">
        <v>0</v>
      </c>
      <c r="DE75" s="36">
        <v>0</v>
      </c>
      <c r="DF75" s="36">
        <v>0</v>
      </c>
      <c r="DG75" s="36">
        <v>0</v>
      </c>
      <c r="DH75" s="36">
        <v>0</v>
      </c>
      <c r="DI75" s="36">
        <v>0</v>
      </c>
      <c r="DJ75" s="36">
        <v>0</v>
      </c>
      <c r="DK75" s="36">
        <v>1</v>
      </c>
      <c r="DL75" s="36">
        <v>-1</v>
      </c>
      <c r="DM75" s="36">
        <v>0</v>
      </c>
      <c r="DN75" s="36">
        <v>0</v>
      </c>
      <c r="DO75" s="36">
        <v>0</v>
      </c>
      <c r="DP75" s="36">
        <v>0</v>
      </c>
      <c r="DQ75" s="36">
        <v>0</v>
      </c>
      <c r="DR75" s="36">
        <v>0</v>
      </c>
      <c r="DS75" s="36">
        <v>0</v>
      </c>
      <c r="DT75" s="36">
        <v>0</v>
      </c>
      <c r="DU75" s="36">
        <v>0</v>
      </c>
      <c r="DV75" s="36">
        <v>0</v>
      </c>
      <c r="DW75" s="36">
        <v>0</v>
      </c>
      <c r="DX75" s="36">
        <v>0</v>
      </c>
      <c r="DY75" s="36">
        <v>0</v>
      </c>
      <c r="DZ75" s="36">
        <v>0</v>
      </c>
      <c r="EA75" s="36">
        <v>0</v>
      </c>
      <c r="EB75" s="36">
        <v>0</v>
      </c>
      <c r="EC75" s="36">
        <v>0</v>
      </c>
      <c r="ED75" s="36">
        <v>0</v>
      </c>
      <c r="EE75" s="36">
        <v>0</v>
      </c>
      <c r="EF75" s="36">
        <v>0</v>
      </c>
      <c r="EG75" s="36">
        <v>0</v>
      </c>
      <c r="EH75" s="36">
        <v>0</v>
      </c>
      <c r="EI75" s="36">
        <v>0</v>
      </c>
      <c r="EJ75" s="36">
        <v>0</v>
      </c>
      <c r="EK75" s="36">
        <v>0</v>
      </c>
      <c r="EL75" s="36">
        <v>0</v>
      </c>
      <c r="EM75" s="36">
        <v>0</v>
      </c>
      <c r="EN75" s="36">
        <v>0</v>
      </c>
      <c r="EO75" s="36">
        <v>0</v>
      </c>
      <c r="EP75" s="36">
        <v>0</v>
      </c>
      <c r="ET75" t="s">
        <v>283</v>
      </c>
      <c r="EU75" t="s">
        <v>650</v>
      </c>
      <c r="EV75" s="36">
        <v>-1</v>
      </c>
      <c r="EW75" s="36">
        <v>1</v>
      </c>
      <c r="EX75" s="36">
        <v>1</v>
      </c>
      <c r="EY75" s="36">
        <v>0</v>
      </c>
      <c r="EZ75" s="36">
        <v>2</v>
      </c>
      <c r="FA75" s="36">
        <v>0</v>
      </c>
      <c r="FB75" s="36">
        <v>0</v>
      </c>
      <c r="FC75" s="42">
        <f t="shared" si="25"/>
        <v>2</v>
      </c>
      <c r="FE75">
        <f t="shared" si="10"/>
        <v>2</v>
      </c>
      <c r="FF75">
        <f t="shared" si="11"/>
        <v>2</v>
      </c>
      <c r="FG75">
        <f t="shared" si="12"/>
        <v>2</v>
      </c>
      <c r="FM75" s="43">
        <f t="shared" si="14"/>
        <v>0</v>
      </c>
      <c r="FN75" s="43">
        <f t="shared" si="14"/>
        <v>0</v>
      </c>
      <c r="FO75" s="43">
        <f t="shared" si="14"/>
        <v>0</v>
      </c>
      <c r="FP75" s="43">
        <f t="shared" si="13"/>
        <v>0</v>
      </c>
      <c r="FQ75" s="43">
        <f t="shared" si="13"/>
        <v>0</v>
      </c>
      <c r="FR75" s="43">
        <f t="shared" si="13"/>
        <v>0</v>
      </c>
      <c r="FS75" s="43">
        <f t="shared" si="13"/>
        <v>0</v>
      </c>
      <c r="FV75" t="s">
        <v>651</v>
      </c>
      <c r="FW75" t="s">
        <v>652</v>
      </c>
    </row>
    <row r="76" spans="1:179" ht="19.5" customHeight="1" x14ac:dyDescent="0.25">
      <c r="A76" t="s">
        <v>653</v>
      </c>
      <c r="B76" s="36">
        <v>0</v>
      </c>
      <c r="C76" s="36">
        <v>0</v>
      </c>
      <c r="D76" s="36">
        <v>0</v>
      </c>
      <c r="E76" s="36">
        <v>0</v>
      </c>
      <c r="F76" s="36">
        <v>0</v>
      </c>
      <c r="G76" s="36">
        <v>0</v>
      </c>
      <c r="H76" s="36">
        <v>0</v>
      </c>
      <c r="I76" s="36">
        <v>0</v>
      </c>
      <c r="J76" s="36">
        <v>0</v>
      </c>
      <c r="K76" s="36">
        <v>0</v>
      </c>
      <c r="L76" s="36">
        <v>0</v>
      </c>
      <c r="M76" s="36">
        <v>0</v>
      </c>
      <c r="N76" s="36">
        <v>0</v>
      </c>
      <c r="O76" s="36">
        <v>0</v>
      </c>
      <c r="P76" s="36">
        <v>0</v>
      </c>
      <c r="Q76" s="36">
        <v>0</v>
      </c>
      <c r="R76" s="36">
        <v>0</v>
      </c>
      <c r="S76" s="36">
        <v>0</v>
      </c>
      <c r="T76" s="36">
        <v>0</v>
      </c>
      <c r="U76" s="36">
        <v>0</v>
      </c>
      <c r="V76" s="36">
        <v>0</v>
      </c>
      <c r="W76" s="36">
        <v>0</v>
      </c>
      <c r="X76" s="36">
        <v>0</v>
      </c>
      <c r="Y76" s="36">
        <v>0</v>
      </c>
      <c r="Z76" s="36">
        <v>0</v>
      </c>
      <c r="AA76" s="36">
        <v>0</v>
      </c>
      <c r="AB76" s="36">
        <v>0</v>
      </c>
      <c r="AC76" s="36">
        <v>0</v>
      </c>
      <c r="AD76" s="36">
        <v>0</v>
      </c>
      <c r="AE76" s="36">
        <v>0</v>
      </c>
      <c r="AF76" s="36">
        <v>0</v>
      </c>
      <c r="AG76" s="36">
        <v>0</v>
      </c>
      <c r="AH76" s="36">
        <v>0</v>
      </c>
      <c r="AI76" s="36">
        <v>0</v>
      </c>
      <c r="AJ76" s="36">
        <v>0</v>
      </c>
      <c r="AK76" s="36">
        <v>0</v>
      </c>
      <c r="AL76" s="36">
        <v>0</v>
      </c>
      <c r="AM76" s="36">
        <v>0</v>
      </c>
      <c r="AN76" s="36">
        <v>0</v>
      </c>
      <c r="AO76" s="36">
        <v>0</v>
      </c>
      <c r="AP76" s="36">
        <v>0</v>
      </c>
      <c r="AQ76" s="36">
        <v>0</v>
      </c>
      <c r="AR76" s="36">
        <v>0</v>
      </c>
      <c r="AS76" s="36">
        <v>0</v>
      </c>
      <c r="AT76" s="36">
        <v>0</v>
      </c>
      <c r="AU76" s="36">
        <v>0</v>
      </c>
      <c r="AV76" s="36">
        <v>0</v>
      </c>
      <c r="AW76" s="36">
        <v>0</v>
      </c>
      <c r="AX76" s="36">
        <v>0</v>
      </c>
      <c r="AY76" s="36">
        <v>0</v>
      </c>
      <c r="AZ76" s="36">
        <v>0</v>
      </c>
      <c r="BA76" s="36">
        <v>0</v>
      </c>
      <c r="BB76" s="36">
        <v>0</v>
      </c>
      <c r="BC76" s="36">
        <v>0</v>
      </c>
      <c r="BD76" s="36">
        <v>0</v>
      </c>
      <c r="BE76" s="36">
        <v>0</v>
      </c>
      <c r="BF76" s="36">
        <v>0</v>
      </c>
      <c r="BG76" s="36">
        <v>0</v>
      </c>
      <c r="BH76" s="36">
        <v>0</v>
      </c>
      <c r="BI76" s="36">
        <v>0</v>
      </c>
      <c r="BJ76" s="36">
        <v>0</v>
      </c>
      <c r="BK76" s="36">
        <v>0</v>
      </c>
      <c r="BL76" s="36">
        <v>0</v>
      </c>
      <c r="BM76" s="36">
        <v>0</v>
      </c>
      <c r="BN76" s="36">
        <v>0</v>
      </c>
      <c r="BO76" s="36">
        <v>0</v>
      </c>
      <c r="BP76" s="36">
        <v>0</v>
      </c>
      <c r="BQ76" s="36">
        <v>0</v>
      </c>
      <c r="BR76" s="36">
        <v>0</v>
      </c>
      <c r="BS76" s="36">
        <v>0</v>
      </c>
      <c r="BT76" s="36">
        <v>0</v>
      </c>
      <c r="BU76" s="36">
        <v>0</v>
      </c>
      <c r="BV76" s="36">
        <v>0</v>
      </c>
      <c r="BW76" s="36">
        <v>0</v>
      </c>
      <c r="BX76" s="36">
        <v>0</v>
      </c>
      <c r="BY76" s="36">
        <v>0</v>
      </c>
      <c r="BZ76" s="36">
        <v>0</v>
      </c>
      <c r="CA76" s="36">
        <v>0</v>
      </c>
      <c r="CB76" s="36">
        <v>0</v>
      </c>
      <c r="CC76" s="36">
        <v>0</v>
      </c>
      <c r="CD76" s="36">
        <v>0</v>
      </c>
      <c r="CE76" s="36">
        <v>0</v>
      </c>
      <c r="CF76" s="36">
        <v>0</v>
      </c>
      <c r="CG76" s="36">
        <v>0</v>
      </c>
      <c r="CH76" s="36">
        <v>0</v>
      </c>
      <c r="CI76" s="36">
        <v>0</v>
      </c>
      <c r="CJ76" s="36">
        <v>0</v>
      </c>
      <c r="CK76" s="36">
        <v>0</v>
      </c>
      <c r="CL76" s="36">
        <v>-1</v>
      </c>
      <c r="CM76" s="36">
        <v>0</v>
      </c>
      <c r="CN76" s="36">
        <v>0</v>
      </c>
      <c r="CO76" s="36">
        <v>0</v>
      </c>
      <c r="CP76" s="36">
        <v>1</v>
      </c>
      <c r="CQ76" s="36">
        <v>0</v>
      </c>
      <c r="CR76" s="36">
        <v>0</v>
      </c>
      <c r="CS76" s="36">
        <v>0</v>
      </c>
      <c r="CT76" s="36">
        <v>0</v>
      </c>
      <c r="CU76" s="36">
        <v>0</v>
      </c>
      <c r="CV76" s="36">
        <v>0</v>
      </c>
      <c r="CW76" s="36">
        <v>0</v>
      </c>
      <c r="CX76" s="36">
        <v>0</v>
      </c>
      <c r="CY76" s="36">
        <v>0</v>
      </c>
      <c r="CZ76" s="36">
        <v>0</v>
      </c>
      <c r="DA76" s="36">
        <v>0</v>
      </c>
      <c r="DB76" s="36">
        <v>0</v>
      </c>
      <c r="DC76" s="36">
        <v>0</v>
      </c>
      <c r="DD76" s="36">
        <v>0</v>
      </c>
      <c r="DE76" s="36">
        <v>0</v>
      </c>
      <c r="DF76" s="36">
        <v>0</v>
      </c>
      <c r="DG76" s="36">
        <v>0</v>
      </c>
      <c r="DH76" s="36">
        <v>0</v>
      </c>
      <c r="DI76" s="36">
        <v>0</v>
      </c>
      <c r="DJ76" s="36">
        <v>0</v>
      </c>
      <c r="DK76" s="36">
        <v>1</v>
      </c>
      <c r="DL76" s="36">
        <v>-1</v>
      </c>
      <c r="DM76" s="36">
        <v>0</v>
      </c>
      <c r="DN76" s="36">
        <v>0</v>
      </c>
      <c r="DO76" s="36">
        <v>-1</v>
      </c>
      <c r="DP76" s="36">
        <v>0</v>
      </c>
      <c r="DQ76" s="36">
        <v>0</v>
      </c>
      <c r="DR76" s="36">
        <v>1</v>
      </c>
      <c r="DS76" s="36">
        <v>0</v>
      </c>
      <c r="DT76" s="36">
        <v>0</v>
      </c>
      <c r="DU76" s="36">
        <v>0</v>
      </c>
      <c r="DV76" s="36">
        <v>0</v>
      </c>
      <c r="DW76" s="36">
        <v>0</v>
      </c>
      <c r="DX76" s="36">
        <v>0</v>
      </c>
      <c r="DY76" s="36">
        <v>0</v>
      </c>
      <c r="DZ76" s="36">
        <v>0</v>
      </c>
      <c r="EA76" s="36">
        <v>0</v>
      </c>
      <c r="EB76" s="36">
        <v>0</v>
      </c>
      <c r="EC76" s="36">
        <v>0</v>
      </c>
      <c r="ED76" s="36">
        <v>0</v>
      </c>
      <c r="EE76" s="36">
        <v>0</v>
      </c>
      <c r="EF76" s="36">
        <v>0</v>
      </c>
      <c r="EG76" s="36">
        <v>0</v>
      </c>
      <c r="EH76" s="36">
        <v>0</v>
      </c>
      <c r="EI76" s="36">
        <v>0</v>
      </c>
      <c r="EJ76" s="36">
        <v>0</v>
      </c>
      <c r="EK76" s="36">
        <v>0</v>
      </c>
      <c r="EL76" s="36">
        <v>0</v>
      </c>
      <c r="EM76" s="36">
        <v>0</v>
      </c>
      <c r="EN76" s="36">
        <v>0</v>
      </c>
      <c r="EO76" s="36">
        <v>0</v>
      </c>
      <c r="EP76" s="36">
        <v>0</v>
      </c>
      <c r="ET76" t="s">
        <v>284</v>
      </c>
      <c r="EU76" t="s">
        <v>650</v>
      </c>
      <c r="EV76" s="36">
        <v>-1</v>
      </c>
      <c r="EW76" s="36">
        <v>1</v>
      </c>
      <c r="EX76" s="36">
        <v>1</v>
      </c>
      <c r="EY76" s="36">
        <v>0</v>
      </c>
      <c r="EZ76" s="36">
        <v>2</v>
      </c>
      <c r="FA76" s="36">
        <v>0</v>
      </c>
      <c r="FB76" s="36">
        <v>0</v>
      </c>
      <c r="FC76" s="42">
        <f t="shared" si="25"/>
        <v>2</v>
      </c>
      <c r="FE76">
        <f t="shared" si="10"/>
        <v>2</v>
      </c>
      <c r="FF76">
        <f t="shared" si="11"/>
        <v>2</v>
      </c>
      <c r="FG76">
        <f t="shared" si="12"/>
        <v>2</v>
      </c>
      <c r="FM76" s="43">
        <f t="shared" si="14"/>
        <v>0</v>
      </c>
      <c r="FN76" s="43">
        <f t="shared" si="14"/>
        <v>0</v>
      </c>
      <c r="FO76" s="43">
        <f t="shared" si="14"/>
        <v>0</v>
      </c>
      <c r="FP76" s="43">
        <f t="shared" si="13"/>
        <v>0</v>
      </c>
      <c r="FQ76" s="43">
        <f t="shared" si="13"/>
        <v>0</v>
      </c>
      <c r="FR76" s="43">
        <f t="shared" si="13"/>
        <v>0</v>
      </c>
      <c r="FS76" s="43">
        <f t="shared" si="13"/>
        <v>0</v>
      </c>
      <c r="FV76" t="s">
        <v>654</v>
      </c>
      <c r="FW76" t="s">
        <v>655</v>
      </c>
    </row>
    <row r="77" spans="1:179" ht="19.5" customHeight="1" x14ac:dyDescent="0.35">
      <c r="A77" t="s">
        <v>656</v>
      </c>
      <c r="B77" s="36">
        <v>0</v>
      </c>
      <c r="C77" s="36">
        <v>0</v>
      </c>
      <c r="D77" s="36">
        <v>0</v>
      </c>
      <c r="E77" s="36">
        <v>0</v>
      </c>
      <c r="F77" s="36">
        <v>0</v>
      </c>
      <c r="G77" s="36">
        <v>0</v>
      </c>
      <c r="H77" s="36">
        <v>0</v>
      </c>
      <c r="I77" s="36">
        <v>0</v>
      </c>
      <c r="J77" s="36">
        <v>0</v>
      </c>
      <c r="K77" s="36">
        <v>0</v>
      </c>
      <c r="L77" s="36">
        <v>0</v>
      </c>
      <c r="M77" s="36">
        <v>0</v>
      </c>
      <c r="N77" s="36">
        <v>0</v>
      </c>
      <c r="O77" s="36">
        <v>0</v>
      </c>
      <c r="P77" s="36">
        <v>0</v>
      </c>
      <c r="Q77" s="36">
        <v>0</v>
      </c>
      <c r="R77" s="36">
        <v>0</v>
      </c>
      <c r="S77" s="36">
        <v>0</v>
      </c>
      <c r="T77" s="36">
        <v>0</v>
      </c>
      <c r="U77" s="36">
        <v>0</v>
      </c>
      <c r="V77" s="36">
        <v>0</v>
      </c>
      <c r="W77" s="36">
        <v>0</v>
      </c>
      <c r="X77" s="36">
        <v>0</v>
      </c>
      <c r="Y77" s="36">
        <v>0</v>
      </c>
      <c r="Z77" s="36">
        <v>0</v>
      </c>
      <c r="AA77" s="36">
        <v>0</v>
      </c>
      <c r="AB77" s="36">
        <v>0</v>
      </c>
      <c r="AC77" s="36">
        <v>0</v>
      </c>
      <c r="AD77" s="36">
        <v>0</v>
      </c>
      <c r="AE77" s="36">
        <v>0</v>
      </c>
      <c r="AF77" s="36">
        <v>0</v>
      </c>
      <c r="AG77" s="36">
        <v>0</v>
      </c>
      <c r="AH77" s="36">
        <v>0</v>
      </c>
      <c r="AI77" s="36">
        <v>0</v>
      </c>
      <c r="AJ77" s="36">
        <v>0</v>
      </c>
      <c r="AK77" s="36">
        <v>0</v>
      </c>
      <c r="AL77" s="36">
        <v>0</v>
      </c>
      <c r="AM77" s="36">
        <v>0</v>
      </c>
      <c r="AN77" s="36">
        <v>0</v>
      </c>
      <c r="AO77" s="36">
        <v>1</v>
      </c>
      <c r="AP77" s="36">
        <v>0</v>
      </c>
      <c r="AQ77" s="36">
        <v>0</v>
      </c>
      <c r="AR77" s="36">
        <v>0</v>
      </c>
      <c r="AS77" s="36">
        <v>0</v>
      </c>
      <c r="AT77" s="36">
        <v>0</v>
      </c>
      <c r="AU77" s="36">
        <v>0</v>
      </c>
      <c r="AV77" s="36">
        <v>0</v>
      </c>
      <c r="AW77" s="36">
        <v>0</v>
      </c>
      <c r="AX77" s="36">
        <v>0</v>
      </c>
      <c r="AY77" s="36">
        <v>0</v>
      </c>
      <c r="AZ77" s="36">
        <v>0</v>
      </c>
      <c r="BA77" s="36">
        <v>0</v>
      </c>
      <c r="BB77" s="36">
        <v>0</v>
      </c>
      <c r="BC77" s="36">
        <v>0</v>
      </c>
      <c r="BD77" s="36">
        <v>0</v>
      </c>
      <c r="BE77" s="36">
        <v>0</v>
      </c>
      <c r="BF77" s="36">
        <v>0</v>
      </c>
      <c r="BG77" s="36">
        <v>0</v>
      </c>
      <c r="BH77" s="36">
        <v>0</v>
      </c>
      <c r="BI77" s="36">
        <v>0</v>
      </c>
      <c r="BJ77" s="36">
        <v>0</v>
      </c>
      <c r="BK77" s="36">
        <v>0</v>
      </c>
      <c r="BL77" s="36">
        <v>0</v>
      </c>
      <c r="BM77" s="36">
        <v>0</v>
      </c>
      <c r="BN77" s="36">
        <v>0</v>
      </c>
      <c r="BO77" s="36">
        <v>0</v>
      </c>
      <c r="BP77" s="36">
        <v>0</v>
      </c>
      <c r="BQ77" s="36">
        <v>0</v>
      </c>
      <c r="BR77" s="36">
        <v>0</v>
      </c>
      <c r="BS77" s="36">
        <v>0</v>
      </c>
      <c r="BT77" s="36">
        <v>0</v>
      </c>
      <c r="BU77" s="36">
        <v>0</v>
      </c>
      <c r="BV77" s="36">
        <v>0</v>
      </c>
      <c r="BW77" s="36">
        <v>0</v>
      </c>
      <c r="BX77" s="36">
        <v>0</v>
      </c>
      <c r="BY77" s="36">
        <v>0</v>
      </c>
      <c r="BZ77" s="36">
        <v>0</v>
      </c>
      <c r="CA77" s="36">
        <v>0</v>
      </c>
      <c r="CB77" s="36">
        <v>0</v>
      </c>
      <c r="CC77" s="36">
        <v>0</v>
      </c>
      <c r="CD77" s="36">
        <v>0</v>
      </c>
      <c r="CE77" s="36">
        <v>0</v>
      </c>
      <c r="CF77" s="36">
        <v>0</v>
      </c>
      <c r="CG77" s="36">
        <v>0</v>
      </c>
      <c r="CH77" s="36">
        <v>0</v>
      </c>
      <c r="CI77" s="36">
        <v>0</v>
      </c>
      <c r="CJ77" s="36">
        <v>0</v>
      </c>
      <c r="CK77" s="36">
        <v>0</v>
      </c>
      <c r="CL77" s="36">
        <v>-5</v>
      </c>
      <c r="CM77" s="36">
        <v>0</v>
      </c>
      <c r="CN77" s="36">
        <v>0</v>
      </c>
      <c r="CO77" s="36">
        <v>0</v>
      </c>
      <c r="CP77" s="36">
        <v>2</v>
      </c>
      <c r="CQ77" s="36">
        <v>0</v>
      </c>
      <c r="CR77" s="36">
        <v>0</v>
      </c>
      <c r="CS77" s="36">
        <v>0</v>
      </c>
      <c r="CT77" s="36">
        <v>0</v>
      </c>
      <c r="CU77" s="36">
        <v>0</v>
      </c>
      <c r="CV77" s="36">
        <v>0</v>
      </c>
      <c r="CW77" s="36">
        <v>0</v>
      </c>
      <c r="CX77" s="36">
        <v>0</v>
      </c>
      <c r="CY77" s="36">
        <v>0</v>
      </c>
      <c r="CZ77" s="36">
        <v>0</v>
      </c>
      <c r="DA77" s="36">
        <v>0</v>
      </c>
      <c r="DB77" s="36">
        <v>0</v>
      </c>
      <c r="DC77" s="36">
        <v>0</v>
      </c>
      <c r="DD77" s="36">
        <v>0</v>
      </c>
      <c r="DE77" s="36">
        <v>0</v>
      </c>
      <c r="DF77" s="36">
        <v>0</v>
      </c>
      <c r="DG77" s="36">
        <v>0</v>
      </c>
      <c r="DH77" s="36">
        <v>0</v>
      </c>
      <c r="DI77" s="36">
        <v>0</v>
      </c>
      <c r="DJ77" s="36">
        <v>0</v>
      </c>
      <c r="DK77" s="36">
        <v>3</v>
      </c>
      <c r="DL77" s="36">
        <v>-3</v>
      </c>
      <c r="DM77" s="36">
        <v>0</v>
      </c>
      <c r="DN77" s="36">
        <v>0</v>
      </c>
      <c r="DO77" s="36">
        <v>0</v>
      </c>
      <c r="DP77" s="36">
        <v>0</v>
      </c>
      <c r="DQ77" s="36">
        <v>0</v>
      </c>
      <c r="DR77" s="36">
        <v>-1</v>
      </c>
      <c r="DS77" s="36">
        <v>0</v>
      </c>
      <c r="DT77" s="36">
        <v>0</v>
      </c>
      <c r="DU77" s="36">
        <v>0</v>
      </c>
      <c r="DV77" s="36">
        <v>0</v>
      </c>
      <c r="DW77" s="36">
        <v>0</v>
      </c>
      <c r="DX77" s="36">
        <v>0</v>
      </c>
      <c r="DY77" s="36">
        <v>0</v>
      </c>
      <c r="DZ77" s="36">
        <v>0</v>
      </c>
      <c r="EA77" s="36">
        <v>0</v>
      </c>
      <c r="EB77" s="36">
        <v>0</v>
      </c>
      <c r="EC77" s="36">
        <v>0</v>
      </c>
      <c r="ED77" s="36">
        <v>0</v>
      </c>
      <c r="EE77" s="36">
        <v>0</v>
      </c>
      <c r="EF77" s="36">
        <v>0</v>
      </c>
      <c r="EG77" s="36">
        <v>0</v>
      </c>
      <c r="EH77" s="36">
        <v>0</v>
      </c>
      <c r="EI77" s="36">
        <v>0</v>
      </c>
      <c r="EJ77" s="36">
        <v>0</v>
      </c>
      <c r="EK77" s="36">
        <v>0</v>
      </c>
      <c r="EL77" s="36">
        <v>0</v>
      </c>
      <c r="EM77" s="36">
        <v>0</v>
      </c>
      <c r="EN77" s="36">
        <v>0</v>
      </c>
      <c r="EO77" s="36">
        <v>0</v>
      </c>
      <c r="EP77" s="36">
        <v>0</v>
      </c>
      <c r="ET77" t="s">
        <v>285</v>
      </c>
      <c r="EU77" t="s">
        <v>657</v>
      </c>
      <c r="EV77" s="36">
        <v>-2</v>
      </c>
      <c r="EW77" s="36">
        <v>4</v>
      </c>
      <c r="EX77" s="36">
        <v>2</v>
      </c>
      <c r="EY77" s="36">
        <v>0</v>
      </c>
      <c r="EZ77" s="36">
        <v>4</v>
      </c>
      <c r="FA77" s="36">
        <v>0</v>
      </c>
      <c r="FB77" s="36">
        <v>0</v>
      </c>
      <c r="FC77" s="42">
        <f t="shared" si="25"/>
        <v>12</v>
      </c>
      <c r="FE77">
        <f t="shared" si="10"/>
        <v>3</v>
      </c>
      <c r="FF77">
        <f t="shared" si="11"/>
        <v>3</v>
      </c>
      <c r="FG77">
        <f t="shared" si="12"/>
        <v>3</v>
      </c>
      <c r="FM77" s="43">
        <f t="shared" si="14"/>
        <v>0</v>
      </c>
      <c r="FN77" s="43">
        <f t="shared" si="14"/>
        <v>0</v>
      </c>
      <c r="FO77" s="43">
        <f t="shared" si="14"/>
        <v>0</v>
      </c>
      <c r="FP77" s="43">
        <f t="shared" si="13"/>
        <v>0</v>
      </c>
      <c r="FQ77" s="43">
        <f t="shared" si="13"/>
        <v>0</v>
      </c>
      <c r="FR77" s="43">
        <f t="shared" si="13"/>
        <v>0</v>
      </c>
      <c r="FS77" s="43">
        <f t="shared" si="13"/>
        <v>0</v>
      </c>
      <c r="FV77" t="s">
        <v>658</v>
      </c>
      <c r="FW77" t="s">
        <v>659</v>
      </c>
    </row>
    <row r="78" spans="1:179" ht="19.5" customHeight="1" x14ac:dyDescent="0.35">
      <c r="A78" t="s">
        <v>660</v>
      </c>
      <c r="B78" s="36">
        <v>0</v>
      </c>
      <c r="C78" s="36">
        <v>0</v>
      </c>
      <c r="D78" s="36">
        <v>0</v>
      </c>
      <c r="E78" s="36">
        <v>0</v>
      </c>
      <c r="F78" s="36">
        <v>0</v>
      </c>
      <c r="G78" s="36">
        <v>0</v>
      </c>
      <c r="H78" s="36">
        <v>0</v>
      </c>
      <c r="I78" s="36">
        <v>0</v>
      </c>
      <c r="J78" s="36">
        <v>0</v>
      </c>
      <c r="K78" s="36">
        <v>0</v>
      </c>
      <c r="L78" s="36">
        <v>0</v>
      </c>
      <c r="M78" s="36">
        <v>0</v>
      </c>
      <c r="N78" s="36">
        <v>0</v>
      </c>
      <c r="O78" s="36">
        <v>0</v>
      </c>
      <c r="P78" s="36">
        <v>0</v>
      </c>
      <c r="Q78" s="36">
        <v>0</v>
      </c>
      <c r="R78" s="36">
        <v>0</v>
      </c>
      <c r="S78" s="36">
        <v>0</v>
      </c>
      <c r="T78" s="36">
        <v>0</v>
      </c>
      <c r="U78" s="36">
        <v>0</v>
      </c>
      <c r="V78" s="36">
        <v>0</v>
      </c>
      <c r="W78" s="36">
        <v>0</v>
      </c>
      <c r="X78" s="36">
        <v>0</v>
      </c>
      <c r="Y78" s="36">
        <v>0</v>
      </c>
      <c r="Z78" s="36">
        <v>0</v>
      </c>
      <c r="AA78" s="36">
        <v>0</v>
      </c>
      <c r="AB78" s="36">
        <v>0</v>
      </c>
      <c r="AC78" s="36">
        <v>0</v>
      </c>
      <c r="AD78" s="36">
        <v>0</v>
      </c>
      <c r="AE78" s="36">
        <v>0</v>
      </c>
      <c r="AF78" s="36">
        <v>0</v>
      </c>
      <c r="AG78" s="36">
        <v>0</v>
      </c>
      <c r="AH78" s="36">
        <v>0</v>
      </c>
      <c r="AI78" s="36">
        <v>0</v>
      </c>
      <c r="AJ78" s="36">
        <v>0</v>
      </c>
      <c r="AK78" s="36">
        <v>0</v>
      </c>
      <c r="AL78" s="36">
        <v>0</v>
      </c>
      <c r="AM78" s="36">
        <v>0</v>
      </c>
      <c r="AN78" s="36">
        <v>0</v>
      </c>
      <c r="AO78" s="36">
        <v>0</v>
      </c>
      <c r="AP78" s="36">
        <v>0</v>
      </c>
      <c r="AQ78" s="36">
        <v>0</v>
      </c>
      <c r="AR78" s="36">
        <v>0</v>
      </c>
      <c r="AS78" s="36">
        <v>0</v>
      </c>
      <c r="AT78" s="36">
        <v>0</v>
      </c>
      <c r="AU78" s="36">
        <v>0</v>
      </c>
      <c r="AV78" s="36">
        <v>0</v>
      </c>
      <c r="AW78" s="36">
        <v>0</v>
      </c>
      <c r="AX78" s="36">
        <v>0</v>
      </c>
      <c r="AY78" s="36">
        <v>0</v>
      </c>
      <c r="AZ78" s="36">
        <v>0</v>
      </c>
      <c r="BA78" s="36">
        <v>0</v>
      </c>
      <c r="BB78" s="36">
        <v>0</v>
      </c>
      <c r="BC78" s="36">
        <v>0</v>
      </c>
      <c r="BD78" s="36">
        <v>0</v>
      </c>
      <c r="BE78" s="36">
        <v>-4</v>
      </c>
      <c r="BF78" s="36">
        <v>4</v>
      </c>
      <c r="BG78" s="36">
        <v>0</v>
      </c>
      <c r="BH78" s="36">
        <v>0</v>
      </c>
      <c r="BI78" s="36">
        <v>0</v>
      </c>
      <c r="BJ78" s="36">
        <v>0</v>
      </c>
      <c r="BK78" s="36">
        <v>0</v>
      </c>
      <c r="BL78" s="36">
        <v>0</v>
      </c>
      <c r="BM78" s="36">
        <v>0</v>
      </c>
      <c r="BN78" s="36">
        <v>0</v>
      </c>
      <c r="BO78" s="36">
        <v>0</v>
      </c>
      <c r="BP78" s="36">
        <v>0</v>
      </c>
      <c r="BQ78" s="36">
        <v>0</v>
      </c>
      <c r="BR78" s="36">
        <v>0</v>
      </c>
      <c r="BS78" s="36">
        <v>0</v>
      </c>
      <c r="BT78" s="36">
        <v>0</v>
      </c>
      <c r="BU78" s="36">
        <v>0</v>
      </c>
      <c r="BV78" s="36">
        <v>0</v>
      </c>
      <c r="BW78" s="36">
        <v>0</v>
      </c>
      <c r="BX78" s="36">
        <v>0</v>
      </c>
      <c r="BY78" s="36">
        <v>0</v>
      </c>
      <c r="BZ78" s="36">
        <v>0</v>
      </c>
      <c r="CA78" s="36">
        <v>0</v>
      </c>
      <c r="CB78" s="36">
        <v>0</v>
      </c>
      <c r="CC78" s="36">
        <v>0</v>
      </c>
      <c r="CD78" s="36">
        <v>0</v>
      </c>
      <c r="CE78" s="36">
        <v>0</v>
      </c>
      <c r="CF78" s="36">
        <v>0</v>
      </c>
      <c r="CG78" s="36">
        <v>0</v>
      </c>
      <c r="CH78" s="36">
        <v>0</v>
      </c>
      <c r="CI78" s="36">
        <v>0</v>
      </c>
      <c r="CJ78" s="36">
        <v>0</v>
      </c>
      <c r="CK78" s="36">
        <v>0</v>
      </c>
      <c r="CL78" s="36">
        <v>5</v>
      </c>
      <c r="CM78" s="36">
        <v>0</v>
      </c>
      <c r="CN78" s="36">
        <v>0</v>
      </c>
      <c r="CO78" s="36">
        <v>0</v>
      </c>
      <c r="CP78" s="36">
        <v>-1</v>
      </c>
      <c r="CQ78" s="36">
        <v>0</v>
      </c>
      <c r="CR78" s="36">
        <v>0</v>
      </c>
      <c r="CS78" s="36">
        <v>0</v>
      </c>
      <c r="CT78" s="36">
        <v>0</v>
      </c>
      <c r="CU78" s="36">
        <v>0</v>
      </c>
      <c r="CV78" s="36">
        <v>-1</v>
      </c>
      <c r="CW78" s="36">
        <v>0</v>
      </c>
      <c r="CX78" s="36">
        <v>0</v>
      </c>
      <c r="CY78" s="36">
        <v>0</v>
      </c>
      <c r="CZ78" s="36">
        <v>0</v>
      </c>
      <c r="DA78" s="36">
        <v>0</v>
      </c>
      <c r="DB78" s="36">
        <v>0</v>
      </c>
      <c r="DC78" s="36">
        <v>0</v>
      </c>
      <c r="DD78" s="36">
        <v>0</v>
      </c>
      <c r="DE78" s="36">
        <v>0</v>
      </c>
      <c r="DF78" s="36">
        <v>0</v>
      </c>
      <c r="DG78" s="36">
        <v>0</v>
      </c>
      <c r="DH78" s="36">
        <v>0</v>
      </c>
      <c r="DI78" s="36">
        <v>0</v>
      </c>
      <c r="DJ78" s="36">
        <v>0</v>
      </c>
      <c r="DK78" s="36">
        <v>0</v>
      </c>
      <c r="DL78" s="36">
        <v>0</v>
      </c>
      <c r="DM78" s="36">
        <v>0</v>
      </c>
      <c r="DN78" s="36">
        <v>0</v>
      </c>
      <c r="DO78" s="36">
        <v>0</v>
      </c>
      <c r="DP78" s="36">
        <v>0</v>
      </c>
      <c r="DQ78" s="36">
        <v>0</v>
      </c>
      <c r="DR78" s="36">
        <v>1</v>
      </c>
      <c r="DS78" s="36">
        <v>0</v>
      </c>
      <c r="DT78" s="36">
        <v>0</v>
      </c>
      <c r="DU78" s="36">
        <v>0</v>
      </c>
      <c r="DV78" s="36">
        <v>0</v>
      </c>
      <c r="DW78" s="36">
        <v>0</v>
      </c>
      <c r="DX78" s="36">
        <v>0</v>
      </c>
      <c r="DY78" s="36">
        <v>0</v>
      </c>
      <c r="DZ78" s="36">
        <v>0</v>
      </c>
      <c r="EA78" s="36">
        <v>0</v>
      </c>
      <c r="EB78" s="36">
        <v>0</v>
      </c>
      <c r="EC78" s="36">
        <v>0</v>
      </c>
      <c r="ED78" s="36">
        <v>0</v>
      </c>
      <c r="EE78" s="36">
        <v>0</v>
      </c>
      <c r="EF78" s="36">
        <v>0</v>
      </c>
      <c r="EG78" s="36">
        <v>0</v>
      </c>
      <c r="EH78" s="36">
        <v>0</v>
      </c>
      <c r="EI78" s="36">
        <v>0</v>
      </c>
      <c r="EJ78" s="36">
        <v>0</v>
      </c>
      <c r="EK78" s="36">
        <v>0</v>
      </c>
      <c r="EL78" s="36">
        <v>0</v>
      </c>
      <c r="EM78" s="36">
        <v>0</v>
      </c>
      <c r="EN78" s="36">
        <v>0</v>
      </c>
      <c r="EO78" s="36">
        <v>0</v>
      </c>
      <c r="EP78" s="36">
        <v>0</v>
      </c>
      <c r="ET78" t="s">
        <v>661</v>
      </c>
      <c r="EU78" s="46" t="s">
        <v>662</v>
      </c>
      <c r="EV78" s="36">
        <v>-2</v>
      </c>
      <c r="EW78" s="36">
        <v>5</v>
      </c>
      <c r="EX78" s="36">
        <v>8</v>
      </c>
      <c r="EY78" s="36">
        <v>1</v>
      </c>
      <c r="EZ78" s="36">
        <v>7</v>
      </c>
      <c r="FA78" s="36">
        <v>1</v>
      </c>
      <c r="FB78" s="36">
        <v>0</v>
      </c>
      <c r="FC78" s="42">
        <f t="shared" si="25"/>
        <v>18</v>
      </c>
      <c r="FE78">
        <f t="shared" si="10"/>
        <v>5.2</v>
      </c>
      <c r="FF78">
        <f t="shared" si="11"/>
        <v>3.6</v>
      </c>
      <c r="FG78">
        <f t="shared" si="12"/>
        <v>4.2</v>
      </c>
      <c r="FM78" s="43">
        <f t="shared" si="14"/>
        <v>0</v>
      </c>
      <c r="FN78" s="43">
        <f t="shared" si="14"/>
        <v>0</v>
      </c>
      <c r="FO78" s="43">
        <f t="shared" si="14"/>
        <v>0</v>
      </c>
      <c r="FP78" s="43">
        <f t="shared" si="13"/>
        <v>0</v>
      </c>
      <c r="FQ78" s="43">
        <f t="shared" si="13"/>
        <v>0</v>
      </c>
      <c r="FR78" s="43">
        <f t="shared" si="13"/>
        <v>0</v>
      </c>
      <c r="FS78" s="43">
        <f t="shared" si="13"/>
        <v>0</v>
      </c>
      <c r="FV78" t="s">
        <v>663</v>
      </c>
      <c r="FW78" t="s">
        <v>664</v>
      </c>
    </row>
    <row r="79" spans="1:179" ht="19.5" customHeight="1" x14ac:dyDescent="0.35">
      <c r="A79" t="s">
        <v>665</v>
      </c>
      <c r="B79" s="36">
        <v>0</v>
      </c>
      <c r="C79" s="36">
        <v>0</v>
      </c>
      <c r="D79" s="36">
        <v>0</v>
      </c>
      <c r="E79" s="36">
        <v>0</v>
      </c>
      <c r="F79" s="36">
        <v>0</v>
      </c>
      <c r="G79" s="36">
        <v>0</v>
      </c>
      <c r="H79" s="36">
        <v>0</v>
      </c>
      <c r="I79" s="36">
        <v>0</v>
      </c>
      <c r="J79" s="36">
        <v>0</v>
      </c>
      <c r="K79" s="36">
        <v>0</v>
      </c>
      <c r="L79" s="36">
        <v>0</v>
      </c>
      <c r="M79" s="36">
        <v>0</v>
      </c>
      <c r="N79" s="36">
        <v>0</v>
      </c>
      <c r="O79" s="36">
        <v>0</v>
      </c>
      <c r="P79" s="36">
        <v>0</v>
      </c>
      <c r="Q79" s="36">
        <v>0</v>
      </c>
      <c r="R79" s="36">
        <v>0</v>
      </c>
      <c r="S79" s="36">
        <v>0</v>
      </c>
      <c r="T79" s="36">
        <v>0</v>
      </c>
      <c r="U79" s="36">
        <v>0</v>
      </c>
      <c r="V79" s="36">
        <v>0</v>
      </c>
      <c r="W79" s="36">
        <v>0</v>
      </c>
      <c r="X79" s="36">
        <v>0</v>
      </c>
      <c r="Y79" s="36">
        <v>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0</v>
      </c>
      <c r="AY79" s="36">
        <v>0</v>
      </c>
      <c r="AZ79" s="36">
        <v>0</v>
      </c>
      <c r="BA79" s="36">
        <v>0</v>
      </c>
      <c r="BB79" s="36">
        <v>0</v>
      </c>
      <c r="BC79" s="36">
        <v>0</v>
      </c>
      <c r="BD79" s="36">
        <v>0</v>
      </c>
      <c r="BE79" s="36">
        <v>1</v>
      </c>
      <c r="BF79" s="36">
        <v>-1</v>
      </c>
      <c r="BG79" s="36">
        <v>0</v>
      </c>
      <c r="BH79" s="36">
        <v>0</v>
      </c>
      <c r="BI79" s="36">
        <v>0</v>
      </c>
      <c r="BJ79" s="36">
        <v>0</v>
      </c>
      <c r="BK79" s="36">
        <v>0</v>
      </c>
      <c r="BL79" s="36">
        <v>0</v>
      </c>
      <c r="BM79" s="36">
        <v>0</v>
      </c>
      <c r="BN79" s="36">
        <v>0</v>
      </c>
      <c r="BO79" s="36">
        <v>0</v>
      </c>
      <c r="BP79" s="36">
        <v>0</v>
      </c>
      <c r="BQ79" s="36">
        <v>0</v>
      </c>
      <c r="BR79" s="36">
        <v>0</v>
      </c>
      <c r="BS79" s="36">
        <v>0</v>
      </c>
      <c r="BT79" s="36">
        <v>0</v>
      </c>
      <c r="BU79" s="36">
        <v>0</v>
      </c>
      <c r="BV79" s="36">
        <v>0</v>
      </c>
      <c r="BW79" s="36">
        <v>0</v>
      </c>
      <c r="BX79" s="36">
        <v>0</v>
      </c>
      <c r="BY79" s="36">
        <v>0</v>
      </c>
      <c r="BZ79" s="36">
        <v>0</v>
      </c>
      <c r="CA79" s="36">
        <v>0</v>
      </c>
      <c r="CB79" s="36">
        <v>0</v>
      </c>
      <c r="CC79" s="36">
        <v>0</v>
      </c>
      <c r="CD79" s="36">
        <v>0</v>
      </c>
      <c r="CE79" s="36">
        <v>0</v>
      </c>
      <c r="CF79" s="36">
        <v>0</v>
      </c>
      <c r="CG79" s="36">
        <v>0</v>
      </c>
      <c r="CH79" s="36">
        <v>0</v>
      </c>
      <c r="CI79" s="36">
        <v>0</v>
      </c>
      <c r="CJ79" s="36">
        <v>0</v>
      </c>
      <c r="CK79" s="36">
        <v>0</v>
      </c>
      <c r="CL79" s="36">
        <v>-2</v>
      </c>
      <c r="CM79" s="36">
        <v>0</v>
      </c>
      <c r="CN79" s="36">
        <v>0</v>
      </c>
      <c r="CO79" s="36">
        <v>0</v>
      </c>
      <c r="CP79" s="36">
        <v>1</v>
      </c>
      <c r="CQ79" s="36">
        <v>0</v>
      </c>
      <c r="CR79" s="36">
        <v>0</v>
      </c>
      <c r="CS79" s="36">
        <v>0</v>
      </c>
      <c r="CT79" s="36">
        <v>0</v>
      </c>
      <c r="CU79" s="36">
        <v>0</v>
      </c>
      <c r="CV79" s="36">
        <v>0</v>
      </c>
      <c r="CW79" s="36">
        <v>0</v>
      </c>
      <c r="CX79" s="36">
        <v>0</v>
      </c>
      <c r="CY79" s="36">
        <v>0</v>
      </c>
      <c r="CZ79" s="36">
        <v>0</v>
      </c>
      <c r="DA79" s="36">
        <v>0</v>
      </c>
      <c r="DB79" s="36">
        <v>0</v>
      </c>
      <c r="DC79" s="36">
        <v>0</v>
      </c>
      <c r="DD79" s="36">
        <v>0</v>
      </c>
      <c r="DE79" s="36">
        <v>0</v>
      </c>
      <c r="DF79" s="36">
        <v>0</v>
      </c>
      <c r="DG79" s="36">
        <v>0</v>
      </c>
      <c r="DH79" s="36">
        <v>0</v>
      </c>
      <c r="DI79" s="36">
        <v>0</v>
      </c>
      <c r="DJ79" s="36">
        <v>0</v>
      </c>
      <c r="DK79" s="36">
        <v>0</v>
      </c>
      <c r="DL79" s="36">
        <v>0</v>
      </c>
      <c r="DM79" s="36">
        <v>0</v>
      </c>
      <c r="DN79" s="36">
        <v>0</v>
      </c>
      <c r="DO79" s="36">
        <v>0</v>
      </c>
      <c r="DP79" s="36">
        <v>0</v>
      </c>
      <c r="DQ79" s="36">
        <v>1</v>
      </c>
      <c r="DR79" s="36">
        <v>-1</v>
      </c>
      <c r="DS79" s="36">
        <v>0</v>
      </c>
      <c r="DT79" s="36">
        <v>0</v>
      </c>
      <c r="DU79" s="36">
        <v>0</v>
      </c>
      <c r="DV79" s="36">
        <v>0</v>
      </c>
      <c r="DW79" s="36">
        <v>0</v>
      </c>
      <c r="DX79" s="36">
        <v>0</v>
      </c>
      <c r="DY79" s="36">
        <v>0</v>
      </c>
      <c r="DZ79" s="36">
        <v>0</v>
      </c>
      <c r="EA79" s="36">
        <v>0</v>
      </c>
      <c r="EB79" s="36">
        <v>0</v>
      </c>
      <c r="EC79" s="36">
        <v>0</v>
      </c>
      <c r="ED79" s="36">
        <v>0</v>
      </c>
      <c r="EE79" s="36">
        <v>0</v>
      </c>
      <c r="EF79" s="36">
        <v>0</v>
      </c>
      <c r="EG79" s="36">
        <v>0</v>
      </c>
      <c r="EH79" s="36">
        <v>0</v>
      </c>
      <c r="EI79" s="36">
        <v>0</v>
      </c>
      <c r="EJ79" s="36">
        <v>0</v>
      </c>
      <c r="EK79" s="36">
        <v>0</v>
      </c>
      <c r="EL79" s="36">
        <v>0</v>
      </c>
      <c r="EM79" s="36">
        <v>0</v>
      </c>
      <c r="EN79" s="36">
        <v>0</v>
      </c>
      <c r="EO79" s="36">
        <v>0</v>
      </c>
      <c r="EP79" s="36">
        <v>0</v>
      </c>
      <c r="ET79" t="s">
        <v>287</v>
      </c>
      <c r="EU79" s="4" t="s">
        <v>595</v>
      </c>
      <c r="EV79" s="36">
        <v>-2</v>
      </c>
      <c r="EW79" s="36">
        <v>3</v>
      </c>
      <c r="EX79" s="36">
        <v>5</v>
      </c>
      <c r="EY79" s="36">
        <v>0</v>
      </c>
      <c r="EZ79" s="36">
        <v>6</v>
      </c>
      <c r="FA79" s="36">
        <v>1</v>
      </c>
      <c r="FB79" s="36">
        <v>0</v>
      </c>
      <c r="FC79" s="42">
        <f t="shared" si="25"/>
        <v>12</v>
      </c>
      <c r="FE79">
        <f t="shared" si="10"/>
        <v>4</v>
      </c>
      <c r="FF79">
        <f t="shared" si="11"/>
        <v>4</v>
      </c>
      <c r="FG79">
        <f t="shared" si="12"/>
        <v>4</v>
      </c>
      <c r="FM79" s="43">
        <f t="shared" si="14"/>
        <v>0</v>
      </c>
      <c r="FN79" s="43">
        <f t="shared" si="14"/>
        <v>0</v>
      </c>
      <c r="FO79" s="43">
        <f t="shared" si="14"/>
        <v>0</v>
      </c>
      <c r="FP79" s="43">
        <f t="shared" si="13"/>
        <v>0</v>
      </c>
      <c r="FQ79" s="43">
        <f t="shared" si="13"/>
        <v>0</v>
      </c>
      <c r="FR79" s="43">
        <f t="shared" si="13"/>
        <v>0</v>
      </c>
      <c r="FS79" s="43">
        <f t="shared" si="13"/>
        <v>0</v>
      </c>
      <c r="FV79" t="s">
        <v>666</v>
      </c>
      <c r="FW79" t="s">
        <v>667</v>
      </c>
    </row>
    <row r="80" spans="1:179" ht="19.5" customHeight="1" x14ac:dyDescent="0.35">
      <c r="A80" t="s">
        <v>668</v>
      </c>
      <c r="B80" s="36">
        <v>1</v>
      </c>
      <c r="C80" s="36">
        <v>0</v>
      </c>
      <c r="D80" s="36">
        <v>0</v>
      </c>
      <c r="E80" s="36">
        <v>0</v>
      </c>
      <c r="F80" s="36">
        <v>0</v>
      </c>
      <c r="G80" s="36">
        <v>0</v>
      </c>
      <c r="H80" s="36">
        <v>0</v>
      </c>
      <c r="I80" s="36">
        <v>0</v>
      </c>
      <c r="J80" s="36">
        <v>0</v>
      </c>
      <c r="K80" s="36">
        <v>0</v>
      </c>
      <c r="L80" s="36">
        <v>0</v>
      </c>
      <c r="M80" s="36">
        <v>0</v>
      </c>
      <c r="N80" s="36">
        <v>0</v>
      </c>
      <c r="O80" s="36">
        <v>0</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c r="AM80" s="36">
        <v>0</v>
      </c>
      <c r="AN80" s="36">
        <v>0</v>
      </c>
      <c r="AO80" s="36">
        <v>0</v>
      </c>
      <c r="AP80" s="36">
        <v>0</v>
      </c>
      <c r="AQ80" s="36">
        <v>0</v>
      </c>
      <c r="AR80" s="36">
        <v>0</v>
      </c>
      <c r="AS80" s="36">
        <v>0</v>
      </c>
      <c r="AT80" s="36">
        <v>0</v>
      </c>
      <c r="AU80" s="36">
        <v>0</v>
      </c>
      <c r="AV80" s="36">
        <v>0</v>
      </c>
      <c r="AW80" s="36">
        <v>0</v>
      </c>
      <c r="AX80" s="36">
        <v>0</v>
      </c>
      <c r="AY80" s="36">
        <v>0</v>
      </c>
      <c r="AZ80" s="36">
        <v>0</v>
      </c>
      <c r="BA80" s="36">
        <v>0</v>
      </c>
      <c r="BB80" s="36">
        <v>0</v>
      </c>
      <c r="BC80" s="36">
        <v>0</v>
      </c>
      <c r="BD80" s="36">
        <v>0</v>
      </c>
      <c r="BE80" s="36">
        <v>2</v>
      </c>
      <c r="BF80" s="36">
        <v>-2</v>
      </c>
      <c r="BG80" s="36">
        <v>0</v>
      </c>
      <c r="BH80" s="36">
        <v>0</v>
      </c>
      <c r="BI80" s="36">
        <v>0</v>
      </c>
      <c r="BJ80" s="36">
        <v>0</v>
      </c>
      <c r="BK80" s="36">
        <v>0</v>
      </c>
      <c r="BL80" s="36">
        <v>0</v>
      </c>
      <c r="BM80" s="36">
        <v>0</v>
      </c>
      <c r="BN80" s="36">
        <v>0</v>
      </c>
      <c r="BO80" s="36">
        <v>0</v>
      </c>
      <c r="BP80" s="36">
        <v>0</v>
      </c>
      <c r="BQ80" s="36">
        <v>0</v>
      </c>
      <c r="BR80" s="36">
        <v>0</v>
      </c>
      <c r="BS80" s="36">
        <v>0</v>
      </c>
      <c r="BT80" s="36">
        <v>0</v>
      </c>
      <c r="BU80" s="36">
        <v>0</v>
      </c>
      <c r="BV80" s="36">
        <v>0</v>
      </c>
      <c r="BW80" s="36">
        <v>0</v>
      </c>
      <c r="BX80" s="36">
        <v>0</v>
      </c>
      <c r="BY80" s="36">
        <v>0</v>
      </c>
      <c r="BZ80" s="36">
        <v>0</v>
      </c>
      <c r="CA80" s="36">
        <v>0</v>
      </c>
      <c r="CB80" s="36">
        <v>0</v>
      </c>
      <c r="CC80" s="36">
        <v>0</v>
      </c>
      <c r="CD80" s="36">
        <v>0</v>
      </c>
      <c r="CE80" s="36">
        <v>0</v>
      </c>
      <c r="CF80" s="36">
        <v>0</v>
      </c>
      <c r="CG80" s="36">
        <v>0</v>
      </c>
      <c r="CH80" s="36">
        <v>0</v>
      </c>
      <c r="CI80" s="36">
        <v>0</v>
      </c>
      <c r="CJ80" s="36">
        <v>0</v>
      </c>
      <c r="CK80" s="36">
        <v>-2</v>
      </c>
      <c r="CL80" s="36">
        <v>0</v>
      </c>
      <c r="CM80" s="36">
        <v>0</v>
      </c>
      <c r="CN80" s="36">
        <v>0</v>
      </c>
      <c r="CO80" s="36">
        <v>0</v>
      </c>
      <c r="CP80" s="36">
        <v>1</v>
      </c>
      <c r="CQ80" s="36">
        <v>0</v>
      </c>
      <c r="CR80" s="36">
        <v>0</v>
      </c>
      <c r="CS80" s="36">
        <v>0</v>
      </c>
      <c r="CT80" s="36">
        <v>0</v>
      </c>
      <c r="CU80" s="36">
        <v>0</v>
      </c>
      <c r="CV80" s="36">
        <v>0</v>
      </c>
      <c r="CW80" s="36">
        <v>0</v>
      </c>
      <c r="CX80" s="36">
        <v>0</v>
      </c>
      <c r="CY80" s="36">
        <v>0</v>
      </c>
      <c r="CZ80" s="36">
        <v>0</v>
      </c>
      <c r="DA80" s="36">
        <v>0</v>
      </c>
      <c r="DB80" s="36">
        <v>0</v>
      </c>
      <c r="DC80" s="36">
        <v>0</v>
      </c>
      <c r="DD80" s="36">
        <v>0</v>
      </c>
      <c r="DE80" s="36">
        <v>0</v>
      </c>
      <c r="DF80" s="36">
        <v>0</v>
      </c>
      <c r="DG80" s="36">
        <v>0</v>
      </c>
      <c r="DH80" s="36">
        <v>0</v>
      </c>
      <c r="DI80" s="36">
        <v>0</v>
      </c>
      <c r="DJ80" s="36">
        <v>0</v>
      </c>
      <c r="DK80" s="36">
        <v>0</v>
      </c>
      <c r="DL80" s="36">
        <v>0</v>
      </c>
      <c r="DM80" s="36">
        <v>0</v>
      </c>
      <c r="DN80" s="36">
        <v>0</v>
      </c>
      <c r="DO80" s="36">
        <v>0</v>
      </c>
      <c r="DP80" s="36">
        <v>0</v>
      </c>
      <c r="DQ80" s="36">
        <v>-2</v>
      </c>
      <c r="DR80" s="36">
        <v>0</v>
      </c>
      <c r="DS80" s="36">
        <v>1</v>
      </c>
      <c r="DT80" s="36">
        <v>0</v>
      </c>
      <c r="DU80" s="36">
        <v>0</v>
      </c>
      <c r="DV80" s="36">
        <v>0</v>
      </c>
      <c r="DW80" s="36">
        <v>0</v>
      </c>
      <c r="DX80" s="36">
        <v>0</v>
      </c>
      <c r="DY80" s="36">
        <v>0</v>
      </c>
      <c r="DZ80" s="36">
        <v>0</v>
      </c>
      <c r="EA80" s="36">
        <v>0</v>
      </c>
      <c r="EB80" s="36">
        <v>0</v>
      </c>
      <c r="EC80" s="36">
        <v>0</v>
      </c>
      <c r="ED80" s="36">
        <v>0</v>
      </c>
      <c r="EE80" s="36">
        <v>0</v>
      </c>
      <c r="EF80" s="36">
        <v>0</v>
      </c>
      <c r="EG80" s="36">
        <v>0</v>
      </c>
      <c r="EH80" s="36">
        <v>0</v>
      </c>
      <c r="EI80" s="36">
        <v>0</v>
      </c>
      <c r="EJ80" s="36">
        <v>0</v>
      </c>
      <c r="EK80" s="36">
        <v>0</v>
      </c>
      <c r="EL80" s="36">
        <v>0</v>
      </c>
      <c r="EM80" s="36">
        <v>0</v>
      </c>
      <c r="EN80" s="36">
        <v>0</v>
      </c>
      <c r="EO80" s="36">
        <v>0</v>
      </c>
      <c r="EP80" s="36">
        <v>0</v>
      </c>
      <c r="ET80" t="s">
        <v>33</v>
      </c>
      <c r="EU80" t="s">
        <v>669</v>
      </c>
      <c r="EV80" s="36">
        <v>0</v>
      </c>
      <c r="EW80" s="36">
        <v>2</v>
      </c>
      <c r="EX80" s="36">
        <v>5</v>
      </c>
      <c r="EY80" s="36">
        <v>1</v>
      </c>
      <c r="EZ80" s="36">
        <v>2</v>
      </c>
      <c r="FA80" s="36">
        <v>0</v>
      </c>
      <c r="FB80" s="36">
        <v>0</v>
      </c>
      <c r="FC80" s="42">
        <f t="shared" si="25"/>
        <v>6</v>
      </c>
      <c r="FE80">
        <f t="shared" si="10"/>
        <v>7</v>
      </c>
      <c r="FF80">
        <f t="shared" si="11"/>
        <v>3</v>
      </c>
      <c r="FG80">
        <f t="shared" si="12"/>
        <v>4.5</v>
      </c>
      <c r="FM80" s="43">
        <f t="shared" si="14"/>
        <v>0</v>
      </c>
      <c r="FN80" s="43">
        <f t="shared" si="14"/>
        <v>0</v>
      </c>
      <c r="FO80" s="43">
        <f t="shared" si="14"/>
        <v>0</v>
      </c>
      <c r="FP80" s="43">
        <f t="shared" si="13"/>
        <v>0</v>
      </c>
      <c r="FQ80" s="43">
        <f t="shared" si="13"/>
        <v>0</v>
      </c>
      <c r="FR80" s="43">
        <f t="shared" si="13"/>
        <v>0</v>
      </c>
      <c r="FS80" s="43">
        <f t="shared" si="13"/>
        <v>0</v>
      </c>
      <c r="FV80" t="s">
        <v>670</v>
      </c>
      <c r="FW80" t="s">
        <v>671</v>
      </c>
    </row>
    <row r="81" spans="1:179" ht="19.5" customHeight="1" x14ac:dyDescent="0.35">
      <c r="A81" t="s">
        <v>672</v>
      </c>
      <c r="B81" s="36">
        <v>0</v>
      </c>
      <c r="C81" s="36">
        <v>0</v>
      </c>
      <c r="D81" s="36">
        <v>0</v>
      </c>
      <c r="E81" s="36">
        <v>0</v>
      </c>
      <c r="F81" s="36">
        <v>0</v>
      </c>
      <c r="G81" s="36">
        <v>0</v>
      </c>
      <c r="H81" s="36">
        <v>0</v>
      </c>
      <c r="I81" s="36">
        <v>0</v>
      </c>
      <c r="J81" s="36">
        <v>0</v>
      </c>
      <c r="K81" s="36">
        <v>0</v>
      </c>
      <c r="L81" s="36">
        <v>0</v>
      </c>
      <c r="M81" s="36">
        <v>0</v>
      </c>
      <c r="N81" s="36">
        <v>0</v>
      </c>
      <c r="O81" s="36">
        <v>0</v>
      </c>
      <c r="P81" s="36">
        <v>0</v>
      </c>
      <c r="Q81" s="36">
        <v>0</v>
      </c>
      <c r="R81" s="36">
        <v>0</v>
      </c>
      <c r="S81" s="36">
        <v>0</v>
      </c>
      <c r="T81" s="36">
        <v>0</v>
      </c>
      <c r="U81" s="36">
        <v>0</v>
      </c>
      <c r="V81" s="36">
        <v>0</v>
      </c>
      <c r="W81" s="36">
        <v>0</v>
      </c>
      <c r="X81" s="36">
        <v>0</v>
      </c>
      <c r="Y81" s="36">
        <v>0</v>
      </c>
      <c r="Z81" s="36">
        <v>0</v>
      </c>
      <c r="AA81" s="36">
        <v>0</v>
      </c>
      <c r="AB81" s="36">
        <v>0</v>
      </c>
      <c r="AC81" s="36">
        <v>0</v>
      </c>
      <c r="AD81" s="36">
        <v>0</v>
      </c>
      <c r="AE81" s="36">
        <v>0</v>
      </c>
      <c r="AF81" s="36">
        <v>0</v>
      </c>
      <c r="AG81" s="36">
        <v>0</v>
      </c>
      <c r="AH81" s="36">
        <v>0</v>
      </c>
      <c r="AI81" s="36">
        <v>0</v>
      </c>
      <c r="AJ81" s="36">
        <v>0</v>
      </c>
      <c r="AK81" s="36">
        <v>0</v>
      </c>
      <c r="AL81" s="36">
        <v>1</v>
      </c>
      <c r="AM81" s="36">
        <v>0</v>
      </c>
      <c r="AN81" s="36">
        <v>0</v>
      </c>
      <c r="AO81" s="36">
        <v>0</v>
      </c>
      <c r="AP81" s="36">
        <v>0</v>
      </c>
      <c r="AQ81" s="36">
        <v>0</v>
      </c>
      <c r="AR81" s="36">
        <v>-1</v>
      </c>
      <c r="AS81" s="36">
        <v>0</v>
      </c>
      <c r="AT81" s="36">
        <v>0</v>
      </c>
      <c r="AU81" s="36">
        <v>0</v>
      </c>
      <c r="AV81" s="36">
        <v>0</v>
      </c>
      <c r="AW81" s="36">
        <v>0</v>
      </c>
      <c r="AX81" s="36">
        <v>0</v>
      </c>
      <c r="AY81" s="36">
        <v>0</v>
      </c>
      <c r="AZ81" s="36">
        <v>0</v>
      </c>
      <c r="BA81" s="36">
        <v>0</v>
      </c>
      <c r="BB81" s="36">
        <v>0</v>
      </c>
      <c r="BC81" s="36">
        <v>0</v>
      </c>
      <c r="BD81" s="36">
        <v>0</v>
      </c>
      <c r="BE81" s="36">
        <v>0</v>
      </c>
      <c r="BF81" s="36">
        <v>0</v>
      </c>
      <c r="BG81" s="36">
        <v>0</v>
      </c>
      <c r="BH81" s="36">
        <v>0</v>
      </c>
      <c r="BI81" s="36">
        <v>0</v>
      </c>
      <c r="BJ81" s="36">
        <v>0</v>
      </c>
      <c r="BK81" s="36">
        <v>0</v>
      </c>
      <c r="BL81" s="36">
        <v>0</v>
      </c>
      <c r="BM81" s="36">
        <v>0</v>
      </c>
      <c r="BN81" s="36">
        <v>0</v>
      </c>
      <c r="BO81" s="36">
        <v>0</v>
      </c>
      <c r="BP81" s="36">
        <v>0</v>
      </c>
      <c r="BQ81" s="36">
        <v>0</v>
      </c>
      <c r="BR81" s="36">
        <v>0</v>
      </c>
      <c r="BS81" s="36">
        <v>0</v>
      </c>
      <c r="BT81" s="36">
        <v>0</v>
      </c>
      <c r="BU81" s="36">
        <v>0</v>
      </c>
      <c r="BV81" s="36">
        <v>0</v>
      </c>
      <c r="BW81" s="36">
        <v>0</v>
      </c>
      <c r="BX81" s="36">
        <v>0</v>
      </c>
      <c r="BY81" s="36">
        <v>0</v>
      </c>
      <c r="BZ81" s="36">
        <v>0</v>
      </c>
      <c r="CA81" s="36">
        <v>1</v>
      </c>
      <c r="CB81" s="36">
        <v>0</v>
      </c>
      <c r="CC81" s="36">
        <v>0</v>
      </c>
      <c r="CD81" s="36">
        <v>0</v>
      </c>
      <c r="CE81" s="36">
        <v>0</v>
      </c>
      <c r="CF81" s="36">
        <v>0</v>
      </c>
      <c r="CG81" s="36">
        <v>0</v>
      </c>
      <c r="CH81" s="36">
        <v>0</v>
      </c>
      <c r="CI81" s="36">
        <v>0</v>
      </c>
      <c r="CJ81" s="36">
        <v>0</v>
      </c>
      <c r="CK81" s="36">
        <v>0</v>
      </c>
      <c r="CL81" s="36">
        <v>0</v>
      </c>
      <c r="CM81" s="36">
        <v>0</v>
      </c>
      <c r="CN81" s="36">
        <v>0</v>
      </c>
      <c r="CO81" s="36">
        <v>0</v>
      </c>
      <c r="CP81" s="36">
        <v>0</v>
      </c>
      <c r="CQ81" s="36">
        <v>0</v>
      </c>
      <c r="CR81" s="36">
        <v>0</v>
      </c>
      <c r="CS81" s="36">
        <v>0</v>
      </c>
      <c r="CT81" s="36">
        <v>0</v>
      </c>
      <c r="CU81" s="36">
        <v>0</v>
      </c>
      <c r="CV81" s="36">
        <v>0</v>
      </c>
      <c r="CW81" s="36">
        <v>0</v>
      </c>
      <c r="CX81" s="36">
        <v>-1</v>
      </c>
      <c r="CY81" s="36">
        <v>0</v>
      </c>
      <c r="CZ81" s="36">
        <v>0</v>
      </c>
      <c r="DA81" s="36">
        <v>0</v>
      </c>
      <c r="DB81" s="36">
        <v>0</v>
      </c>
      <c r="DC81" s="36">
        <v>0</v>
      </c>
      <c r="DD81" s="36">
        <v>0</v>
      </c>
      <c r="DE81" s="36">
        <v>0</v>
      </c>
      <c r="DF81" s="36">
        <v>0</v>
      </c>
      <c r="DG81" s="36">
        <v>0</v>
      </c>
      <c r="DH81" s="36">
        <v>0</v>
      </c>
      <c r="DI81" s="36">
        <v>0</v>
      </c>
      <c r="DJ81" s="36">
        <v>0</v>
      </c>
      <c r="DK81" s="36">
        <v>0</v>
      </c>
      <c r="DL81" s="36">
        <v>0</v>
      </c>
      <c r="DM81" s="36">
        <v>0</v>
      </c>
      <c r="DN81" s="36">
        <v>0</v>
      </c>
      <c r="DO81" s="36">
        <v>0</v>
      </c>
      <c r="DP81" s="36">
        <v>0</v>
      </c>
      <c r="DQ81" s="36">
        <v>0</v>
      </c>
      <c r="DR81" s="36">
        <v>0</v>
      </c>
      <c r="DS81" s="36">
        <v>0</v>
      </c>
      <c r="DT81" s="36">
        <v>0</v>
      </c>
      <c r="DU81" s="36">
        <v>0</v>
      </c>
      <c r="DV81" s="36">
        <v>0</v>
      </c>
      <c r="DW81" s="36">
        <v>0</v>
      </c>
      <c r="DX81" s="36">
        <v>0</v>
      </c>
      <c r="DY81" s="36">
        <v>0</v>
      </c>
      <c r="DZ81" s="36">
        <v>0</v>
      </c>
      <c r="EA81" s="36">
        <v>0</v>
      </c>
      <c r="EB81" s="36">
        <v>0</v>
      </c>
      <c r="EC81" s="36">
        <v>0</v>
      </c>
      <c r="ED81" s="36">
        <v>0</v>
      </c>
      <c r="EE81" s="36">
        <v>0</v>
      </c>
      <c r="EF81" s="36">
        <v>0</v>
      </c>
      <c r="EG81" s="36">
        <v>0</v>
      </c>
      <c r="EH81" s="36">
        <v>0</v>
      </c>
      <c r="EI81" s="36">
        <v>0</v>
      </c>
      <c r="EJ81" s="36">
        <v>0</v>
      </c>
      <c r="EK81" s="36">
        <v>0</v>
      </c>
      <c r="EL81" s="36">
        <v>0</v>
      </c>
      <c r="EM81" s="36">
        <v>0</v>
      </c>
      <c r="EN81" s="36">
        <v>0</v>
      </c>
      <c r="EO81" s="36">
        <v>0</v>
      </c>
      <c r="EP81" s="36">
        <v>0</v>
      </c>
      <c r="ET81" t="s">
        <v>288</v>
      </c>
      <c r="EU81" t="s">
        <v>673</v>
      </c>
      <c r="EV81" s="36">
        <v>0</v>
      </c>
      <c r="EW81" s="36">
        <v>6</v>
      </c>
      <c r="EX81" s="36">
        <v>8</v>
      </c>
      <c r="EY81" s="36">
        <v>0</v>
      </c>
      <c r="EZ81" s="36">
        <v>4</v>
      </c>
      <c r="FA81" s="36">
        <v>0</v>
      </c>
      <c r="FB81" s="36">
        <v>0</v>
      </c>
      <c r="FC81" s="42">
        <f t="shared" si="25"/>
        <v>24</v>
      </c>
      <c r="FE81">
        <f t="shared" si="10"/>
        <v>4</v>
      </c>
      <c r="FF81">
        <f t="shared" si="11"/>
        <v>4</v>
      </c>
      <c r="FG81">
        <f t="shared" si="12"/>
        <v>4</v>
      </c>
      <c r="FM81" s="43">
        <f t="shared" si="14"/>
        <v>0</v>
      </c>
      <c r="FN81" s="43">
        <f t="shared" si="14"/>
        <v>0</v>
      </c>
      <c r="FO81" s="43">
        <f t="shared" si="14"/>
        <v>0</v>
      </c>
      <c r="FP81" s="43">
        <f t="shared" si="13"/>
        <v>0</v>
      </c>
      <c r="FQ81" s="43">
        <f t="shared" si="13"/>
        <v>0</v>
      </c>
      <c r="FR81" s="43">
        <f t="shared" si="13"/>
        <v>0</v>
      </c>
      <c r="FS81" s="43">
        <f t="shared" si="13"/>
        <v>0</v>
      </c>
      <c r="FV81" t="s">
        <v>674</v>
      </c>
      <c r="FW81" t="s">
        <v>675</v>
      </c>
    </row>
    <row r="82" spans="1:179" ht="19.5" customHeight="1" x14ac:dyDescent="0.35">
      <c r="A82" t="s">
        <v>676</v>
      </c>
      <c r="B82" s="36">
        <v>0</v>
      </c>
      <c r="C82" s="36">
        <v>0</v>
      </c>
      <c r="D82" s="36">
        <v>0</v>
      </c>
      <c r="E82" s="36">
        <v>0</v>
      </c>
      <c r="F82" s="36">
        <v>0</v>
      </c>
      <c r="G82" s="36">
        <v>0</v>
      </c>
      <c r="H82" s="36">
        <v>0</v>
      </c>
      <c r="I82" s="36">
        <v>0</v>
      </c>
      <c r="J82" s="36">
        <v>0</v>
      </c>
      <c r="K82" s="36">
        <v>0</v>
      </c>
      <c r="L82" s="36">
        <v>0</v>
      </c>
      <c r="M82" s="36">
        <v>0</v>
      </c>
      <c r="N82" s="36">
        <v>0</v>
      </c>
      <c r="O82" s="36">
        <v>0</v>
      </c>
      <c r="P82" s="36">
        <v>0</v>
      </c>
      <c r="Q82" s="36">
        <v>0</v>
      </c>
      <c r="R82" s="36">
        <v>0</v>
      </c>
      <c r="S82" s="36">
        <v>0</v>
      </c>
      <c r="T82" s="36">
        <v>0</v>
      </c>
      <c r="U82" s="36">
        <v>0</v>
      </c>
      <c r="V82" s="36">
        <v>0</v>
      </c>
      <c r="W82" s="36">
        <v>0</v>
      </c>
      <c r="X82" s="36">
        <v>0</v>
      </c>
      <c r="Y82" s="36">
        <v>0</v>
      </c>
      <c r="Z82" s="36">
        <v>0</v>
      </c>
      <c r="AA82" s="36">
        <v>0</v>
      </c>
      <c r="AB82" s="36">
        <v>0</v>
      </c>
      <c r="AC82" s="36">
        <v>0</v>
      </c>
      <c r="AD82" s="36">
        <v>0</v>
      </c>
      <c r="AE82" s="36">
        <v>0</v>
      </c>
      <c r="AF82" s="36">
        <v>0</v>
      </c>
      <c r="AG82" s="36">
        <v>0</v>
      </c>
      <c r="AH82" s="36">
        <v>0</v>
      </c>
      <c r="AI82" s="36">
        <v>0</v>
      </c>
      <c r="AJ82" s="36">
        <v>0</v>
      </c>
      <c r="AK82" s="36">
        <v>0</v>
      </c>
      <c r="AL82" s="36">
        <v>0</v>
      </c>
      <c r="AM82" s="36">
        <v>0</v>
      </c>
      <c r="AN82" s="36">
        <v>0</v>
      </c>
      <c r="AO82" s="36">
        <v>0</v>
      </c>
      <c r="AP82" s="36">
        <v>0</v>
      </c>
      <c r="AQ82" s="36">
        <v>0</v>
      </c>
      <c r="AR82" s="36">
        <v>0</v>
      </c>
      <c r="AS82" s="36">
        <v>0</v>
      </c>
      <c r="AT82" s="36">
        <v>0</v>
      </c>
      <c r="AU82" s="36">
        <v>0</v>
      </c>
      <c r="AV82" s="36">
        <v>0</v>
      </c>
      <c r="AW82" s="36">
        <v>0</v>
      </c>
      <c r="AX82" s="36">
        <v>0</v>
      </c>
      <c r="AY82" s="36">
        <v>0</v>
      </c>
      <c r="AZ82" s="36">
        <v>0</v>
      </c>
      <c r="BA82" s="36">
        <v>0</v>
      </c>
      <c r="BB82" s="36">
        <v>0</v>
      </c>
      <c r="BC82" s="36">
        <v>0</v>
      </c>
      <c r="BD82" s="36">
        <v>0</v>
      </c>
      <c r="BE82" s="36">
        <v>0</v>
      </c>
      <c r="BF82" s="36">
        <v>0</v>
      </c>
      <c r="BG82" s="36">
        <v>0</v>
      </c>
      <c r="BH82" s="36">
        <v>0</v>
      </c>
      <c r="BI82" s="36">
        <v>0</v>
      </c>
      <c r="BJ82" s="36">
        <v>0</v>
      </c>
      <c r="BK82" s="36">
        <v>0</v>
      </c>
      <c r="BL82" s="36">
        <v>0</v>
      </c>
      <c r="BM82" s="36">
        <v>0</v>
      </c>
      <c r="BN82" s="36">
        <v>0</v>
      </c>
      <c r="BO82" s="36">
        <v>0</v>
      </c>
      <c r="BP82" s="36">
        <v>0</v>
      </c>
      <c r="BQ82" s="36">
        <v>0</v>
      </c>
      <c r="BR82" s="36">
        <v>0</v>
      </c>
      <c r="BS82" s="36">
        <v>0</v>
      </c>
      <c r="BT82" s="36">
        <v>0</v>
      </c>
      <c r="BU82" s="36">
        <v>0</v>
      </c>
      <c r="BV82" s="36">
        <v>0</v>
      </c>
      <c r="BW82" s="36">
        <v>0</v>
      </c>
      <c r="BX82" s="36">
        <v>0</v>
      </c>
      <c r="BY82" s="36">
        <v>0</v>
      </c>
      <c r="BZ82" s="36">
        <v>0</v>
      </c>
      <c r="CA82" s="36">
        <v>-1</v>
      </c>
      <c r="CB82" s="36">
        <v>0</v>
      </c>
      <c r="CC82" s="36">
        <v>0</v>
      </c>
      <c r="CD82" s="36">
        <v>0</v>
      </c>
      <c r="CE82" s="36">
        <v>0</v>
      </c>
      <c r="CF82" s="36">
        <v>0</v>
      </c>
      <c r="CG82" s="36">
        <v>0</v>
      </c>
      <c r="CH82" s="36">
        <v>0</v>
      </c>
      <c r="CI82" s="36">
        <v>0</v>
      </c>
      <c r="CJ82" s="36">
        <v>0</v>
      </c>
      <c r="CK82" s="36">
        <v>0</v>
      </c>
      <c r="CL82" s="36">
        <v>-1</v>
      </c>
      <c r="CM82" s="36">
        <v>0</v>
      </c>
      <c r="CN82" s="36">
        <v>0</v>
      </c>
      <c r="CO82" s="36">
        <v>0</v>
      </c>
      <c r="CP82" s="36">
        <v>0</v>
      </c>
      <c r="CQ82" s="36">
        <v>0</v>
      </c>
      <c r="CR82" s="36">
        <v>0</v>
      </c>
      <c r="CS82" s="36">
        <v>0</v>
      </c>
      <c r="CT82" s="36">
        <v>0</v>
      </c>
      <c r="CU82" s="36">
        <v>0</v>
      </c>
      <c r="CV82" s="36">
        <v>0</v>
      </c>
      <c r="CW82" s="36">
        <v>0</v>
      </c>
      <c r="CX82" s="36">
        <v>0</v>
      </c>
      <c r="CY82" s="36">
        <v>1</v>
      </c>
      <c r="CZ82" s="36">
        <v>0</v>
      </c>
      <c r="DA82" s="36">
        <v>0</v>
      </c>
      <c r="DB82" s="36">
        <v>0</v>
      </c>
      <c r="DC82" s="36">
        <v>0</v>
      </c>
      <c r="DD82" s="36">
        <v>0</v>
      </c>
      <c r="DE82" s="36">
        <v>0</v>
      </c>
      <c r="DF82" s="36">
        <v>0</v>
      </c>
      <c r="DG82" s="36">
        <v>0</v>
      </c>
      <c r="DH82" s="36">
        <v>0</v>
      </c>
      <c r="DI82" s="36">
        <v>0</v>
      </c>
      <c r="DJ82" s="36">
        <v>0</v>
      </c>
      <c r="DK82" s="36">
        <v>0</v>
      </c>
      <c r="DL82" s="36">
        <v>0</v>
      </c>
      <c r="DM82" s="36">
        <v>1</v>
      </c>
      <c r="DN82" s="36">
        <v>-1</v>
      </c>
      <c r="DO82" s="36">
        <v>0</v>
      </c>
      <c r="DP82" s="36">
        <v>0</v>
      </c>
      <c r="DQ82" s="36">
        <v>0</v>
      </c>
      <c r="DR82" s="36">
        <v>0</v>
      </c>
      <c r="DS82" s="36">
        <v>0</v>
      </c>
      <c r="DT82" s="36">
        <v>0</v>
      </c>
      <c r="DU82" s="36">
        <v>0</v>
      </c>
      <c r="DV82" s="36">
        <v>0</v>
      </c>
      <c r="DW82" s="36">
        <v>0</v>
      </c>
      <c r="DX82" s="36">
        <v>1</v>
      </c>
      <c r="DY82" s="36">
        <v>0</v>
      </c>
      <c r="DZ82" s="36">
        <v>0</v>
      </c>
      <c r="EA82" s="36">
        <v>0</v>
      </c>
      <c r="EB82" s="36">
        <v>0</v>
      </c>
      <c r="EC82" s="36">
        <v>0</v>
      </c>
      <c r="ED82" s="36">
        <v>0</v>
      </c>
      <c r="EE82" s="36">
        <v>0</v>
      </c>
      <c r="EF82" s="36">
        <v>0</v>
      </c>
      <c r="EG82" s="36">
        <v>0</v>
      </c>
      <c r="EH82" s="36">
        <v>0</v>
      </c>
      <c r="EI82" s="36">
        <v>0</v>
      </c>
      <c r="EJ82" s="36">
        <v>0</v>
      </c>
      <c r="EK82" s="36">
        <v>0</v>
      </c>
      <c r="EL82" s="36">
        <v>0</v>
      </c>
      <c r="EM82" s="36">
        <v>0</v>
      </c>
      <c r="EN82" s="36">
        <v>0</v>
      </c>
      <c r="EO82" s="36">
        <v>0</v>
      </c>
      <c r="EP82" s="36">
        <v>0</v>
      </c>
      <c r="ET82" t="s">
        <v>289</v>
      </c>
      <c r="EU82" t="s">
        <v>673</v>
      </c>
      <c r="EV82" s="36">
        <v>0</v>
      </c>
      <c r="EW82" s="36">
        <v>6</v>
      </c>
      <c r="EX82" s="36">
        <v>8</v>
      </c>
      <c r="EY82" s="36">
        <v>0</v>
      </c>
      <c r="EZ82" s="36">
        <v>4</v>
      </c>
      <c r="FA82" s="36">
        <v>0</v>
      </c>
      <c r="FB82" s="36">
        <v>0</v>
      </c>
      <c r="FC82" s="42">
        <f t="shared" si="25"/>
        <v>24</v>
      </c>
      <c r="FE82">
        <f t="shared" si="10"/>
        <v>4</v>
      </c>
      <c r="FF82">
        <f t="shared" si="11"/>
        <v>4</v>
      </c>
      <c r="FG82">
        <f t="shared" si="12"/>
        <v>4</v>
      </c>
      <c r="FM82" s="43">
        <f t="shared" si="14"/>
        <v>0</v>
      </c>
      <c r="FN82" s="43">
        <f t="shared" si="14"/>
        <v>0</v>
      </c>
      <c r="FO82" s="43">
        <f t="shared" si="14"/>
        <v>0</v>
      </c>
      <c r="FP82" s="43">
        <f t="shared" si="13"/>
        <v>0</v>
      </c>
      <c r="FQ82" s="43">
        <f t="shared" si="13"/>
        <v>0</v>
      </c>
      <c r="FR82" s="43">
        <f t="shared" si="13"/>
        <v>0</v>
      </c>
      <c r="FS82" s="43">
        <f t="shared" si="13"/>
        <v>0</v>
      </c>
      <c r="FV82" t="s">
        <v>677</v>
      </c>
      <c r="FW82" t="s">
        <v>678</v>
      </c>
    </row>
    <row r="83" spans="1:179" ht="19.5" customHeight="1" x14ac:dyDescent="0.35">
      <c r="A83" t="s">
        <v>679</v>
      </c>
      <c r="B83" s="36">
        <v>1</v>
      </c>
      <c r="C83" s="36">
        <v>0</v>
      </c>
      <c r="D83" s="36">
        <v>0</v>
      </c>
      <c r="E83" s="36">
        <v>0</v>
      </c>
      <c r="F83" s="36">
        <v>0</v>
      </c>
      <c r="G83" s="36">
        <v>0</v>
      </c>
      <c r="H83" s="36">
        <v>0</v>
      </c>
      <c r="I83" s="36">
        <v>0</v>
      </c>
      <c r="J83" s="36">
        <v>0</v>
      </c>
      <c r="K83" s="36">
        <v>0</v>
      </c>
      <c r="L83" s="36">
        <v>0</v>
      </c>
      <c r="M83" s="36">
        <v>0</v>
      </c>
      <c r="N83" s="36">
        <v>0</v>
      </c>
      <c r="O83" s="36">
        <v>0</v>
      </c>
      <c r="P83" s="36">
        <v>0</v>
      </c>
      <c r="Q83" s="36">
        <v>1</v>
      </c>
      <c r="R83" s="36">
        <v>0</v>
      </c>
      <c r="S83" s="36">
        <v>0</v>
      </c>
      <c r="T83" s="36">
        <v>0</v>
      </c>
      <c r="U83" s="36">
        <v>0</v>
      </c>
      <c r="V83" s="36">
        <v>0</v>
      </c>
      <c r="W83" s="36">
        <v>0</v>
      </c>
      <c r="X83" s="36">
        <v>0</v>
      </c>
      <c r="Y83" s="36">
        <v>0</v>
      </c>
      <c r="Z83" s="36">
        <v>0</v>
      </c>
      <c r="AA83" s="36">
        <v>0</v>
      </c>
      <c r="AB83" s="36">
        <v>0</v>
      </c>
      <c r="AC83" s="36">
        <v>0</v>
      </c>
      <c r="AD83" s="36">
        <v>0</v>
      </c>
      <c r="AE83" s="36">
        <v>0</v>
      </c>
      <c r="AF83" s="36">
        <v>0</v>
      </c>
      <c r="AG83" s="36">
        <v>0</v>
      </c>
      <c r="AH83" s="36">
        <v>0</v>
      </c>
      <c r="AI83" s="36">
        <v>0</v>
      </c>
      <c r="AJ83" s="36">
        <v>0</v>
      </c>
      <c r="AK83" s="36">
        <v>0</v>
      </c>
      <c r="AL83" s="36">
        <v>0</v>
      </c>
      <c r="AM83" s="36">
        <v>0</v>
      </c>
      <c r="AN83" s="36">
        <v>0</v>
      </c>
      <c r="AO83" s="36">
        <v>0</v>
      </c>
      <c r="AP83" s="36">
        <v>0</v>
      </c>
      <c r="AQ83" s="36">
        <v>0</v>
      </c>
      <c r="AR83" s="36">
        <v>0</v>
      </c>
      <c r="AS83" s="36">
        <v>0</v>
      </c>
      <c r="AT83" s="36">
        <v>0</v>
      </c>
      <c r="AU83" s="36">
        <v>0</v>
      </c>
      <c r="AV83" s="36">
        <v>0</v>
      </c>
      <c r="AW83" s="36">
        <v>0</v>
      </c>
      <c r="AX83" s="36">
        <v>0</v>
      </c>
      <c r="AY83" s="36">
        <v>0</v>
      </c>
      <c r="AZ83" s="36">
        <v>0</v>
      </c>
      <c r="BA83" s="36">
        <v>0</v>
      </c>
      <c r="BB83" s="36">
        <v>0</v>
      </c>
      <c r="BC83" s="36">
        <v>0</v>
      </c>
      <c r="BD83" s="36">
        <v>0</v>
      </c>
      <c r="BE83" s="36">
        <v>0</v>
      </c>
      <c r="BF83" s="36">
        <v>0</v>
      </c>
      <c r="BG83" s="36">
        <v>0</v>
      </c>
      <c r="BH83" s="36">
        <v>0</v>
      </c>
      <c r="BI83" s="36">
        <v>0</v>
      </c>
      <c r="BJ83" s="36">
        <v>0</v>
      </c>
      <c r="BK83" s="36">
        <v>0</v>
      </c>
      <c r="BL83" s="36">
        <v>0</v>
      </c>
      <c r="BM83" s="36">
        <v>0</v>
      </c>
      <c r="BN83" s="36">
        <v>0</v>
      </c>
      <c r="BO83" s="36">
        <v>0</v>
      </c>
      <c r="BP83" s="36">
        <v>0</v>
      </c>
      <c r="BQ83" s="36">
        <v>0</v>
      </c>
      <c r="BR83" s="36">
        <v>0</v>
      </c>
      <c r="BS83" s="36">
        <v>0</v>
      </c>
      <c r="BT83" s="36">
        <v>0</v>
      </c>
      <c r="BU83" s="36">
        <v>0</v>
      </c>
      <c r="BV83" s="36">
        <v>0</v>
      </c>
      <c r="BW83" s="36">
        <v>0</v>
      </c>
      <c r="BX83" s="36">
        <v>0</v>
      </c>
      <c r="BY83" s="36">
        <v>0</v>
      </c>
      <c r="BZ83" s="36">
        <v>0</v>
      </c>
      <c r="CA83" s="36">
        <v>0</v>
      </c>
      <c r="CB83" s="36">
        <v>0</v>
      </c>
      <c r="CC83" s="36">
        <v>0</v>
      </c>
      <c r="CD83" s="36">
        <v>0</v>
      </c>
      <c r="CE83" s="36">
        <v>0</v>
      </c>
      <c r="CF83" s="36">
        <v>0</v>
      </c>
      <c r="CG83" s="36">
        <v>0</v>
      </c>
      <c r="CH83" s="36">
        <v>0</v>
      </c>
      <c r="CI83" s="36">
        <v>0</v>
      </c>
      <c r="CJ83" s="36">
        <v>0</v>
      </c>
      <c r="CK83" s="36">
        <v>0</v>
      </c>
      <c r="CL83" s="36">
        <v>0</v>
      </c>
      <c r="CM83" s="36">
        <v>0</v>
      </c>
      <c r="CN83" s="36">
        <v>0</v>
      </c>
      <c r="CO83" s="36">
        <v>0</v>
      </c>
      <c r="CP83" s="36">
        <v>0</v>
      </c>
      <c r="CQ83" s="36">
        <v>0</v>
      </c>
      <c r="CR83" s="36">
        <v>0</v>
      </c>
      <c r="CS83" s="36">
        <v>0</v>
      </c>
      <c r="CT83" s="36">
        <v>0</v>
      </c>
      <c r="CU83" s="36">
        <v>0</v>
      </c>
      <c r="CV83" s="36">
        <v>0</v>
      </c>
      <c r="CW83" s="36">
        <v>0</v>
      </c>
      <c r="CX83" s="36">
        <v>-1</v>
      </c>
      <c r="CY83" s="36">
        <v>-1</v>
      </c>
      <c r="CZ83" s="36">
        <v>0</v>
      </c>
      <c r="DA83" s="36">
        <v>1</v>
      </c>
      <c r="DB83" s="36">
        <v>0</v>
      </c>
      <c r="DC83" s="36">
        <v>0</v>
      </c>
      <c r="DD83" s="36">
        <v>0</v>
      </c>
      <c r="DE83" s="36">
        <v>0</v>
      </c>
      <c r="DF83" s="36">
        <v>0</v>
      </c>
      <c r="DG83" s="36">
        <v>0</v>
      </c>
      <c r="DH83" s="36">
        <v>0</v>
      </c>
      <c r="DI83" s="36">
        <v>0</v>
      </c>
      <c r="DJ83" s="36">
        <v>0</v>
      </c>
      <c r="DK83" s="36">
        <v>0</v>
      </c>
      <c r="DL83" s="36">
        <v>0</v>
      </c>
      <c r="DM83" s="36">
        <v>0</v>
      </c>
      <c r="DN83" s="36">
        <v>0</v>
      </c>
      <c r="DO83" s="36">
        <v>0</v>
      </c>
      <c r="DP83" s="36">
        <v>0</v>
      </c>
      <c r="DQ83" s="36">
        <v>0</v>
      </c>
      <c r="DR83" s="36">
        <v>0</v>
      </c>
      <c r="DS83" s="36">
        <v>0</v>
      </c>
      <c r="DT83" s="36">
        <v>0</v>
      </c>
      <c r="DU83" s="36">
        <v>0</v>
      </c>
      <c r="DV83" s="36">
        <v>0</v>
      </c>
      <c r="DW83" s="36">
        <v>0</v>
      </c>
      <c r="DX83" s="36">
        <v>0</v>
      </c>
      <c r="DY83" s="36">
        <v>0</v>
      </c>
      <c r="DZ83" s="36">
        <v>0</v>
      </c>
      <c r="EA83" s="36">
        <v>0</v>
      </c>
      <c r="EB83" s="36">
        <v>0</v>
      </c>
      <c r="EC83" s="36">
        <v>0</v>
      </c>
      <c r="ED83" s="36">
        <v>0</v>
      </c>
      <c r="EE83" s="36">
        <v>0</v>
      </c>
      <c r="EF83" s="36">
        <v>0</v>
      </c>
      <c r="EG83" s="36">
        <v>0</v>
      </c>
      <c r="EH83" s="36">
        <v>0</v>
      </c>
      <c r="EI83" s="36">
        <v>0</v>
      </c>
      <c r="EJ83" s="36">
        <v>0</v>
      </c>
      <c r="EK83" s="36">
        <v>0</v>
      </c>
      <c r="EL83" s="36">
        <v>0</v>
      </c>
      <c r="EM83" s="36">
        <v>0</v>
      </c>
      <c r="EN83" s="36">
        <v>0</v>
      </c>
      <c r="EO83" s="36">
        <v>0</v>
      </c>
      <c r="EP83" s="36">
        <v>0</v>
      </c>
      <c r="ET83" t="s">
        <v>175</v>
      </c>
      <c r="EU83" t="s">
        <v>673</v>
      </c>
      <c r="EV83" s="36">
        <v>0</v>
      </c>
      <c r="EW83" s="36">
        <v>6</v>
      </c>
      <c r="EX83" s="36">
        <v>8</v>
      </c>
      <c r="EY83" s="36">
        <v>0</v>
      </c>
      <c r="EZ83" s="36">
        <v>4</v>
      </c>
      <c r="FA83" s="36">
        <v>0</v>
      </c>
      <c r="FB83" s="36">
        <v>0</v>
      </c>
      <c r="FC83" s="42">
        <f t="shared" si="25"/>
        <v>24</v>
      </c>
      <c r="FE83">
        <f t="shared" si="10"/>
        <v>4</v>
      </c>
      <c r="FF83">
        <f t="shared" si="11"/>
        <v>4</v>
      </c>
      <c r="FG83">
        <f t="shared" si="12"/>
        <v>4</v>
      </c>
      <c r="FM83" s="43">
        <f t="shared" si="14"/>
        <v>0</v>
      </c>
      <c r="FN83" s="43">
        <f t="shared" si="14"/>
        <v>0</v>
      </c>
      <c r="FO83" s="43">
        <f t="shared" si="14"/>
        <v>0</v>
      </c>
      <c r="FP83" s="43">
        <f t="shared" si="13"/>
        <v>0</v>
      </c>
      <c r="FQ83" s="43">
        <f t="shared" si="13"/>
        <v>0</v>
      </c>
      <c r="FR83" s="43">
        <f t="shared" si="13"/>
        <v>0</v>
      </c>
      <c r="FS83" s="43">
        <f t="shared" si="13"/>
        <v>0</v>
      </c>
      <c r="FV83" t="s">
        <v>680</v>
      </c>
      <c r="FW83" t="s">
        <v>681</v>
      </c>
    </row>
    <row r="84" spans="1:179" ht="19.5" customHeight="1" x14ac:dyDescent="0.35">
      <c r="A84" t="s">
        <v>682</v>
      </c>
      <c r="B84" s="36">
        <v>0</v>
      </c>
      <c r="C84" s="36">
        <v>0</v>
      </c>
      <c r="D84" s="36">
        <v>0</v>
      </c>
      <c r="E84" s="36">
        <v>0</v>
      </c>
      <c r="F84" s="36">
        <v>0</v>
      </c>
      <c r="G84" s="36">
        <v>0</v>
      </c>
      <c r="H84" s="36">
        <v>0</v>
      </c>
      <c r="I84" s="36">
        <v>0</v>
      </c>
      <c r="J84" s="36">
        <v>0</v>
      </c>
      <c r="K84" s="36">
        <v>0</v>
      </c>
      <c r="L84" s="36">
        <v>0</v>
      </c>
      <c r="M84" s="36">
        <v>0</v>
      </c>
      <c r="N84" s="36">
        <v>0</v>
      </c>
      <c r="O84" s="36">
        <v>0</v>
      </c>
      <c r="P84" s="36">
        <v>0</v>
      </c>
      <c r="Q84" s="36">
        <v>0</v>
      </c>
      <c r="R84" s="36">
        <v>0</v>
      </c>
      <c r="S84" s="36">
        <v>0</v>
      </c>
      <c r="T84" s="36">
        <v>0</v>
      </c>
      <c r="U84" s="36">
        <v>0</v>
      </c>
      <c r="V84" s="36">
        <v>0</v>
      </c>
      <c r="W84" s="36">
        <v>0</v>
      </c>
      <c r="X84" s="36">
        <v>0</v>
      </c>
      <c r="Y84" s="36">
        <v>0</v>
      </c>
      <c r="Z84" s="36">
        <v>0</v>
      </c>
      <c r="AA84" s="36">
        <v>0</v>
      </c>
      <c r="AB84" s="36">
        <v>0</v>
      </c>
      <c r="AC84" s="36">
        <v>0</v>
      </c>
      <c r="AD84" s="36">
        <v>0</v>
      </c>
      <c r="AE84" s="36">
        <v>0</v>
      </c>
      <c r="AF84" s="36">
        <v>0</v>
      </c>
      <c r="AG84" s="36">
        <v>0</v>
      </c>
      <c r="AH84" s="36">
        <v>0</v>
      </c>
      <c r="AI84" s="36">
        <v>0</v>
      </c>
      <c r="AJ84" s="36">
        <v>0</v>
      </c>
      <c r="AK84" s="36">
        <v>0</v>
      </c>
      <c r="AL84" s="36">
        <v>0</v>
      </c>
      <c r="AM84" s="36">
        <v>0</v>
      </c>
      <c r="AN84" s="36">
        <v>0</v>
      </c>
      <c r="AO84" s="36">
        <v>0</v>
      </c>
      <c r="AP84" s="36">
        <v>0</v>
      </c>
      <c r="AQ84" s="36">
        <v>0</v>
      </c>
      <c r="AR84" s="36">
        <v>0</v>
      </c>
      <c r="AS84" s="36">
        <v>0</v>
      </c>
      <c r="AT84" s="36">
        <v>0</v>
      </c>
      <c r="AU84" s="36">
        <v>0</v>
      </c>
      <c r="AV84" s="36">
        <v>0</v>
      </c>
      <c r="AW84" s="36">
        <v>0</v>
      </c>
      <c r="AX84" s="36">
        <v>0</v>
      </c>
      <c r="AY84" s="36">
        <v>1</v>
      </c>
      <c r="AZ84" s="36">
        <v>0</v>
      </c>
      <c r="BA84" s="36">
        <v>0</v>
      </c>
      <c r="BB84" s="36">
        <v>0</v>
      </c>
      <c r="BC84" s="36">
        <v>0</v>
      </c>
      <c r="BD84" s="36">
        <v>0</v>
      </c>
      <c r="BE84" s="36">
        <v>0</v>
      </c>
      <c r="BF84" s="36">
        <v>0</v>
      </c>
      <c r="BG84" s="36">
        <v>0</v>
      </c>
      <c r="BH84" s="36">
        <v>0</v>
      </c>
      <c r="BI84" s="36">
        <v>0</v>
      </c>
      <c r="BJ84" s="36">
        <v>0</v>
      </c>
      <c r="BK84" s="36">
        <v>0</v>
      </c>
      <c r="BL84" s="36">
        <v>0</v>
      </c>
      <c r="BM84" s="36">
        <v>0</v>
      </c>
      <c r="BN84" s="36">
        <v>0</v>
      </c>
      <c r="BO84" s="36">
        <v>0</v>
      </c>
      <c r="BP84" s="36">
        <v>0</v>
      </c>
      <c r="BQ84" s="36">
        <v>0</v>
      </c>
      <c r="BR84" s="36">
        <v>0</v>
      </c>
      <c r="BS84" s="36">
        <v>0</v>
      </c>
      <c r="BT84" s="36">
        <v>0</v>
      </c>
      <c r="BU84" s="36">
        <v>0</v>
      </c>
      <c r="BV84" s="36">
        <v>0</v>
      </c>
      <c r="BW84" s="36">
        <v>0</v>
      </c>
      <c r="BX84" s="36">
        <v>0</v>
      </c>
      <c r="BY84" s="36">
        <v>0</v>
      </c>
      <c r="BZ84" s="36">
        <v>0</v>
      </c>
      <c r="CA84" s="36">
        <v>0</v>
      </c>
      <c r="CB84" s="36">
        <v>0</v>
      </c>
      <c r="CC84" s="36">
        <v>0</v>
      </c>
      <c r="CD84" s="36">
        <v>0</v>
      </c>
      <c r="CE84" s="36">
        <v>0</v>
      </c>
      <c r="CF84" s="36">
        <v>0</v>
      </c>
      <c r="CG84" s="36">
        <v>0</v>
      </c>
      <c r="CH84" s="36">
        <v>0</v>
      </c>
      <c r="CI84" s="36">
        <v>0</v>
      </c>
      <c r="CJ84" s="36">
        <v>0</v>
      </c>
      <c r="CK84" s="36">
        <v>0</v>
      </c>
      <c r="CL84" s="36">
        <v>-1</v>
      </c>
      <c r="CM84" s="36">
        <v>0</v>
      </c>
      <c r="CN84" s="36">
        <v>0</v>
      </c>
      <c r="CO84" s="36">
        <v>0</v>
      </c>
      <c r="CP84" s="36">
        <v>0</v>
      </c>
      <c r="CQ84" s="36">
        <v>0</v>
      </c>
      <c r="CR84" s="36">
        <v>0</v>
      </c>
      <c r="CS84" s="36">
        <v>0</v>
      </c>
      <c r="CT84" s="36">
        <v>0</v>
      </c>
      <c r="CU84" s="36">
        <v>0</v>
      </c>
      <c r="CV84" s="36">
        <v>0</v>
      </c>
      <c r="CW84" s="36">
        <v>0</v>
      </c>
      <c r="CX84" s="36">
        <v>0</v>
      </c>
      <c r="CY84" s="36">
        <v>0</v>
      </c>
      <c r="CZ84" s="36">
        <v>0</v>
      </c>
      <c r="DA84" s="36">
        <v>-1</v>
      </c>
      <c r="DB84" s="36">
        <v>0</v>
      </c>
      <c r="DC84" s="36">
        <v>0</v>
      </c>
      <c r="DD84" s="36">
        <v>0</v>
      </c>
      <c r="DE84" s="36">
        <v>0</v>
      </c>
      <c r="DF84" s="36">
        <v>0</v>
      </c>
      <c r="DG84" s="36">
        <v>0</v>
      </c>
      <c r="DH84" s="36">
        <v>0</v>
      </c>
      <c r="DI84" s="36">
        <v>0</v>
      </c>
      <c r="DJ84" s="36">
        <v>0</v>
      </c>
      <c r="DK84" s="36">
        <v>0</v>
      </c>
      <c r="DL84" s="36">
        <v>0</v>
      </c>
      <c r="DM84" s="36">
        <v>0</v>
      </c>
      <c r="DN84" s="36">
        <v>0</v>
      </c>
      <c r="DO84" s="36">
        <v>0</v>
      </c>
      <c r="DP84" s="36">
        <v>0</v>
      </c>
      <c r="DQ84" s="36">
        <v>0</v>
      </c>
      <c r="DR84" s="36">
        <v>0</v>
      </c>
      <c r="DS84" s="36">
        <v>0</v>
      </c>
      <c r="DT84" s="36">
        <v>0</v>
      </c>
      <c r="DU84" s="36">
        <v>0</v>
      </c>
      <c r="DV84" s="36">
        <v>0</v>
      </c>
      <c r="DW84" s="36">
        <v>0</v>
      </c>
      <c r="DX84" s="36">
        <v>0</v>
      </c>
      <c r="DY84" s="36">
        <v>0</v>
      </c>
      <c r="DZ84" s="36">
        <v>0</v>
      </c>
      <c r="EA84" s="36">
        <v>0</v>
      </c>
      <c r="EB84" s="36">
        <v>0</v>
      </c>
      <c r="EC84" s="36">
        <v>0</v>
      </c>
      <c r="ED84" s="36">
        <v>0</v>
      </c>
      <c r="EE84" s="36">
        <v>0</v>
      </c>
      <c r="EF84" s="36">
        <v>1</v>
      </c>
      <c r="EG84" s="36">
        <v>0</v>
      </c>
      <c r="EH84" s="36">
        <v>0</v>
      </c>
      <c r="EI84" s="36">
        <v>0</v>
      </c>
      <c r="EJ84" s="36">
        <v>0</v>
      </c>
      <c r="EK84" s="36">
        <v>0</v>
      </c>
      <c r="EL84" s="36">
        <v>0</v>
      </c>
      <c r="EM84" s="36">
        <v>0</v>
      </c>
      <c r="EN84" s="36">
        <v>0</v>
      </c>
      <c r="EO84" s="36">
        <v>0</v>
      </c>
      <c r="EP84" s="36">
        <v>0</v>
      </c>
      <c r="ET84" t="s">
        <v>290</v>
      </c>
      <c r="EU84" t="s">
        <v>673</v>
      </c>
      <c r="EV84" s="36">
        <v>0</v>
      </c>
      <c r="EW84" s="36">
        <v>6</v>
      </c>
      <c r="EX84" s="36">
        <v>8</v>
      </c>
      <c r="EY84" s="36">
        <v>0</v>
      </c>
      <c r="EZ84" s="36">
        <v>4</v>
      </c>
      <c r="FA84" s="36">
        <v>0</v>
      </c>
      <c r="FB84" s="36">
        <v>0</v>
      </c>
      <c r="FC84" s="42">
        <f t="shared" si="25"/>
        <v>24</v>
      </c>
      <c r="FE84">
        <f t="shared" si="10"/>
        <v>4</v>
      </c>
      <c r="FF84">
        <f t="shared" si="11"/>
        <v>4</v>
      </c>
      <c r="FG84">
        <f t="shared" si="12"/>
        <v>4</v>
      </c>
      <c r="FM84" s="43">
        <f t="shared" si="14"/>
        <v>0</v>
      </c>
      <c r="FN84" s="43">
        <f t="shared" si="14"/>
        <v>0</v>
      </c>
      <c r="FO84" s="43">
        <f t="shared" si="14"/>
        <v>0</v>
      </c>
      <c r="FP84" s="43">
        <f t="shared" si="13"/>
        <v>0</v>
      </c>
      <c r="FQ84" s="43">
        <f t="shared" si="13"/>
        <v>0</v>
      </c>
      <c r="FR84" s="43">
        <f t="shared" si="13"/>
        <v>0</v>
      </c>
      <c r="FS84" s="43">
        <f t="shared" si="13"/>
        <v>0</v>
      </c>
      <c r="FV84" t="s">
        <v>683</v>
      </c>
      <c r="FW84" t="s">
        <v>684</v>
      </c>
    </row>
    <row r="85" spans="1:179" ht="19.5" customHeight="1" x14ac:dyDescent="0.35">
      <c r="A85" t="s">
        <v>685</v>
      </c>
      <c r="B85" s="36">
        <v>1</v>
      </c>
      <c r="C85" s="36">
        <v>0</v>
      </c>
      <c r="D85" s="36">
        <v>0</v>
      </c>
      <c r="E85" s="36">
        <v>0</v>
      </c>
      <c r="F85" s="36">
        <v>0</v>
      </c>
      <c r="G85" s="36">
        <v>0</v>
      </c>
      <c r="H85" s="36">
        <v>0</v>
      </c>
      <c r="I85" s="36">
        <v>0</v>
      </c>
      <c r="J85" s="36">
        <v>0</v>
      </c>
      <c r="K85" s="36">
        <v>0</v>
      </c>
      <c r="L85" s="36">
        <v>0</v>
      </c>
      <c r="M85" s="36">
        <v>0</v>
      </c>
      <c r="N85" s="36">
        <v>0</v>
      </c>
      <c r="O85" s="36">
        <v>0</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0</v>
      </c>
      <c r="BD85" s="36">
        <v>0</v>
      </c>
      <c r="BE85" s="36">
        <v>0</v>
      </c>
      <c r="BF85" s="36">
        <v>0</v>
      </c>
      <c r="BG85" s="36">
        <v>0</v>
      </c>
      <c r="BH85" s="36">
        <v>0</v>
      </c>
      <c r="BI85" s="36">
        <v>0</v>
      </c>
      <c r="BJ85" s="36">
        <v>0</v>
      </c>
      <c r="BK85" s="36">
        <v>0</v>
      </c>
      <c r="BL85" s="36">
        <v>0</v>
      </c>
      <c r="BM85" s="36">
        <v>0</v>
      </c>
      <c r="BN85" s="36">
        <v>0</v>
      </c>
      <c r="BO85" s="36">
        <v>0</v>
      </c>
      <c r="BP85" s="36">
        <v>0</v>
      </c>
      <c r="BQ85" s="36">
        <v>0</v>
      </c>
      <c r="BR85" s="36">
        <v>0</v>
      </c>
      <c r="BS85" s="36">
        <v>0</v>
      </c>
      <c r="BT85" s="36">
        <v>0</v>
      </c>
      <c r="BU85" s="36">
        <v>0</v>
      </c>
      <c r="BV85" s="36">
        <v>0</v>
      </c>
      <c r="BW85" s="36">
        <v>0</v>
      </c>
      <c r="BX85" s="36">
        <v>0</v>
      </c>
      <c r="BY85" s="36">
        <v>0</v>
      </c>
      <c r="BZ85" s="36">
        <v>0</v>
      </c>
      <c r="CA85" s="36">
        <v>0</v>
      </c>
      <c r="CB85" s="36">
        <v>0</v>
      </c>
      <c r="CC85" s="36">
        <v>0</v>
      </c>
      <c r="CD85" s="36">
        <v>0</v>
      </c>
      <c r="CE85" s="36">
        <v>0</v>
      </c>
      <c r="CF85" s="36">
        <v>0</v>
      </c>
      <c r="CG85" s="36">
        <v>0</v>
      </c>
      <c r="CH85" s="36">
        <v>0</v>
      </c>
      <c r="CI85" s="36">
        <v>0</v>
      </c>
      <c r="CJ85" s="36">
        <v>0</v>
      </c>
      <c r="CK85" s="36">
        <v>4</v>
      </c>
      <c r="CL85" s="36">
        <v>-5</v>
      </c>
      <c r="CM85" s="36">
        <v>0</v>
      </c>
      <c r="CN85" s="36">
        <v>0</v>
      </c>
      <c r="CO85" s="36">
        <v>0</v>
      </c>
      <c r="CP85" s="36">
        <v>0</v>
      </c>
      <c r="CQ85" s="36">
        <v>0</v>
      </c>
      <c r="CR85" s="36">
        <v>0</v>
      </c>
      <c r="CS85" s="36">
        <v>0</v>
      </c>
      <c r="CT85" s="36">
        <v>0</v>
      </c>
      <c r="CU85" s="36">
        <v>0</v>
      </c>
      <c r="CV85" s="36">
        <v>0</v>
      </c>
      <c r="CW85" s="36">
        <v>0</v>
      </c>
      <c r="CX85" s="36">
        <v>0</v>
      </c>
      <c r="CY85" s="36">
        <v>0</v>
      </c>
      <c r="CZ85" s="36">
        <v>0</v>
      </c>
      <c r="DA85" s="36">
        <v>0</v>
      </c>
      <c r="DB85" s="36">
        <v>0</v>
      </c>
      <c r="DC85" s="36">
        <v>0</v>
      </c>
      <c r="DD85" s="36">
        <v>0</v>
      </c>
      <c r="DE85" s="36">
        <v>0</v>
      </c>
      <c r="DF85" s="36">
        <v>0</v>
      </c>
      <c r="DG85" s="36">
        <v>0</v>
      </c>
      <c r="DH85" s="36">
        <v>0</v>
      </c>
      <c r="DI85" s="36">
        <v>0</v>
      </c>
      <c r="DJ85" s="36">
        <v>0</v>
      </c>
      <c r="DK85" s="36">
        <v>1</v>
      </c>
      <c r="DL85" s="36">
        <v>-1</v>
      </c>
      <c r="DM85" s="36">
        <v>0</v>
      </c>
      <c r="DN85" s="36">
        <v>0</v>
      </c>
      <c r="DO85" s="36">
        <v>0</v>
      </c>
      <c r="DP85" s="36">
        <v>0</v>
      </c>
      <c r="DQ85" s="36">
        <v>0</v>
      </c>
      <c r="DR85" s="36">
        <v>0</v>
      </c>
      <c r="DS85" s="36">
        <v>0</v>
      </c>
      <c r="DT85" s="36">
        <v>0</v>
      </c>
      <c r="DU85" s="36">
        <v>0</v>
      </c>
      <c r="DV85" s="36">
        <v>0</v>
      </c>
      <c r="DW85" s="36">
        <v>0</v>
      </c>
      <c r="DX85" s="36">
        <v>0</v>
      </c>
      <c r="DY85" s="36">
        <v>0</v>
      </c>
      <c r="DZ85" s="36">
        <v>0</v>
      </c>
      <c r="EA85" s="36">
        <v>0</v>
      </c>
      <c r="EB85" s="36">
        <v>0</v>
      </c>
      <c r="EC85" s="36">
        <v>0</v>
      </c>
      <c r="ED85" s="36">
        <v>0</v>
      </c>
      <c r="EE85" s="36">
        <v>0</v>
      </c>
      <c r="EF85" s="36">
        <v>0</v>
      </c>
      <c r="EG85" s="36">
        <v>0</v>
      </c>
      <c r="EH85" s="36">
        <v>0</v>
      </c>
      <c r="EI85" s="36">
        <v>0</v>
      </c>
      <c r="EJ85" s="36">
        <v>-1</v>
      </c>
      <c r="EK85" s="36">
        <v>1</v>
      </c>
      <c r="EL85" s="36">
        <v>0</v>
      </c>
      <c r="EM85" s="36">
        <v>0</v>
      </c>
      <c r="EN85" s="36">
        <v>0</v>
      </c>
      <c r="EO85" s="36">
        <v>0</v>
      </c>
      <c r="EP85" s="36">
        <v>0</v>
      </c>
      <c r="ET85" t="s">
        <v>291</v>
      </c>
      <c r="EU85" t="s">
        <v>686</v>
      </c>
      <c r="EV85" s="36">
        <v>-1</v>
      </c>
      <c r="EW85" s="36">
        <v>2</v>
      </c>
      <c r="EX85" s="36">
        <v>1</v>
      </c>
      <c r="EY85" s="36">
        <v>0</v>
      </c>
      <c r="EZ85" s="36">
        <v>3</v>
      </c>
      <c r="FA85" s="36">
        <v>0</v>
      </c>
      <c r="FB85" s="36">
        <v>0</v>
      </c>
      <c r="FC85" s="42">
        <v>4</v>
      </c>
      <c r="FE85">
        <f>((4*(EW85))+(EX85)+(5*EY85)+(-2*EZ85)+(5*FA85)+(6*FB85)+(-EV85))/EW85</f>
        <v>2</v>
      </c>
      <c r="FF85">
        <f>((4*(EW85))+(EX85)+(-3*EY85)+(-2*EZ85)+(5*FA85)+(6*FB85)+(-EV85))/EW85</f>
        <v>2</v>
      </c>
      <c r="FG85">
        <f>((4*(EW85))+(EX85)+(0*EY85)+(-2*EZ85)+(5*FA85)+(6*FB85)+(-EV85))/EW85</f>
        <v>2</v>
      </c>
      <c r="FM85" s="43">
        <f t="shared" si="14"/>
        <v>0</v>
      </c>
      <c r="FN85" s="43">
        <f t="shared" si="14"/>
        <v>0</v>
      </c>
      <c r="FO85" s="43">
        <f t="shared" si="14"/>
        <v>0</v>
      </c>
      <c r="FP85" s="43">
        <f t="shared" si="13"/>
        <v>0</v>
      </c>
      <c r="FQ85" s="43">
        <f t="shared" si="13"/>
        <v>0</v>
      </c>
      <c r="FR85" s="43">
        <f t="shared" si="13"/>
        <v>0</v>
      </c>
      <c r="FS85" s="43">
        <f t="shared" si="13"/>
        <v>0</v>
      </c>
      <c r="FV85" t="s">
        <v>687</v>
      </c>
      <c r="FW85" t="s">
        <v>688</v>
      </c>
    </row>
    <row r="86" spans="1:179" ht="19.5" customHeight="1" x14ac:dyDescent="0.25">
      <c r="A86" t="s">
        <v>689</v>
      </c>
      <c r="B86" s="36">
        <v>0</v>
      </c>
      <c r="C86" s="36">
        <v>0</v>
      </c>
      <c r="D86" s="36">
        <v>0</v>
      </c>
      <c r="E86" s="36">
        <v>0</v>
      </c>
      <c r="F86" s="36">
        <v>0</v>
      </c>
      <c r="G86" s="36">
        <v>0</v>
      </c>
      <c r="H86" s="36">
        <v>0</v>
      </c>
      <c r="I86" s="36">
        <v>0</v>
      </c>
      <c r="J86" s="36">
        <v>0</v>
      </c>
      <c r="K86" s="36">
        <v>0</v>
      </c>
      <c r="L86" s="36">
        <v>0</v>
      </c>
      <c r="M86" s="36">
        <v>0</v>
      </c>
      <c r="N86" s="36">
        <v>0</v>
      </c>
      <c r="O86" s="36">
        <v>0</v>
      </c>
      <c r="P86" s="36">
        <v>0</v>
      </c>
      <c r="Q86" s="36">
        <v>0</v>
      </c>
      <c r="R86" s="36">
        <v>0</v>
      </c>
      <c r="S86" s="36">
        <v>0</v>
      </c>
      <c r="T86" s="36">
        <v>0</v>
      </c>
      <c r="U86" s="36">
        <v>0</v>
      </c>
      <c r="V86" s="36">
        <v>0</v>
      </c>
      <c r="W86" s="36">
        <v>0</v>
      </c>
      <c r="X86" s="36">
        <v>0</v>
      </c>
      <c r="Y86" s="36">
        <v>0</v>
      </c>
      <c r="Z86" s="36">
        <v>0</v>
      </c>
      <c r="AA86" s="36">
        <v>0</v>
      </c>
      <c r="AB86" s="36">
        <v>0</v>
      </c>
      <c r="AC86" s="36">
        <v>0</v>
      </c>
      <c r="AD86" s="36">
        <v>0</v>
      </c>
      <c r="AE86" s="36">
        <v>0</v>
      </c>
      <c r="AF86" s="36">
        <v>0</v>
      </c>
      <c r="AG86" s="36">
        <v>0</v>
      </c>
      <c r="AH86" s="36">
        <v>0</v>
      </c>
      <c r="AI86" s="36">
        <v>0</v>
      </c>
      <c r="AJ86" s="36">
        <v>0</v>
      </c>
      <c r="AK86" s="36">
        <v>0</v>
      </c>
      <c r="AL86" s="36">
        <v>0</v>
      </c>
      <c r="AM86" s="36">
        <v>0</v>
      </c>
      <c r="AN86" s="36">
        <v>0</v>
      </c>
      <c r="AO86" s="36">
        <v>0</v>
      </c>
      <c r="AP86" s="36">
        <v>0</v>
      </c>
      <c r="AQ86" s="36">
        <v>0</v>
      </c>
      <c r="AR86" s="36">
        <v>0</v>
      </c>
      <c r="AS86" s="36">
        <v>0</v>
      </c>
      <c r="AT86" s="36">
        <v>0</v>
      </c>
      <c r="AU86" s="36">
        <v>0</v>
      </c>
      <c r="AV86" s="36">
        <v>0</v>
      </c>
      <c r="AW86" s="36">
        <v>0</v>
      </c>
      <c r="AX86" s="36">
        <v>0</v>
      </c>
      <c r="AY86" s="36">
        <v>0</v>
      </c>
      <c r="AZ86" s="36">
        <v>0</v>
      </c>
      <c r="BA86" s="36">
        <v>0</v>
      </c>
      <c r="BB86" s="36">
        <v>0</v>
      </c>
      <c r="BC86" s="36">
        <v>0</v>
      </c>
      <c r="BD86" s="36">
        <v>0</v>
      </c>
      <c r="BE86" s="36">
        <v>-2</v>
      </c>
      <c r="BF86" s="36">
        <v>2</v>
      </c>
      <c r="BG86" s="36">
        <v>0</v>
      </c>
      <c r="BH86" s="36">
        <v>0</v>
      </c>
      <c r="BI86" s="36">
        <v>0</v>
      </c>
      <c r="BJ86" s="36">
        <v>0</v>
      </c>
      <c r="BK86" s="36">
        <v>0</v>
      </c>
      <c r="BL86" s="36">
        <v>0</v>
      </c>
      <c r="BM86" s="36">
        <v>0</v>
      </c>
      <c r="BN86" s="36">
        <v>0</v>
      </c>
      <c r="BO86" s="36">
        <v>0</v>
      </c>
      <c r="BP86" s="36">
        <v>0</v>
      </c>
      <c r="BQ86" s="36">
        <v>0</v>
      </c>
      <c r="BR86" s="36">
        <v>0</v>
      </c>
      <c r="BS86" s="36">
        <v>0</v>
      </c>
      <c r="BT86" s="36">
        <v>0</v>
      </c>
      <c r="BU86" s="36">
        <v>0</v>
      </c>
      <c r="BV86" s="36">
        <v>0</v>
      </c>
      <c r="BW86" s="36">
        <v>0</v>
      </c>
      <c r="BX86" s="36">
        <v>0</v>
      </c>
      <c r="BY86" s="36">
        <v>0</v>
      </c>
      <c r="BZ86" s="36">
        <v>0</v>
      </c>
      <c r="CA86" s="36">
        <v>0</v>
      </c>
      <c r="CB86" s="36">
        <v>0</v>
      </c>
      <c r="CC86" s="36">
        <v>0</v>
      </c>
      <c r="CD86" s="36">
        <v>0</v>
      </c>
      <c r="CE86" s="36">
        <v>0</v>
      </c>
      <c r="CF86" s="36">
        <v>0</v>
      </c>
      <c r="CG86" s="36">
        <v>0</v>
      </c>
      <c r="CH86" s="36">
        <v>0</v>
      </c>
      <c r="CI86" s="36">
        <v>0</v>
      </c>
      <c r="CJ86" s="36">
        <v>0</v>
      </c>
      <c r="CK86" s="36">
        <v>4</v>
      </c>
      <c r="CL86" s="36">
        <v>-2</v>
      </c>
      <c r="CM86" s="36">
        <v>0</v>
      </c>
      <c r="CN86" s="36">
        <v>0</v>
      </c>
      <c r="CO86" s="36">
        <v>0</v>
      </c>
      <c r="CP86" s="36">
        <v>0</v>
      </c>
      <c r="CQ86" s="36">
        <v>0</v>
      </c>
      <c r="CR86" s="36">
        <v>0</v>
      </c>
      <c r="CS86" s="36">
        <v>0</v>
      </c>
      <c r="CT86" s="36">
        <v>0</v>
      </c>
      <c r="CU86" s="36">
        <v>0</v>
      </c>
      <c r="CV86" s="36">
        <v>0</v>
      </c>
      <c r="CW86" s="36">
        <v>0</v>
      </c>
      <c r="CX86" s="36">
        <v>0</v>
      </c>
      <c r="CY86" s="36">
        <v>0</v>
      </c>
      <c r="CZ86" s="36">
        <v>0</v>
      </c>
      <c r="DA86" s="36">
        <v>0</v>
      </c>
      <c r="DB86" s="36">
        <v>0</v>
      </c>
      <c r="DC86" s="36">
        <v>0</v>
      </c>
      <c r="DD86" s="36">
        <v>0</v>
      </c>
      <c r="DE86" s="36">
        <v>0</v>
      </c>
      <c r="DF86" s="36">
        <v>0</v>
      </c>
      <c r="DG86" s="36">
        <v>0</v>
      </c>
      <c r="DH86" s="36">
        <v>0</v>
      </c>
      <c r="DI86" s="36">
        <v>0</v>
      </c>
      <c r="DJ86" s="36">
        <v>0</v>
      </c>
      <c r="DK86" s="36">
        <v>0</v>
      </c>
      <c r="DL86" s="36">
        <v>0</v>
      </c>
      <c r="DM86" s="36">
        <v>0</v>
      </c>
      <c r="DN86" s="36">
        <v>0</v>
      </c>
      <c r="DO86" s="36">
        <v>0</v>
      </c>
      <c r="DP86" s="36">
        <v>0</v>
      </c>
      <c r="DQ86" s="36">
        <v>0</v>
      </c>
      <c r="DR86" s="36">
        <v>0</v>
      </c>
      <c r="DS86" s="36">
        <v>0</v>
      </c>
      <c r="DT86" s="36">
        <v>0</v>
      </c>
      <c r="DU86" s="36">
        <v>0</v>
      </c>
      <c r="DV86" s="36">
        <v>0</v>
      </c>
      <c r="DW86" s="36">
        <v>0</v>
      </c>
      <c r="DX86" s="36">
        <v>0</v>
      </c>
      <c r="DY86" s="36">
        <v>0</v>
      </c>
      <c r="DZ86" s="36">
        <v>0</v>
      </c>
      <c r="EA86" s="36">
        <v>0</v>
      </c>
      <c r="EB86" s="36">
        <v>0</v>
      </c>
      <c r="EC86" s="36">
        <v>0</v>
      </c>
      <c r="ED86" s="36">
        <v>0</v>
      </c>
      <c r="EE86" s="36">
        <v>0</v>
      </c>
      <c r="EF86" s="36">
        <v>0</v>
      </c>
      <c r="EG86" s="36">
        <v>0</v>
      </c>
      <c r="EH86" s="36">
        <v>0</v>
      </c>
      <c r="EI86" s="36">
        <v>0</v>
      </c>
      <c r="EJ86" s="36">
        <v>1</v>
      </c>
      <c r="EK86" s="36">
        <v>-1</v>
      </c>
      <c r="EL86" s="36">
        <v>0</v>
      </c>
      <c r="EM86" s="36">
        <v>0</v>
      </c>
      <c r="EN86" s="36">
        <v>0</v>
      </c>
      <c r="EO86" s="36">
        <v>0</v>
      </c>
      <c r="EP86" s="36">
        <v>0</v>
      </c>
      <c r="ET86" t="s">
        <v>292</v>
      </c>
      <c r="EU86" t="s">
        <v>530</v>
      </c>
      <c r="EV86" s="36">
        <v>0</v>
      </c>
      <c r="EW86" s="36">
        <v>0</v>
      </c>
      <c r="EX86" s="36">
        <v>0</v>
      </c>
      <c r="EY86" s="36">
        <v>0</v>
      </c>
      <c r="EZ86" s="36">
        <v>0</v>
      </c>
      <c r="FA86" s="36">
        <v>0</v>
      </c>
      <c r="FB86" s="36">
        <v>0</v>
      </c>
      <c r="FC86" s="36">
        <v>0</v>
      </c>
      <c r="FE86">
        <f t="shared" ref="FE86:FE94" si="26">((4*(EW86))+(EX86)+(5*EY86)+(-2*EZ86)+(5*FA86)+(6*FB86)+(-EV86))/1</f>
        <v>0</v>
      </c>
      <c r="FF86">
        <f t="shared" ref="FF86:FF94" si="27">((4*(EW86))+(EX86)+(-3*EY86)+(-2*EZ86)+(5*FA86)+(6*FB86)+(-EV86))/1</f>
        <v>0</v>
      </c>
      <c r="FG86">
        <f t="shared" ref="FG86:FG94" si="28">((4*(EW86))+(EX86)+(0*EY86)+(-2*EZ86)+(5*FA86)+(6*FB86)+(-EV86))/1</f>
        <v>0</v>
      </c>
      <c r="FM86" s="43">
        <f t="shared" si="14"/>
        <v>0</v>
      </c>
      <c r="FN86" s="43">
        <f t="shared" si="14"/>
        <v>0</v>
      </c>
      <c r="FO86" s="43">
        <f t="shared" si="14"/>
        <v>0</v>
      </c>
      <c r="FP86" s="43">
        <f t="shared" si="13"/>
        <v>0</v>
      </c>
      <c r="FQ86" s="43">
        <f t="shared" si="13"/>
        <v>0</v>
      </c>
      <c r="FR86" s="43">
        <f t="shared" si="13"/>
        <v>0</v>
      </c>
      <c r="FS86" s="43">
        <f t="shared" si="13"/>
        <v>0</v>
      </c>
      <c r="FV86" t="s">
        <v>690</v>
      </c>
      <c r="FW86" t="s">
        <v>691</v>
      </c>
    </row>
    <row r="87" spans="1:179" ht="19.5" customHeight="1" x14ac:dyDescent="0.25">
      <c r="A87" t="s">
        <v>692</v>
      </c>
      <c r="B87" s="36">
        <v>0</v>
      </c>
      <c r="C87" s="36">
        <v>0</v>
      </c>
      <c r="D87" s="36">
        <v>0</v>
      </c>
      <c r="E87" s="36">
        <v>0</v>
      </c>
      <c r="F87" s="36">
        <v>0</v>
      </c>
      <c r="G87" s="36">
        <v>0</v>
      </c>
      <c r="H87" s="36">
        <v>0</v>
      </c>
      <c r="I87" s="36">
        <v>0</v>
      </c>
      <c r="J87" s="36">
        <v>0</v>
      </c>
      <c r="K87" s="36">
        <v>0</v>
      </c>
      <c r="L87" s="36">
        <v>0</v>
      </c>
      <c r="M87" s="36">
        <v>0</v>
      </c>
      <c r="N87" s="36">
        <v>0</v>
      </c>
      <c r="O87" s="36">
        <v>0</v>
      </c>
      <c r="P87" s="36">
        <v>0</v>
      </c>
      <c r="Q87" s="36">
        <v>0</v>
      </c>
      <c r="R87" s="36">
        <v>0</v>
      </c>
      <c r="S87" s="36">
        <v>0</v>
      </c>
      <c r="T87" s="36">
        <v>0</v>
      </c>
      <c r="U87" s="36">
        <v>0</v>
      </c>
      <c r="V87" s="36">
        <v>0</v>
      </c>
      <c r="W87" s="36">
        <v>0</v>
      </c>
      <c r="X87" s="36">
        <v>0</v>
      </c>
      <c r="Y87" s="36">
        <v>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0</v>
      </c>
      <c r="AT87" s="36">
        <v>0</v>
      </c>
      <c r="AU87" s="36">
        <v>0</v>
      </c>
      <c r="AV87" s="36">
        <v>0</v>
      </c>
      <c r="AW87" s="36">
        <v>0</v>
      </c>
      <c r="AX87" s="36">
        <v>0</v>
      </c>
      <c r="AY87" s="36">
        <v>0</v>
      </c>
      <c r="AZ87" s="36">
        <v>0</v>
      </c>
      <c r="BA87" s="36">
        <v>0</v>
      </c>
      <c r="BB87" s="36">
        <v>0</v>
      </c>
      <c r="BC87" s="36">
        <v>0</v>
      </c>
      <c r="BD87" s="36">
        <v>0</v>
      </c>
      <c r="BE87" s="36">
        <v>4</v>
      </c>
      <c r="BF87" s="36">
        <v>-4</v>
      </c>
      <c r="BG87" s="36">
        <v>0</v>
      </c>
      <c r="BH87" s="36">
        <v>0</v>
      </c>
      <c r="BI87" s="36">
        <v>0</v>
      </c>
      <c r="BJ87" s="36">
        <v>0</v>
      </c>
      <c r="BK87" s="36">
        <v>0</v>
      </c>
      <c r="BL87" s="36">
        <v>0</v>
      </c>
      <c r="BM87" s="36">
        <v>0</v>
      </c>
      <c r="BN87" s="36">
        <v>0</v>
      </c>
      <c r="BO87" s="36">
        <v>0</v>
      </c>
      <c r="BP87" s="36">
        <v>0</v>
      </c>
      <c r="BQ87" s="36">
        <v>0</v>
      </c>
      <c r="BR87" s="36">
        <v>0</v>
      </c>
      <c r="BS87" s="36">
        <v>0</v>
      </c>
      <c r="BT87" s="36">
        <v>0</v>
      </c>
      <c r="BU87" s="36">
        <v>0</v>
      </c>
      <c r="BV87" s="36">
        <v>0</v>
      </c>
      <c r="BW87" s="36">
        <v>0</v>
      </c>
      <c r="BX87" s="36">
        <v>0</v>
      </c>
      <c r="BY87" s="36">
        <v>0</v>
      </c>
      <c r="BZ87" s="36">
        <v>0</v>
      </c>
      <c r="CA87" s="36">
        <v>0</v>
      </c>
      <c r="CB87" s="36">
        <v>0</v>
      </c>
      <c r="CC87" s="36">
        <v>0</v>
      </c>
      <c r="CD87" s="36">
        <v>0</v>
      </c>
      <c r="CE87" s="36">
        <v>0</v>
      </c>
      <c r="CF87" s="36">
        <v>0</v>
      </c>
      <c r="CG87" s="36">
        <v>0</v>
      </c>
      <c r="CH87" s="36">
        <v>0</v>
      </c>
      <c r="CI87" s="36">
        <v>0</v>
      </c>
      <c r="CJ87" s="36">
        <v>0</v>
      </c>
      <c r="CK87" s="36">
        <v>4</v>
      </c>
      <c r="CL87" s="36">
        <v>-8</v>
      </c>
      <c r="CM87" s="36">
        <v>0</v>
      </c>
      <c r="CN87" s="36">
        <v>0</v>
      </c>
      <c r="CO87" s="36">
        <v>0</v>
      </c>
      <c r="CP87" s="36">
        <v>2</v>
      </c>
      <c r="CQ87" s="36">
        <v>0</v>
      </c>
      <c r="CR87" s="36">
        <v>0</v>
      </c>
      <c r="CS87" s="36">
        <v>0</v>
      </c>
      <c r="CT87" s="36">
        <v>0</v>
      </c>
      <c r="CU87" s="36">
        <v>0</v>
      </c>
      <c r="CV87" s="36">
        <v>0</v>
      </c>
      <c r="CW87" s="36">
        <v>0</v>
      </c>
      <c r="CX87" s="36">
        <v>0</v>
      </c>
      <c r="CY87" s="36">
        <v>0</v>
      </c>
      <c r="CZ87" s="36">
        <v>0</v>
      </c>
      <c r="DA87" s="36">
        <v>0</v>
      </c>
      <c r="DB87" s="36">
        <v>0</v>
      </c>
      <c r="DC87" s="36">
        <v>0</v>
      </c>
      <c r="DD87" s="36">
        <v>0</v>
      </c>
      <c r="DE87" s="36">
        <v>0</v>
      </c>
      <c r="DF87" s="36">
        <v>0</v>
      </c>
      <c r="DG87" s="36">
        <v>0</v>
      </c>
      <c r="DH87" s="36">
        <v>0</v>
      </c>
      <c r="DI87" s="36">
        <v>0</v>
      </c>
      <c r="DJ87" s="36">
        <v>0</v>
      </c>
      <c r="DK87" s="36">
        <v>0</v>
      </c>
      <c r="DL87" s="36">
        <v>0</v>
      </c>
      <c r="DM87" s="36">
        <v>0</v>
      </c>
      <c r="DN87" s="36">
        <v>0</v>
      </c>
      <c r="DO87" s="36">
        <v>0</v>
      </c>
      <c r="DP87" s="36">
        <v>0</v>
      </c>
      <c r="DQ87" s="36">
        <v>0</v>
      </c>
      <c r="DR87" s="36">
        <v>0</v>
      </c>
      <c r="DS87" s="36">
        <v>0</v>
      </c>
      <c r="DT87" s="36">
        <v>0</v>
      </c>
      <c r="DU87" s="36">
        <v>-1</v>
      </c>
      <c r="DV87" s="36">
        <v>0</v>
      </c>
      <c r="DW87" s="36">
        <v>0</v>
      </c>
      <c r="DX87" s="36">
        <v>0</v>
      </c>
      <c r="DY87" s="36">
        <v>0</v>
      </c>
      <c r="DZ87" s="36">
        <v>0</v>
      </c>
      <c r="EA87" s="36">
        <v>0</v>
      </c>
      <c r="EB87" s="36">
        <v>0</v>
      </c>
      <c r="EC87" s="36">
        <v>0</v>
      </c>
      <c r="ED87" s="36">
        <v>0</v>
      </c>
      <c r="EE87" s="36">
        <v>0</v>
      </c>
      <c r="EF87" s="36">
        <v>0</v>
      </c>
      <c r="EG87" s="36">
        <v>0</v>
      </c>
      <c r="EH87" s="36">
        <v>0</v>
      </c>
      <c r="EI87" s="36">
        <v>0</v>
      </c>
      <c r="EJ87" s="36">
        <v>0</v>
      </c>
      <c r="EK87" s="36">
        <v>0</v>
      </c>
      <c r="EL87" s="36">
        <v>0</v>
      </c>
      <c r="EM87" s="36">
        <v>0</v>
      </c>
      <c r="EN87" s="36">
        <v>0</v>
      </c>
      <c r="EO87" s="36">
        <v>0</v>
      </c>
      <c r="EP87" s="36">
        <v>0</v>
      </c>
      <c r="ET87" t="s">
        <v>293</v>
      </c>
      <c r="EU87" t="s">
        <v>530</v>
      </c>
      <c r="EV87" s="36">
        <v>0</v>
      </c>
      <c r="EW87" s="36">
        <v>0</v>
      </c>
      <c r="EX87" s="36">
        <v>0</v>
      </c>
      <c r="EY87" s="36">
        <v>0</v>
      </c>
      <c r="EZ87" s="36">
        <v>0</v>
      </c>
      <c r="FA87" s="36">
        <v>0</v>
      </c>
      <c r="FB87" s="36">
        <v>0</v>
      </c>
      <c r="FC87" s="36">
        <v>0</v>
      </c>
      <c r="FE87">
        <f t="shared" si="26"/>
        <v>0</v>
      </c>
      <c r="FF87">
        <f t="shared" si="27"/>
        <v>0</v>
      </c>
      <c r="FG87">
        <f t="shared" si="28"/>
        <v>0</v>
      </c>
      <c r="FM87" s="43">
        <f t="shared" si="14"/>
        <v>0</v>
      </c>
      <c r="FN87" s="43">
        <f t="shared" si="14"/>
        <v>0</v>
      </c>
      <c r="FO87" s="43">
        <f t="shared" si="14"/>
        <v>0</v>
      </c>
      <c r="FP87" s="43">
        <f t="shared" si="13"/>
        <v>0</v>
      </c>
      <c r="FQ87" s="43">
        <f t="shared" si="13"/>
        <v>0</v>
      </c>
      <c r="FR87" s="43">
        <f t="shared" si="13"/>
        <v>0</v>
      </c>
      <c r="FS87" s="43">
        <f t="shared" si="13"/>
        <v>0</v>
      </c>
      <c r="FV87" t="s">
        <v>693</v>
      </c>
      <c r="FW87" t="s">
        <v>694</v>
      </c>
    </row>
    <row r="88" spans="1:179" ht="19.5" customHeight="1" x14ac:dyDescent="0.25">
      <c r="A88" t="s">
        <v>695</v>
      </c>
      <c r="B88" s="36">
        <v>0</v>
      </c>
      <c r="C88" s="36">
        <v>0</v>
      </c>
      <c r="D88" s="36">
        <v>0</v>
      </c>
      <c r="E88" s="36">
        <v>0</v>
      </c>
      <c r="F88" s="36">
        <v>0</v>
      </c>
      <c r="G88" s="36">
        <v>0</v>
      </c>
      <c r="H88" s="36">
        <v>0</v>
      </c>
      <c r="I88" s="36">
        <v>0</v>
      </c>
      <c r="J88" s="36">
        <v>0</v>
      </c>
      <c r="K88" s="36">
        <v>0</v>
      </c>
      <c r="L88" s="36">
        <v>0</v>
      </c>
      <c r="M88" s="36">
        <v>0</v>
      </c>
      <c r="N88" s="36">
        <v>0</v>
      </c>
      <c r="O88" s="36">
        <v>0</v>
      </c>
      <c r="P88" s="36">
        <v>0</v>
      </c>
      <c r="Q88" s="36">
        <v>0</v>
      </c>
      <c r="R88" s="36">
        <v>0</v>
      </c>
      <c r="S88" s="36">
        <v>0</v>
      </c>
      <c r="T88" s="36">
        <v>0</v>
      </c>
      <c r="U88" s="36">
        <v>0</v>
      </c>
      <c r="V88" s="36">
        <v>0</v>
      </c>
      <c r="W88" s="36">
        <v>0</v>
      </c>
      <c r="X88" s="36">
        <v>0</v>
      </c>
      <c r="Y88" s="36">
        <v>0</v>
      </c>
      <c r="Z88" s="36">
        <v>0</v>
      </c>
      <c r="AA88" s="36">
        <v>0</v>
      </c>
      <c r="AB88" s="36">
        <v>0</v>
      </c>
      <c r="AC88" s="36">
        <v>0</v>
      </c>
      <c r="AD88" s="36">
        <v>0</v>
      </c>
      <c r="AE88" s="36">
        <v>0</v>
      </c>
      <c r="AF88" s="36">
        <v>0</v>
      </c>
      <c r="AG88" s="36">
        <v>0</v>
      </c>
      <c r="AH88" s="36">
        <v>0</v>
      </c>
      <c r="AI88" s="36">
        <v>0</v>
      </c>
      <c r="AJ88" s="36">
        <v>0</v>
      </c>
      <c r="AK88" s="36">
        <v>0</v>
      </c>
      <c r="AL88" s="36">
        <v>0</v>
      </c>
      <c r="AM88" s="36">
        <v>0</v>
      </c>
      <c r="AN88" s="36">
        <v>0</v>
      </c>
      <c r="AO88" s="36">
        <v>0</v>
      </c>
      <c r="AP88" s="36">
        <v>0</v>
      </c>
      <c r="AQ88" s="36">
        <v>0</v>
      </c>
      <c r="AR88" s="36">
        <v>0</v>
      </c>
      <c r="AS88" s="36">
        <v>0</v>
      </c>
      <c r="AT88" s="36">
        <v>0</v>
      </c>
      <c r="AU88" s="36">
        <v>0</v>
      </c>
      <c r="AV88" s="36">
        <v>0</v>
      </c>
      <c r="AW88" s="36">
        <v>0</v>
      </c>
      <c r="AX88" s="36">
        <v>0</v>
      </c>
      <c r="AY88" s="36">
        <v>0</v>
      </c>
      <c r="AZ88" s="36">
        <v>0</v>
      </c>
      <c r="BA88" s="36">
        <v>0</v>
      </c>
      <c r="BB88" s="36">
        <v>0</v>
      </c>
      <c r="BC88" s="36">
        <v>0</v>
      </c>
      <c r="BD88" s="36">
        <v>0</v>
      </c>
      <c r="BE88" s="36">
        <v>0</v>
      </c>
      <c r="BF88" s="36">
        <v>0</v>
      </c>
      <c r="BG88" s="36">
        <v>0</v>
      </c>
      <c r="BH88" s="36">
        <v>0</v>
      </c>
      <c r="BI88" s="36">
        <v>0</v>
      </c>
      <c r="BJ88" s="36">
        <v>0</v>
      </c>
      <c r="BK88" s="36">
        <v>0</v>
      </c>
      <c r="BL88" s="36">
        <v>0</v>
      </c>
      <c r="BM88" s="36">
        <v>0</v>
      </c>
      <c r="BN88" s="36">
        <v>0</v>
      </c>
      <c r="BO88" s="36">
        <v>0</v>
      </c>
      <c r="BP88" s="36">
        <v>0</v>
      </c>
      <c r="BQ88" s="36">
        <v>0</v>
      </c>
      <c r="BR88" s="36">
        <v>0</v>
      </c>
      <c r="BS88" s="36">
        <v>0</v>
      </c>
      <c r="BT88" s="36">
        <v>0</v>
      </c>
      <c r="BU88" s="36">
        <v>0</v>
      </c>
      <c r="BV88" s="36">
        <v>0</v>
      </c>
      <c r="BW88" s="36">
        <v>0</v>
      </c>
      <c r="BX88" s="36">
        <v>0</v>
      </c>
      <c r="BY88" s="36">
        <v>0</v>
      </c>
      <c r="BZ88" s="36">
        <v>0</v>
      </c>
      <c r="CA88" s="36">
        <v>0</v>
      </c>
      <c r="CB88" s="36">
        <v>0</v>
      </c>
      <c r="CC88" s="36">
        <v>0</v>
      </c>
      <c r="CD88" s="36">
        <v>0</v>
      </c>
      <c r="CE88" s="36">
        <v>0</v>
      </c>
      <c r="CF88" s="36">
        <v>0</v>
      </c>
      <c r="CG88" s="36">
        <v>0</v>
      </c>
      <c r="CH88" s="36">
        <v>0</v>
      </c>
      <c r="CI88" s="36">
        <v>0</v>
      </c>
      <c r="CJ88" s="36">
        <v>0</v>
      </c>
      <c r="CK88" s="36">
        <v>4</v>
      </c>
      <c r="CL88" s="36">
        <v>-4</v>
      </c>
      <c r="CM88" s="36">
        <v>0</v>
      </c>
      <c r="CN88" s="36">
        <v>0</v>
      </c>
      <c r="CO88" s="36">
        <v>0</v>
      </c>
      <c r="CP88" s="36">
        <v>2</v>
      </c>
      <c r="CQ88" s="36">
        <v>0</v>
      </c>
      <c r="CR88" s="36">
        <v>0</v>
      </c>
      <c r="CS88" s="36">
        <v>0</v>
      </c>
      <c r="CT88" s="36">
        <v>0</v>
      </c>
      <c r="CU88" s="36">
        <v>0</v>
      </c>
      <c r="CV88" s="36">
        <v>0</v>
      </c>
      <c r="CW88" s="36">
        <v>0</v>
      </c>
      <c r="CX88" s="36">
        <v>0</v>
      </c>
      <c r="CY88" s="36">
        <v>0</v>
      </c>
      <c r="CZ88" s="36">
        <v>0</v>
      </c>
      <c r="DA88" s="36">
        <v>0</v>
      </c>
      <c r="DB88" s="36">
        <v>0</v>
      </c>
      <c r="DC88" s="36">
        <v>0</v>
      </c>
      <c r="DD88" s="36">
        <v>0</v>
      </c>
      <c r="DE88" s="36">
        <v>0</v>
      </c>
      <c r="DF88" s="36">
        <v>0</v>
      </c>
      <c r="DG88" s="36">
        <v>0</v>
      </c>
      <c r="DH88" s="36">
        <v>0</v>
      </c>
      <c r="DI88" s="36">
        <v>0</v>
      </c>
      <c r="DJ88" s="36">
        <v>0</v>
      </c>
      <c r="DK88" s="36">
        <v>0</v>
      </c>
      <c r="DL88" s="36">
        <v>0</v>
      </c>
      <c r="DM88" s="36">
        <v>0</v>
      </c>
      <c r="DN88" s="36">
        <v>0</v>
      </c>
      <c r="DO88" s="36">
        <v>0</v>
      </c>
      <c r="DP88" s="36">
        <v>0</v>
      </c>
      <c r="DQ88" s="36">
        <v>0</v>
      </c>
      <c r="DR88" s="36">
        <v>0</v>
      </c>
      <c r="DS88" s="36">
        <v>0</v>
      </c>
      <c r="DT88" s="36">
        <v>0</v>
      </c>
      <c r="DU88" s="36">
        <v>-1</v>
      </c>
      <c r="DV88" s="36">
        <v>0</v>
      </c>
      <c r="DW88" s="36">
        <v>0</v>
      </c>
      <c r="DX88" s="36">
        <v>0</v>
      </c>
      <c r="DY88" s="36">
        <v>0</v>
      </c>
      <c r="DZ88" s="36">
        <v>0</v>
      </c>
      <c r="EA88" s="36">
        <v>0</v>
      </c>
      <c r="EB88" s="36">
        <v>0</v>
      </c>
      <c r="EC88" s="36">
        <v>0</v>
      </c>
      <c r="ED88" s="36">
        <v>0</v>
      </c>
      <c r="EE88" s="36">
        <v>0</v>
      </c>
      <c r="EF88" s="36">
        <v>0</v>
      </c>
      <c r="EG88" s="36">
        <v>0</v>
      </c>
      <c r="EH88" s="36">
        <v>0</v>
      </c>
      <c r="EI88" s="36">
        <v>0</v>
      </c>
      <c r="EJ88" s="36">
        <v>2</v>
      </c>
      <c r="EK88" s="36">
        <v>-2</v>
      </c>
      <c r="EL88" s="36">
        <v>0</v>
      </c>
      <c r="EM88" s="36">
        <v>0</v>
      </c>
      <c r="EN88" s="36">
        <v>0</v>
      </c>
      <c r="EO88" s="36">
        <v>0</v>
      </c>
      <c r="EP88" s="36">
        <v>0</v>
      </c>
      <c r="ET88" t="s">
        <v>294</v>
      </c>
      <c r="EU88" t="s">
        <v>101</v>
      </c>
      <c r="EV88" s="36">
        <v>1</v>
      </c>
      <c r="EW88" s="36">
        <v>0</v>
      </c>
      <c r="EX88" s="36">
        <v>1</v>
      </c>
      <c r="EY88" s="36">
        <v>0</v>
      </c>
      <c r="EZ88" s="36">
        <v>0</v>
      </c>
      <c r="FA88" s="36">
        <v>0</v>
      </c>
      <c r="FB88" s="36">
        <v>0</v>
      </c>
      <c r="FC88" s="42">
        <f t="shared" ref="FC88:FC97" si="29">(4*EW88)+(EX88)+(-3*EY88)+(-2*EZ88)+(5*FA88)+(-2*FB88)+(-1*EV88)</f>
        <v>0</v>
      </c>
      <c r="FE88">
        <f t="shared" si="26"/>
        <v>0</v>
      </c>
      <c r="FF88">
        <f t="shared" si="27"/>
        <v>0</v>
      </c>
      <c r="FG88">
        <f t="shared" si="28"/>
        <v>0</v>
      </c>
      <c r="FM88" s="43">
        <f t="shared" si="14"/>
        <v>0</v>
      </c>
      <c r="FN88" s="43">
        <f t="shared" si="14"/>
        <v>0</v>
      </c>
      <c r="FO88" s="43">
        <f t="shared" si="14"/>
        <v>0</v>
      </c>
      <c r="FP88" s="43">
        <f t="shared" si="13"/>
        <v>0</v>
      </c>
      <c r="FQ88" s="43">
        <f t="shared" si="13"/>
        <v>0</v>
      </c>
      <c r="FR88" s="43">
        <f t="shared" si="13"/>
        <v>0</v>
      </c>
      <c r="FS88" s="43">
        <f t="shared" si="13"/>
        <v>0</v>
      </c>
      <c r="FV88" t="s">
        <v>696</v>
      </c>
      <c r="FW88" t="s">
        <v>697</v>
      </c>
    </row>
    <row r="89" spans="1:179" ht="19.5" customHeight="1" x14ac:dyDescent="0.25">
      <c r="A89" t="s">
        <v>698</v>
      </c>
      <c r="B89" s="36">
        <v>0</v>
      </c>
      <c r="C89" s="36">
        <v>0</v>
      </c>
      <c r="D89" s="36">
        <v>0</v>
      </c>
      <c r="E89" s="36">
        <v>0</v>
      </c>
      <c r="F89" s="36">
        <v>0</v>
      </c>
      <c r="G89" s="36">
        <v>0</v>
      </c>
      <c r="H89" s="36">
        <v>0</v>
      </c>
      <c r="I89" s="36">
        <v>0</v>
      </c>
      <c r="J89" s="36">
        <v>0</v>
      </c>
      <c r="K89" s="36">
        <v>0</v>
      </c>
      <c r="L89" s="36">
        <v>0</v>
      </c>
      <c r="M89" s="36">
        <v>0</v>
      </c>
      <c r="N89" s="36">
        <v>0</v>
      </c>
      <c r="O89" s="36">
        <v>0</v>
      </c>
      <c r="P89" s="36">
        <v>0</v>
      </c>
      <c r="Q89" s="36">
        <v>0</v>
      </c>
      <c r="R89" s="36">
        <v>0</v>
      </c>
      <c r="S89" s="36">
        <v>0</v>
      </c>
      <c r="T89" s="36">
        <v>0</v>
      </c>
      <c r="U89" s="36">
        <v>0</v>
      </c>
      <c r="V89" s="36">
        <v>0</v>
      </c>
      <c r="W89" s="36">
        <v>0</v>
      </c>
      <c r="X89" s="36">
        <v>0</v>
      </c>
      <c r="Y89" s="36">
        <v>0</v>
      </c>
      <c r="Z89" s="36">
        <v>0</v>
      </c>
      <c r="AA89" s="36">
        <v>0</v>
      </c>
      <c r="AB89" s="36">
        <v>0</v>
      </c>
      <c r="AC89" s="36">
        <v>0</v>
      </c>
      <c r="AD89" s="36">
        <v>0</v>
      </c>
      <c r="AE89" s="36">
        <v>0</v>
      </c>
      <c r="AF89" s="36">
        <v>0</v>
      </c>
      <c r="AG89" s="36">
        <v>0</v>
      </c>
      <c r="AH89" s="36">
        <v>0</v>
      </c>
      <c r="AI89" s="36">
        <v>0</v>
      </c>
      <c r="AJ89" s="36">
        <v>0</v>
      </c>
      <c r="AK89" s="36">
        <v>0</v>
      </c>
      <c r="AL89" s="36">
        <v>0</v>
      </c>
      <c r="AM89" s="36">
        <v>0</v>
      </c>
      <c r="AN89" s="36">
        <v>0</v>
      </c>
      <c r="AO89" s="36">
        <v>0</v>
      </c>
      <c r="AP89" s="36">
        <v>0</v>
      </c>
      <c r="AQ89" s="36">
        <v>0</v>
      </c>
      <c r="AR89" s="36">
        <v>0</v>
      </c>
      <c r="AS89" s="36">
        <v>0</v>
      </c>
      <c r="AT89" s="36">
        <v>0</v>
      </c>
      <c r="AU89" s="36">
        <v>0</v>
      </c>
      <c r="AV89" s="36">
        <v>0</v>
      </c>
      <c r="AW89" s="36">
        <v>0</v>
      </c>
      <c r="AX89" s="36">
        <v>0</v>
      </c>
      <c r="AY89" s="36">
        <v>0</v>
      </c>
      <c r="AZ89" s="36">
        <v>0</v>
      </c>
      <c r="BA89" s="36">
        <v>0</v>
      </c>
      <c r="BB89" s="36">
        <v>0</v>
      </c>
      <c r="BC89" s="36">
        <v>0</v>
      </c>
      <c r="BD89" s="36">
        <v>0</v>
      </c>
      <c r="BE89" s="36">
        <v>0</v>
      </c>
      <c r="BF89" s="36">
        <v>0</v>
      </c>
      <c r="BG89" s="36">
        <v>0</v>
      </c>
      <c r="BH89" s="36">
        <v>0</v>
      </c>
      <c r="BI89" s="36">
        <v>0</v>
      </c>
      <c r="BJ89" s="36">
        <v>0</v>
      </c>
      <c r="BK89" s="36">
        <v>0</v>
      </c>
      <c r="BL89" s="36">
        <v>0</v>
      </c>
      <c r="BM89" s="36">
        <v>0</v>
      </c>
      <c r="BN89" s="36">
        <v>0</v>
      </c>
      <c r="BO89" s="36">
        <v>0</v>
      </c>
      <c r="BP89" s="36">
        <v>0</v>
      </c>
      <c r="BQ89" s="36">
        <v>0</v>
      </c>
      <c r="BR89" s="36">
        <v>0</v>
      </c>
      <c r="BS89" s="36">
        <v>0</v>
      </c>
      <c r="BT89" s="36">
        <v>0</v>
      </c>
      <c r="BU89" s="36">
        <v>0</v>
      </c>
      <c r="BV89" s="36">
        <v>0</v>
      </c>
      <c r="BW89" s="36">
        <v>0</v>
      </c>
      <c r="BX89" s="36">
        <v>0</v>
      </c>
      <c r="BY89" s="36">
        <v>0</v>
      </c>
      <c r="BZ89" s="36">
        <v>0</v>
      </c>
      <c r="CA89" s="36">
        <v>0</v>
      </c>
      <c r="CB89" s="36">
        <v>0</v>
      </c>
      <c r="CC89" s="36">
        <v>0</v>
      </c>
      <c r="CD89" s="36">
        <v>0</v>
      </c>
      <c r="CE89" s="36">
        <v>0</v>
      </c>
      <c r="CF89" s="36">
        <v>0</v>
      </c>
      <c r="CG89" s="36">
        <v>0</v>
      </c>
      <c r="CH89" s="36">
        <v>0</v>
      </c>
      <c r="CI89" s="36">
        <v>0</v>
      </c>
      <c r="CJ89" s="36">
        <v>0</v>
      </c>
      <c r="CK89" s="36">
        <v>8</v>
      </c>
      <c r="CL89" s="36">
        <v>-8</v>
      </c>
      <c r="CM89" s="36">
        <v>0</v>
      </c>
      <c r="CN89" s="36">
        <v>0</v>
      </c>
      <c r="CO89" s="36">
        <v>0</v>
      </c>
      <c r="CP89" s="36">
        <v>2</v>
      </c>
      <c r="CQ89" s="36">
        <v>0</v>
      </c>
      <c r="CR89" s="36">
        <v>0</v>
      </c>
      <c r="CS89" s="36">
        <v>0</v>
      </c>
      <c r="CT89" s="36">
        <v>0</v>
      </c>
      <c r="CU89" s="36">
        <v>0</v>
      </c>
      <c r="CV89" s="36">
        <v>0</v>
      </c>
      <c r="CW89" s="36">
        <v>0</v>
      </c>
      <c r="CX89" s="36">
        <v>0</v>
      </c>
      <c r="CY89" s="36">
        <v>0</v>
      </c>
      <c r="CZ89" s="36">
        <v>0</v>
      </c>
      <c r="DA89" s="36">
        <v>0</v>
      </c>
      <c r="DB89" s="36">
        <v>0</v>
      </c>
      <c r="DC89" s="36">
        <v>0</v>
      </c>
      <c r="DD89" s="36">
        <v>0</v>
      </c>
      <c r="DE89" s="36">
        <v>0</v>
      </c>
      <c r="DF89" s="36">
        <v>0</v>
      </c>
      <c r="DG89" s="36">
        <v>0</v>
      </c>
      <c r="DH89" s="36">
        <v>0</v>
      </c>
      <c r="DI89" s="36">
        <v>0</v>
      </c>
      <c r="DJ89" s="36">
        <v>0</v>
      </c>
      <c r="DK89" s="36">
        <v>0</v>
      </c>
      <c r="DL89" s="36">
        <v>0</v>
      </c>
      <c r="DM89" s="36">
        <v>0</v>
      </c>
      <c r="DN89" s="36">
        <v>0</v>
      </c>
      <c r="DO89" s="36">
        <v>0</v>
      </c>
      <c r="DP89" s="36">
        <v>0</v>
      </c>
      <c r="DQ89" s="36">
        <v>0</v>
      </c>
      <c r="DR89" s="36">
        <v>0</v>
      </c>
      <c r="DS89" s="36">
        <v>0</v>
      </c>
      <c r="DT89" s="36">
        <v>0</v>
      </c>
      <c r="DU89" s="36">
        <v>-1</v>
      </c>
      <c r="DV89" s="36">
        <v>0</v>
      </c>
      <c r="DW89" s="36">
        <v>0</v>
      </c>
      <c r="DX89" s="36">
        <v>0</v>
      </c>
      <c r="DY89" s="36">
        <v>0</v>
      </c>
      <c r="DZ89" s="36">
        <v>0</v>
      </c>
      <c r="EA89" s="36">
        <v>0</v>
      </c>
      <c r="EB89" s="36">
        <v>0</v>
      </c>
      <c r="EC89" s="36">
        <v>0</v>
      </c>
      <c r="ED89" s="36">
        <v>0</v>
      </c>
      <c r="EE89" s="36">
        <v>0</v>
      </c>
      <c r="EF89" s="36">
        <v>0</v>
      </c>
      <c r="EG89" s="36">
        <v>0</v>
      </c>
      <c r="EH89" s="36">
        <v>0</v>
      </c>
      <c r="EI89" s="36">
        <v>0</v>
      </c>
      <c r="EJ89" s="36">
        <v>2</v>
      </c>
      <c r="EK89" s="36">
        <v>-2</v>
      </c>
      <c r="EL89" s="36">
        <v>0</v>
      </c>
      <c r="EM89" s="36">
        <v>0</v>
      </c>
      <c r="EN89" s="36">
        <v>0</v>
      </c>
      <c r="EO89" s="36">
        <v>0</v>
      </c>
      <c r="EP89" s="36">
        <v>0</v>
      </c>
      <c r="ET89" t="s">
        <v>132</v>
      </c>
      <c r="EU89" t="s">
        <v>101</v>
      </c>
      <c r="EV89" s="36">
        <v>1</v>
      </c>
      <c r="EW89" s="36">
        <v>0</v>
      </c>
      <c r="EX89" s="36">
        <v>1</v>
      </c>
      <c r="EY89" s="36">
        <v>0</v>
      </c>
      <c r="EZ89" s="36">
        <v>0</v>
      </c>
      <c r="FA89" s="36">
        <v>0</v>
      </c>
      <c r="FB89" s="36">
        <v>0</v>
      </c>
      <c r="FC89" s="42">
        <f t="shared" si="29"/>
        <v>0</v>
      </c>
      <c r="FE89">
        <f t="shared" si="26"/>
        <v>0</v>
      </c>
      <c r="FF89">
        <f t="shared" si="27"/>
        <v>0</v>
      </c>
      <c r="FG89">
        <f t="shared" si="28"/>
        <v>0</v>
      </c>
      <c r="FM89" s="43">
        <f t="shared" si="14"/>
        <v>0</v>
      </c>
      <c r="FN89" s="43">
        <f t="shared" si="14"/>
        <v>0</v>
      </c>
      <c r="FO89" s="43">
        <f t="shared" si="14"/>
        <v>0</v>
      </c>
      <c r="FP89" s="43">
        <f t="shared" si="13"/>
        <v>0</v>
      </c>
      <c r="FQ89" s="43">
        <f t="shared" si="13"/>
        <v>0</v>
      </c>
      <c r="FR89" s="43">
        <f t="shared" si="13"/>
        <v>0</v>
      </c>
      <c r="FS89" s="43">
        <f t="shared" si="13"/>
        <v>0</v>
      </c>
      <c r="FV89" t="s">
        <v>699</v>
      </c>
      <c r="FW89" t="s">
        <v>700</v>
      </c>
    </row>
    <row r="90" spans="1:179" ht="19.5" customHeight="1" x14ac:dyDescent="0.25">
      <c r="A90" t="s">
        <v>701</v>
      </c>
      <c r="B90" s="36">
        <v>0</v>
      </c>
      <c r="C90" s="36">
        <v>0</v>
      </c>
      <c r="D90" s="36">
        <v>0</v>
      </c>
      <c r="E90" s="36">
        <v>0</v>
      </c>
      <c r="F90" s="36">
        <v>0</v>
      </c>
      <c r="G90" s="36">
        <v>0</v>
      </c>
      <c r="H90" s="36">
        <v>0</v>
      </c>
      <c r="I90" s="36">
        <v>0</v>
      </c>
      <c r="J90" s="36">
        <v>0</v>
      </c>
      <c r="K90" s="36">
        <v>0</v>
      </c>
      <c r="L90" s="36">
        <v>0</v>
      </c>
      <c r="M90" s="36">
        <v>0</v>
      </c>
      <c r="N90" s="36">
        <v>0</v>
      </c>
      <c r="O90" s="36">
        <v>0</v>
      </c>
      <c r="P90" s="36">
        <v>0</v>
      </c>
      <c r="Q90" s="36">
        <v>0</v>
      </c>
      <c r="R90" s="36">
        <v>0</v>
      </c>
      <c r="S90" s="36">
        <v>0</v>
      </c>
      <c r="T90" s="36">
        <v>0</v>
      </c>
      <c r="U90" s="36">
        <v>0</v>
      </c>
      <c r="V90" s="36">
        <v>0</v>
      </c>
      <c r="W90" s="36">
        <v>0</v>
      </c>
      <c r="X90" s="36">
        <v>0</v>
      </c>
      <c r="Y90" s="36">
        <v>0</v>
      </c>
      <c r="Z90" s="36">
        <v>0</v>
      </c>
      <c r="AA90" s="36">
        <v>0</v>
      </c>
      <c r="AB90" s="36">
        <v>0</v>
      </c>
      <c r="AC90" s="36">
        <v>0</v>
      </c>
      <c r="AD90" s="36">
        <v>0</v>
      </c>
      <c r="AE90" s="36">
        <v>0</v>
      </c>
      <c r="AF90" s="36">
        <v>0</v>
      </c>
      <c r="AG90" s="36">
        <v>0</v>
      </c>
      <c r="AH90" s="36">
        <v>0</v>
      </c>
      <c r="AI90" s="36">
        <v>0</v>
      </c>
      <c r="AJ90" s="36">
        <v>0</v>
      </c>
      <c r="AK90" s="36">
        <v>0</v>
      </c>
      <c r="AL90" s="36">
        <v>0</v>
      </c>
      <c r="AM90" s="36">
        <v>0</v>
      </c>
      <c r="AN90" s="36">
        <v>0</v>
      </c>
      <c r="AO90" s="36">
        <v>0</v>
      </c>
      <c r="AP90" s="36">
        <v>0</v>
      </c>
      <c r="AQ90" s="36">
        <v>0</v>
      </c>
      <c r="AR90" s="36">
        <v>0</v>
      </c>
      <c r="AS90" s="36">
        <v>0</v>
      </c>
      <c r="AT90" s="36">
        <v>0</v>
      </c>
      <c r="AU90" s="36">
        <v>0</v>
      </c>
      <c r="AV90" s="36">
        <v>0</v>
      </c>
      <c r="AW90" s="36">
        <v>0</v>
      </c>
      <c r="AX90" s="36">
        <v>0</v>
      </c>
      <c r="AY90" s="36">
        <v>0</v>
      </c>
      <c r="AZ90" s="36">
        <v>0</v>
      </c>
      <c r="BA90" s="36">
        <v>0</v>
      </c>
      <c r="BB90" s="36">
        <v>0</v>
      </c>
      <c r="BC90" s="36">
        <v>0</v>
      </c>
      <c r="BD90" s="36">
        <v>0</v>
      </c>
      <c r="BE90" s="36">
        <v>0</v>
      </c>
      <c r="BF90" s="36">
        <v>0</v>
      </c>
      <c r="BG90" s="36">
        <v>0</v>
      </c>
      <c r="BH90" s="36">
        <v>0</v>
      </c>
      <c r="BI90" s="36">
        <v>0</v>
      </c>
      <c r="BJ90" s="36">
        <v>0</v>
      </c>
      <c r="BK90" s="36">
        <v>0</v>
      </c>
      <c r="BL90" s="36">
        <v>-1</v>
      </c>
      <c r="BM90" s="36">
        <v>0</v>
      </c>
      <c r="BN90" s="36">
        <v>0</v>
      </c>
      <c r="BO90" s="36">
        <v>0</v>
      </c>
      <c r="BP90" s="36">
        <v>0</v>
      </c>
      <c r="BQ90" s="36">
        <v>0</v>
      </c>
      <c r="BR90" s="36">
        <v>0</v>
      </c>
      <c r="BS90" s="36">
        <v>0</v>
      </c>
      <c r="BT90" s="36">
        <v>0</v>
      </c>
      <c r="BU90" s="36">
        <v>0</v>
      </c>
      <c r="BV90" s="36">
        <v>0</v>
      </c>
      <c r="BW90" s="36">
        <v>0</v>
      </c>
      <c r="BX90" s="36">
        <v>0</v>
      </c>
      <c r="BY90" s="36">
        <v>0</v>
      </c>
      <c r="BZ90" s="36">
        <v>0</v>
      </c>
      <c r="CA90" s="36">
        <v>0</v>
      </c>
      <c r="CB90" s="36">
        <v>0</v>
      </c>
      <c r="CC90" s="36">
        <v>0</v>
      </c>
      <c r="CD90" s="36">
        <v>0</v>
      </c>
      <c r="CE90" s="36">
        <v>0</v>
      </c>
      <c r="CF90" s="36">
        <v>0</v>
      </c>
      <c r="CG90" s="36">
        <v>0</v>
      </c>
      <c r="CH90" s="36">
        <v>0</v>
      </c>
      <c r="CI90" s="36">
        <v>0</v>
      </c>
      <c r="CJ90" s="36">
        <v>0</v>
      </c>
      <c r="CK90" s="36">
        <v>1</v>
      </c>
      <c r="CL90" s="36">
        <v>0</v>
      </c>
      <c r="CM90" s="36">
        <v>0</v>
      </c>
      <c r="CN90" s="36">
        <v>0</v>
      </c>
      <c r="CO90" s="36">
        <v>0</v>
      </c>
      <c r="CP90" s="36">
        <v>-1</v>
      </c>
      <c r="CQ90" s="36">
        <v>0</v>
      </c>
      <c r="CR90" s="36">
        <v>0</v>
      </c>
      <c r="CS90" s="36">
        <v>0</v>
      </c>
      <c r="CT90" s="36">
        <v>0</v>
      </c>
      <c r="CU90" s="36">
        <v>0</v>
      </c>
      <c r="CV90" s="36">
        <v>0</v>
      </c>
      <c r="CW90" s="36">
        <v>0</v>
      </c>
      <c r="CX90" s="36">
        <v>0</v>
      </c>
      <c r="CY90" s="36">
        <v>0</v>
      </c>
      <c r="CZ90" s="36">
        <v>0</v>
      </c>
      <c r="DA90" s="36">
        <v>0</v>
      </c>
      <c r="DB90" s="36">
        <v>0</v>
      </c>
      <c r="DC90" s="36">
        <v>0</v>
      </c>
      <c r="DD90" s="36">
        <v>0</v>
      </c>
      <c r="DE90" s="36">
        <v>0</v>
      </c>
      <c r="DF90" s="36">
        <v>0</v>
      </c>
      <c r="DG90" s="36">
        <v>0</v>
      </c>
      <c r="DH90" s="36">
        <v>0</v>
      </c>
      <c r="DI90" s="36">
        <v>0</v>
      </c>
      <c r="DJ90" s="36">
        <v>0</v>
      </c>
      <c r="DK90" s="36">
        <v>0</v>
      </c>
      <c r="DL90" s="36">
        <v>0</v>
      </c>
      <c r="DM90" s="36">
        <v>0</v>
      </c>
      <c r="DN90" s="36">
        <v>0</v>
      </c>
      <c r="DO90" s="36">
        <v>0</v>
      </c>
      <c r="DP90" s="36">
        <v>0</v>
      </c>
      <c r="DQ90" s="36">
        <v>0</v>
      </c>
      <c r="DR90" s="36">
        <v>0</v>
      </c>
      <c r="DS90" s="36">
        <v>0</v>
      </c>
      <c r="DT90" s="36">
        <v>0</v>
      </c>
      <c r="DU90" s="36">
        <v>0</v>
      </c>
      <c r="DV90" s="36">
        <v>0</v>
      </c>
      <c r="DW90" s="36">
        <v>0</v>
      </c>
      <c r="DX90" s="36">
        <v>2</v>
      </c>
      <c r="DY90" s="36">
        <v>0</v>
      </c>
      <c r="DZ90" s="36">
        <v>0</v>
      </c>
      <c r="EA90" s="36">
        <v>0</v>
      </c>
      <c r="EB90" s="36">
        <v>0</v>
      </c>
      <c r="EC90" s="36">
        <v>0</v>
      </c>
      <c r="ED90" s="36">
        <v>0</v>
      </c>
      <c r="EE90" s="36">
        <v>0</v>
      </c>
      <c r="EF90" s="36">
        <v>0</v>
      </c>
      <c r="EG90" s="36">
        <v>0</v>
      </c>
      <c r="EH90" s="36">
        <v>0</v>
      </c>
      <c r="EI90" s="36">
        <v>0</v>
      </c>
      <c r="EJ90" s="36">
        <v>0</v>
      </c>
      <c r="EK90" s="36">
        <v>0</v>
      </c>
      <c r="EL90" s="36">
        <v>0</v>
      </c>
      <c r="EM90" s="36">
        <v>0</v>
      </c>
      <c r="EN90" s="36">
        <v>0</v>
      </c>
      <c r="EO90" s="36">
        <v>0</v>
      </c>
      <c r="EP90" s="36">
        <v>0</v>
      </c>
      <c r="ET90" t="s">
        <v>702</v>
      </c>
      <c r="EU90" t="s">
        <v>101</v>
      </c>
      <c r="EV90" s="36">
        <v>1</v>
      </c>
      <c r="EW90" s="36">
        <v>0</v>
      </c>
      <c r="EX90" s="36">
        <v>1</v>
      </c>
      <c r="EY90" s="36">
        <v>0</v>
      </c>
      <c r="EZ90" s="36">
        <v>0</v>
      </c>
      <c r="FA90" s="36">
        <v>0</v>
      </c>
      <c r="FB90" s="36">
        <v>0</v>
      </c>
      <c r="FC90" s="42">
        <f t="shared" si="29"/>
        <v>0</v>
      </c>
      <c r="FE90">
        <f t="shared" si="26"/>
        <v>0</v>
      </c>
      <c r="FF90">
        <f t="shared" si="27"/>
        <v>0</v>
      </c>
      <c r="FG90">
        <f t="shared" si="28"/>
        <v>0</v>
      </c>
      <c r="FM90" s="43">
        <f t="shared" si="14"/>
        <v>0</v>
      </c>
      <c r="FN90" s="43">
        <f t="shared" si="14"/>
        <v>0</v>
      </c>
      <c r="FO90" s="43">
        <f t="shared" si="14"/>
        <v>0</v>
      </c>
      <c r="FP90" s="43">
        <f t="shared" si="13"/>
        <v>0</v>
      </c>
      <c r="FQ90" s="43">
        <f t="shared" si="13"/>
        <v>0</v>
      </c>
      <c r="FR90" s="43">
        <f t="shared" si="13"/>
        <v>0</v>
      </c>
      <c r="FS90" s="43">
        <f t="shared" si="13"/>
        <v>0</v>
      </c>
      <c r="FV90" t="s">
        <v>703</v>
      </c>
      <c r="FW90" t="s">
        <v>704</v>
      </c>
    </row>
    <row r="91" spans="1:179" ht="19.5" customHeight="1" x14ac:dyDescent="0.35">
      <c r="A91" t="s">
        <v>705</v>
      </c>
      <c r="B91" s="36">
        <v>0</v>
      </c>
      <c r="C91" s="36">
        <v>0</v>
      </c>
      <c r="D91" s="36">
        <v>0</v>
      </c>
      <c r="E91" s="36">
        <v>0</v>
      </c>
      <c r="F91" s="36">
        <v>0</v>
      </c>
      <c r="G91" s="36">
        <v>0</v>
      </c>
      <c r="H91" s="36">
        <v>0</v>
      </c>
      <c r="I91" s="36">
        <v>0</v>
      </c>
      <c r="J91" s="36">
        <v>0</v>
      </c>
      <c r="K91" s="36">
        <v>0</v>
      </c>
      <c r="L91" s="36">
        <v>0</v>
      </c>
      <c r="M91" s="36">
        <v>0</v>
      </c>
      <c r="N91" s="36">
        <v>0</v>
      </c>
      <c r="O91" s="36">
        <v>0</v>
      </c>
      <c r="P91" s="36">
        <v>0</v>
      </c>
      <c r="Q91" s="36">
        <v>0</v>
      </c>
      <c r="R91" s="36">
        <v>0</v>
      </c>
      <c r="S91" s="36">
        <v>0</v>
      </c>
      <c r="T91" s="36">
        <v>0</v>
      </c>
      <c r="U91" s="36">
        <v>0</v>
      </c>
      <c r="V91" s="36">
        <v>0</v>
      </c>
      <c r="W91" s="36">
        <v>0</v>
      </c>
      <c r="X91" s="36">
        <v>0</v>
      </c>
      <c r="Y91" s="36">
        <v>0</v>
      </c>
      <c r="Z91" s="36">
        <v>0</v>
      </c>
      <c r="AA91" s="36">
        <v>0</v>
      </c>
      <c r="AB91" s="36">
        <v>0</v>
      </c>
      <c r="AC91" s="36">
        <v>0</v>
      </c>
      <c r="AD91" s="36">
        <v>0</v>
      </c>
      <c r="AE91" s="36">
        <v>0</v>
      </c>
      <c r="AF91" s="36">
        <v>0</v>
      </c>
      <c r="AG91" s="36">
        <v>0</v>
      </c>
      <c r="AH91" s="36">
        <v>0</v>
      </c>
      <c r="AI91" s="36">
        <v>0</v>
      </c>
      <c r="AJ91" s="36">
        <v>0</v>
      </c>
      <c r="AK91" s="36">
        <v>0</v>
      </c>
      <c r="AL91" s="36">
        <v>0</v>
      </c>
      <c r="AM91" s="36">
        <v>0</v>
      </c>
      <c r="AN91" s="36">
        <v>0</v>
      </c>
      <c r="AO91" s="36">
        <v>0</v>
      </c>
      <c r="AP91" s="36">
        <v>0</v>
      </c>
      <c r="AQ91" s="36">
        <v>1</v>
      </c>
      <c r="AR91" s="36">
        <v>-1</v>
      </c>
      <c r="AS91" s="36">
        <v>0</v>
      </c>
      <c r="AT91" s="36">
        <v>0</v>
      </c>
      <c r="AU91" s="36">
        <v>0</v>
      </c>
      <c r="AV91" s="36">
        <v>0</v>
      </c>
      <c r="AW91" s="36">
        <v>0</v>
      </c>
      <c r="AX91" s="36">
        <v>0</v>
      </c>
      <c r="AY91" s="36">
        <v>0</v>
      </c>
      <c r="AZ91" s="36">
        <v>0</v>
      </c>
      <c r="BA91" s="36">
        <v>0</v>
      </c>
      <c r="BB91" s="36">
        <v>0</v>
      </c>
      <c r="BC91" s="36">
        <v>0</v>
      </c>
      <c r="BD91" s="36">
        <v>0</v>
      </c>
      <c r="BE91" s="36">
        <v>0</v>
      </c>
      <c r="BF91" s="36">
        <v>0</v>
      </c>
      <c r="BG91" s="36">
        <v>0</v>
      </c>
      <c r="BH91" s="36">
        <v>0</v>
      </c>
      <c r="BI91" s="36">
        <v>0</v>
      </c>
      <c r="BJ91" s="36">
        <v>0</v>
      </c>
      <c r="BK91" s="36">
        <v>0</v>
      </c>
      <c r="BL91" s="36">
        <v>1</v>
      </c>
      <c r="BM91" s="36">
        <v>0</v>
      </c>
      <c r="BN91" s="36">
        <v>0</v>
      </c>
      <c r="BO91" s="36">
        <v>0</v>
      </c>
      <c r="BP91" s="36">
        <v>0</v>
      </c>
      <c r="BQ91" s="36">
        <v>0</v>
      </c>
      <c r="BR91" s="36">
        <v>0</v>
      </c>
      <c r="BS91" s="36">
        <v>0</v>
      </c>
      <c r="BT91" s="36">
        <v>0</v>
      </c>
      <c r="BU91" s="36">
        <v>0</v>
      </c>
      <c r="BV91" s="36">
        <v>0</v>
      </c>
      <c r="BW91" s="36">
        <v>0</v>
      </c>
      <c r="BX91" s="36">
        <v>0</v>
      </c>
      <c r="BY91" s="36">
        <v>0</v>
      </c>
      <c r="BZ91" s="36">
        <v>0</v>
      </c>
      <c r="CA91" s="36">
        <v>0</v>
      </c>
      <c r="CB91" s="36">
        <v>0</v>
      </c>
      <c r="CC91" s="36">
        <v>0</v>
      </c>
      <c r="CD91" s="36">
        <v>0</v>
      </c>
      <c r="CE91" s="36">
        <v>0</v>
      </c>
      <c r="CF91" s="36">
        <v>0</v>
      </c>
      <c r="CG91" s="36">
        <v>0</v>
      </c>
      <c r="CH91" s="36">
        <v>0</v>
      </c>
      <c r="CI91" s="36">
        <v>0</v>
      </c>
      <c r="CJ91" s="36">
        <v>0</v>
      </c>
      <c r="CK91" s="36">
        <v>0</v>
      </c>
      <c r="CL91" s="36">
        <v>1</v>
      </c>
      <c r="CM91" s="36">
        <v>0</v>
      </c>
      <c r="CN91" s="36">
        <v>0</v>
      </c>
      <c r="CO91" s="36">
        <v>0</v>
      </c>
      <c r="CP91" s="36">
        <v>-1</v>
      </c>
      <c r="CQ91" s="36">
        <v>0</v>
      </c>
      <c r="CR91" s="36">
        <v>0</v>
      </c>
      <c r="CS91" s="36">
        <v>0</v>
      </c>
      <c r="CT91" s="36">
        <v>0</v>
      </c>
      <c r="CU91" s="36">
        <v>0</v>
      </c>
      <c r="CV91" s="36">
        <v>0</v>
      </c>
      <c r="CW91" s="36">
        <v>0</v>
      </c>
      <c r="CX91" s="36">
        <v>0</v>
      </c>
      <c r="CY91" s="36">
        <v>0</v>
      </c>
      <c r="CZ91" s="36">
        <v>0</v>
      </c>
      <c r="DA91" s="36">
        <v>0</v>
      </c>
      <c r="DB91" s="36">
        <v>0</v>
      </c>
      <c r="DC91" s="36">
        <v>0</v>
      </c>
      <c r="DD91" s="36">
        <v>0</v>
      </c>
      <c r="DE91" s="36">
        <v>0</v>
      </c>
      <c r="DF91" s="36">
        <v>0</v>
      </c>
      <c r="DG91" s="36">
        <v>0</v>
      </c>
      <c r="DH91" s="36">
        <v>0</v>
      </c>
      <c r="DI91" s="36">
        <v>0</v>
      </c>
      <c r="DJ91" s="36">
        <v>0</v>
      </c>
      <c r="DK91" s="36">
        <v>0</v>
      </c>
      <c r="DL91" s="36">
        <v>0</v>
      </c>
      <c r="DM91" s="36">
        <v>0</v>
      </c>
      <c r="DN91" s="36">
        <v>0</v>
      </c>
      <c r="DO91" s="36">
        <v>0</v>
      </c>
      <c r="DP91" s="36">
        <v>0</v>
      </c>
      <c r="DQ91" s="36">
        <v>0</v>
      </c>
      <c r="DR91" s="36">
        <v>0</v>
      </c>
      <c r="DS91" s="36">
        <v>0</v>
      </c>
      <c r="DT91" s="36">
        <v>0</v>
      </c>
      <c r="DU91" s="36">
        <v>0</v>
      </c>
      <c r="DV91" s="36">
        <v>0</v>
      </c>
      <c r="DW91" s="36">
        <v>0</v>
      </c>
      <c r="DX91" s="36">
        <v>0</v>
      </c>
      <c r="DY91" s="36">
        <v>0</v>
      </c>
      <c r="DZ91" s="36">
        <v>0</v>
      </c>
      <c r="EA91" s="36">
        <v>0</v>
      </c>
      <c r="EB91" s="36">
        <v>0</v>
      </c>
      <c r="EC91" s="36">
        <v>0</v>
      </c>
      <c r="ED91" s="36">
        <v>0</v>
      </c>
      <c r="EE91" s="36">
        <v>0</v>
      </c>
      <c r="EF91" s="36">
        <v>0</v>
      </c>
      <c r="EG91" s="36">
        <v>0</v>
      </c>
      <c r="EH91" s="36">
        <v>0</v>
      </c>
      <c r="EI91" s="36">
        <v>0</v>
      </c>
      <c r="EJ91" s="36">
        <v>0</v>
      </c>
      <c r="EK91" s="36">
        <v>0</v>
      </c>
      <c r="EL91" s="36">
        <v>0</v>
      </c>
      <c r="EM91" s="36">
        <v>0</v>
      </c>
      <c r="EN91" s="36">
        <v>0</v>
      </c>
      <c r="EO91" s="36">
        <v>0</v>
      </c>
      <c r="EP91" s="36">
        <v>0</v>
      </c>
      <c r="ET91" t="s">
        <v>297</v>
      </c>
      <c r="EU91" t="s">
        <v>706</v>
      </c>
      <c r="EV91" s="36">
        <v>0</v>
      </c>
      <c r="EW91" s="36">
        <v>0</v>
      </c>
      <c r="EX91" s="36">
        <v>2</v>
      </c>
      <c r="EY91" s="36">
        <v>0</v>
      </c>
      <c r="EZ91" s="36">
        <v>0</v>
      </c>
      <c r="FA91" s="36">
        <v>0</v>
      </c>
      <c r="FB91" s="36">
        <v>0</v>
      </c>
      <c r="FC91" s="42">
        <f t="shared" si="29"/>
        <v>2</v>
      </c>
      <c r="FE91">
        <f t="shared" si="26"/>
        <v>2</v>
      </c>
      <c r="FF91">
        <f t="shared" si="27"/>
        <v>2</v>
      </c>
      <c r="FG91">
        <f t="shared" si="28"/>
        <v>2</v>
      </c>
      <c r="FM91" s="43">
        <f t="shared" si="14"/>
        <v>0</v>
      </c>
      <c r="FN91" s="43">
        <f t="shared" si="14"/>
        <v>0</v>
      </c>
      <c r="FO91" s="43">
        <f t="shared" si="14"/>
        <v>0</v>
      </c>
      <c r="FP91" s="43">
        <f t="shared" si="13"/>
        <v>0</v>
      </c>
      <c r="FQ91" s="43">
        <f t="shared" si="13"/>
        <v>0</v>
      </c>
      <c r="FR91" s="43">
        <f t="shared" si="13"/>
        <v>0</v>
      </c>
      <c r="FS91" s="43">
        <f t="shared" si="13"/>
        <v>0</v>
      </c>
      <c r="FV91" t="s">
        <v>707</v>
      </c>
      <c r="FW91" t="s">
        <v>708</v>
      </c>
    </row>
    <row r="92" spans="1:179" ht="19.5" customHeight="1" x14ac:dyDescent="0.35">
      <c r="A92" t="s">
        <v>709</v>
      </c>
      <c r="B92" s="36">
        <v>1</v>
      </c>
      <c r="C92" s="36">
        <v>0</v>
      </c>
      <c r="D92" s="36">
        <v>0</v>
      </c>
      <c r="E92" s="36">
        <v>0</v>
      </c>
      <c r="F92" s="36">
        <v>0</v>
      </c>
      <c r="G92" s="36">
        <v>0</v>
      </c>
      <c r="H92" s="36">
        <v>0</v>
      </c>
      <c r="I92" s="36">
        <v>0</v>
      </c>
      <c r="J92" s="36">
        <v>0</v>
      </c>
      <c r="K92" s="36">
        <v>0</v>
      </c>
      <c r="L92" s="36">
        <v>0</v>
      </c>
      <c r="M92" s="36">
        <v>0</v>
      </c>
      <c r="N92" s="36">
        <v>0</v>
      </c>
      <c r="O92" s="36">
        <v>0</v>
      </c>
      <c r="P92" s="36">
        <v>0</v>
      </c>
      <c r="Q92" s="36">
        <v>0</v>
      </c>
      <c r="R92" s="36">
        <v>0</v>
      </c>
      <c r="S92" s="36">
        <v>0</v>
      </c>
      <c r="T92" s="36">
        <v>0</v>
      </c>
      <c r="U92" s="36">
        <v>0</v>
      </c>
      <c r="V92" s="36">
        <v>0</v>
      </c>
      <c r="W92" s="36">
        <v>0</v>
      </c>
      <c r="X92" s="36">
        <v>0</v>
      </c>
      <c r="Y92" s="36">
        <v>0</v>
      </c>
      <c r="Z92" s="36">
        <v>0</v>
      </c>
      <c r="AA92" s="36">
        <v>0</v>
      </c>
      <c r="AB92" s="36">
        <v>0</v>
      </c>
      <c r="AC92" s="36">
        <v>0</v>
      </c>
      <c r="AD92" s="36">
        <v>0</v>
      </c>
      <c r="AE92" s="36">
        <v>0</v>
      </c>
      <c r="AF92" s="36">
        <v>0</v>
      </c>
      <c r="AG92" s="36">
        <v>0</v>
      </c>
      <c r="AH92" s="36">
        <v>0</v>
      </c>
      <c r="AI92" s="36">
        <v>0</v>
      </c>
      <c r="AJ92" s="36">
        <v>0</v>
      </c>
      <c r="AK92" s="36">
        <v>0</v>
      </c>
      <c r="AL92" s="36">
        <v>-1</v>
      </c>
      <c r="AM92" s="36">
        <v>0</v>
      </c>
      <c r="AN92" s="36">
        <v>0</v>
      </c>
      <c r="AO92" s="36">
        <v>0</v>
      </c>
      <c r="AP92" s="36">
        <v>0</v>
      </c>
      <c r="AQ92" s="36">
        <v>0</v>
      </c>
      <c r="AR92" s="36">
        <v>1</v>
      </c>
      <c r="AS92" s="36">
        <v>0</v>
      </c>
      <c r="AT92" s="36">
        <v>0</v>
      </c>
      <c r="AU92" s="36">
        <v>0</v>
      </c>
      <c r="AV92" s="36">
        <v>0</v>
      </c>
      <c r="AW92" s="36">
        <v>0</v>
      </c>
      <c r="AX92" s="36">
        <v>0</v>
      </c>
      <c r="AY92" s="36">
        <v>0</v>
      </c>
      <c r="AZ92" s="36">
        <v>0</v>
      </c>
      <c r="BA92" s="36">
        <v>0</v>
      </c>
      <c r="BB92" s="36">
        <v>0</v>
      </c>
      <c r="BC92" s="36">
        <v>0</v>
      </c>
      <c r="BD92" s="36">
        <v>0</v>
      </c>
      <c r="BE92" s="36">
        <v>0</v>
      </c>
      <c r="BF92" s="36">
        <v>0</v>
      </c>
      <c r="BG92" s="36">
        <v>0</v>
      </c>
      <c r="BH92" s="36">
        <v>0</v>
      </c>
      <c r="BI92" s="36">
        <v>0</v>
      </c>
      <c r="BJ92" s="36">
        <v>0</v>
      </c>
      <c r="BK92" s="36">
        <v>0</v>
      </c>
      <c r="BL92" s="36">
        <v>0</v>
      </c>
      <c r="BM92" s="36">
        <v>0</v>
      </c>
      <c r="BN92" s="36">
        <v>0</v>
      </c>
      <c r="BO92" s="36">
        <v>0</v>
      </c>
      <c r="BP92" s="36">
        <v>0</v>
      </c>
      <c r="BQ92" s="36">
        <v>0</v>
      </c>
      <c r="BR92" s="36">
        <v>0</v>
      </c>
      <c r="BS92" s="36">
        <v>0</v>
      </c>
      <c r="BT92" s="36">
        <v>0</v>
      </c>
      <c r="BU92" s="36">
        <v>0</v>
      </c>
      <c r="BV92" s="36">
        <v>0</v>
      </c>
      <c r="BW92" s="36">
        <v>0</v>
      </c>
      <c r="BX92" s="36">
        <v>0</v>
      </c>
      <c r="BY92" s="36">
        <v>0</v>
      </c>
      <c r="BZ92" s="36">
        <v>0</v>
      </c>
      <c r="CA92" s="36">
        <v>0</v>
      </c>
      <c r="CB92" s="36">
        <v>0</v>
      </c>
      <c r="CC92" s="36">
        <v>0</v>
      </c>
      <c r="CD92" s="36">
        <v>0</v>
      </c>
      <c r="CE92" s="36">
        <v>0</v>
      </c>
      <c r="CF92" s="36">
        <v>0</v>
      </c>
      <c r="CG92" s="36">
        <v>0</v>
      </c>
      <c r="CH92" s="36">
        <v>0</v>
      </c>
      <c r="CI92" s="36">
        <v>0</v>
      </c>
      <c r="CJ92" s="36">
        <v>0</v>
      </c>
      <c r="CK92" s="36">
        <v>-4</v>
      </c>
      <c r="CL92" s="36">
        <v>3</v>
      </c>
      <c r="CM92" s="36">
        <v>0</v>
      </c>
      <c r="CN92" s="36">
        <v>0</v>
      </c>
      <c r="CO92" s="36">
        <v>0</v>
      </c>
      <c r="CP92" s="36">
        <v>1</v>
      </c>
      <c r="CQ92" s="36">
        <v>0</v>
      </c>
      <c r="CR92" s="36">
        <v>0</v>
      </c>
      <c r="CS92" s="36">
        <v>0</v>
      </c>
      <c r="CT92" s="36">
        <v>0</v>
      </c>
      <c r="CU92" s="36">
        <v>0</v>
      </c>
      <c r="CV92" s="36">
        <v>0</v>
      </c>
      <c r="CW92" s="36">
        <v>0</v>
      </c>
      <c r="CX92" s="36">
        <v>0</v>
      </c>
      <c r="CY92" s="36">
        <v>0</v>
      </c>
      <c r="CZ92" s="36">
        <v>0</v>
      </c>
      <c r="DA92" s="36">
        <v>0</v>
      </c>
      <c r="DB92" s="36">
        <v>0</v>
      </c>
      <c r="DC92" s="36">
        <v>0</v>
      </c>
      <c r="DD92" s="36">
        <v>0</v>
      </c>
      <c r="DE92" s="36">
        <v>0</v>
      </c>
      <c r="DF92" s="36">
        <v>0</v>
      </c>
      <c r="DG92" s="36">
        <v>0</v>
      </c>
      <c r="DH92" s="36">
        <v>0</v>
      </c>
      <c r="DI92" s="36">
        <v>0</v>
      </c>
      <c r="DJ92" s="36">
        <v>0</v>
      </c>
      <c r="DK92" s="36">
        <v>0</v>
      </c>
      <c r="DL92" s="36">
        <v>0</v>
      </c>
      <c r="DM92" s="36">
        <v>0</v>
      </c>
      <c r="DN92" s="36">
        <v>0</v>
      </c>
      <c r="DO92" s="36">
        <v>0</v>
      </c>
      <c r="DP92" s="36">
        <v>0</v>
      </c>
      <c r="DQ92" s="36">
        <v>0</v>
      </c>
      <c r="DR92" s="36">
        <v>0</v>
      </c>
      <c r="DS92" s="36">
        <v>0</v>
      </c>
      <c r="DT92" s="36">
        <v>0</v>
      </c>
      <c r="DU92" s="36">
        <v>0</v>
      </c>
      <c r="DV92" s="36">
        <v>0</v>
      </c>
      <c r="DW92" s="36">
        <v>0</v>
      </c>
      <c r="DX92" s="36">
        <v>-1</v>
      </c>
      <c r="DY92" s="36">
        <v>0</v>
      </c>
      <c r="DZ92" s="36">
        <v>0</v>
      </c>
      <c r="EA92" s="36">
        <v>0</v>
      </c>
      <c r="EB92" s="36">
        <v>0</v>
      </c>
      <c r="EC92" s="36">
        <v>0</v>
      </c>
      <c r="ED92" s="36">
        <v>0</v>
      </c>
      <c r="EE92" s="36">
        <v>0</v>
      </c>
      <c r="EF92" s="36">
        <v>0</v>
      </c>
      <c r="EG92" s="36">
        <v>0</v>
      </c>
      <c r="EH92" s="36">
        <v>0</v>
      </c>
      <c r="EI92" s="36">
        <v>0</v>
      </c>
      <c r="EJ92" s="36">
        <v>0</v>
      </c>
      <c r="EK92" s="36">
        <v>0</v>
      </c>
      <c r="EL92" s="36">
        <v>0</v>
      </c>
      <c r="EM92" s="36">
        <v>0</v>
      </c>
      <c r="EN92" s="36">
        <v>0</v>
      </c>
      <c r="EO92" s="36">
        <v>0</v>
      </c>
      <c r="EP92" s="36">
        <v>0</v>
      </c>
      <c r="ET92" t="s">
        <v>298</v>
      </c>
      <c r="EU92" t="s">
        <v>706</v>
      </c>
      <c r="EV92" s="36">
        <v>0</v>
      </c>
      <c r="EW92" s="36">
        <v>0</v>
      </c>
      <c r="EX92" s="36">
        <v>2</v>
      </c>
      <c r="EY92" s="36">
        <v>0</v>
      </c>
      <c r="EZ92" s="36">
        <v>0</v>
      </c>
      <c r="FA92" s="36">
        <v>0</v>
      </c>
      <c r="FB92" s="36">
        <v>0</v>
      </c>
      <c r="FC92" s="42">
        <f t="shared" si="29"/>
        <v>2</v>
      </c>
      <c r="FE92">
        <f t="shared" si="26"/>
        <v>2</v>
      </c>
      <c r="FF92">
        <f t="shared" si="27"/>
        <v>2</v>
      </c>
      <c r="FG92">
        <f t="shared" si="28"/>
        <v>2</v>
      </c>
      <c r="FM92" s="43">
        <f t="shared" si="14"/>
        <v>0</v>
      </c>
      <c r="FN92" s="43">
        <f t="shared" si="14"/>
        <v>0</v>
      </c>
      <c r="FO92" s="43">
        <f t="shared" si="14"/>
        <v>0</v>
      </c>
      <c r="FP92" s="43">
        <f t="shared" si="13"/>
        <v>0</v>
      </c>
      <c r="FQ92" s="43">
        <f t="shared" si="13"/>
        <v>0</v>
      </c>
      <c r="FR92" s="43">
        <f t="shared" si="13"/>
        <v>0</v>
      </c>
      <c r="FS92" s="43">
        <f t="shared" si="13"/>
        <v>0</v>
      </c>
      <c r="FV92" t="s">
        <v>710</v>
      </c>
      <c r="FW92" t="s">
        <v>711</v>
      </c>
    </row>
    <row r="93" spans="1:179" ht="19.5" customHeight="1" x14ac:dyDescent="0.35">
      <c r="A93" t="s">
        <v>712</v>
      </c>
      <c r="B93" s="36">
        <v>0</v>
      </c>
      <c r="C93" s="36">
        <v>0</v>
      </c>
      <c r="D93" s="36">
        <v>0</v>
      </c>
      <c r="E93" s="36">
        <v>0</v>
      </c>
      <c r="F93" s="36">
        <v>0</v>
      </c>
      <c r="G93" s="36">
        <v>0</v>
      </c>
      <c r="H93" s="36">
        <v>0</v>
      </c>
      <c r="I93" s="36">
        <v>0</v>
      </c>
      <c r="J93" s="36">
        <v>0</v>
      </c>
      <c r="K93" s="36">
        <v>0</v>
      </c>
      <c r="L93" s="36">
        <v>0</v>
      </c>
      <c r="M93" s="36">
        <v>0</v>
      </c>
      <c r="N93" s="36">
        <v>0</v>
      </c>
      <c r="O93" s="36">
        <v>0</v>
      </c>
      <c r="P93" s="36">
        <v>0</v>
      </c>
      <c r="Q93" s="36">
        <v>0</v>
      </c>
      <c r="R93" s="36">
        <v>0</v>
      </c>
      <c r="S93" s="36">
        <v>0</v>
      </c>
      <c r="T93" s="36">
        <v>0</v>
      </c>
      <c r="U93" s="36">
        <v>0</v>
      </c>
      <c r="V93" s="36">
        <v>0</v>
      </c>
      <c r="W93" s="36">
        <v>0</v>
      </c>
      <c r="X93" s="36">
        <v>0</v>
      </c>
      <c r="Y93" s="36">
        <v>0</v>
      </c>
      <c r="Z93" s="36">
        <v>0</v>
      </c>
      <c r="AA93" s="36">
        <v>0</v>
      </c>
      <c r="AB93" s="36">
        <v>0</v>
      </c>
      <c r="AC93" s="36">
        <v>0</v>
      </c>
      <c r="AD93" s="36">
        <v>0</v>
      </c>
      <c r="AE93" s="36">
        <v>0</v>
      </c>
      <c r="AF93" s="36">
        <v>0</v>
      </c>
      <c r="AG93" s="36">
        <v>0</v>
      </c>
      <c r="AH93" s="36">
        <v>0</v>
      </c>
      <c r="AI93" s="36">
        <v>0</v>
      </c>
      <c r="AJ93" s="36">
        <v>0</v>
      </c>
      <c r="AK93" s="36">
        <v>0</v>
      </c>
      <c r="AL93" s="36">
        <v>2</v>
      </c>
      <c r="AM93" s="36">
        <v>0</v>
      </c>
      <c r="AN93" s="36">
        <v>0</v>
      </c>
      <c r="AO93" s="36">
        <v>0</v>
      </c>
      <c r="AP93" s="36">
        <v>0</v>
      </c>
      <c r="AQ93" s="36">
        <v>-1</v>
      </c>
      <c r="AR93" s="36">
        <v>-1</v>
      </c>
      <c r="AS93" s="36">
        <v>0</v>
      </c>
      <c r="AT93" s="36">
        <v>0</v>
      </c>
      <c r="AU93" s="36">
        <v>0</v>
      </c>
      <c r="AV93" s="36">
        <v>0</v>
      </c>
      <c r="AW93" s="36">
        <v>0</v>
      </c>
      <c r="AX93" s="36">
        <v>0</v>
      </c>
      <c r="AY93" s="36">
        <v>0</v>
      </c>
      <c r="AZ93" s="36">
        <v>0</v>
      </c>
      <c r="BA93" s="36">
        <v>0</v>
      </c>
      <c r="BB93" s="36">
        <v>0</v>
      </c>
      <c r="BC93" s="36">
        <v>0</v>
      </c>
      <c r="BD93" s="36">
        <v>0</v>
      </c>
      <c r="BE93" s="36">
        <v>0</v>
      </c>
      <c r="BF93" s="36">
        <v>0</v>
      </c>
      <c r="BG93" s="36">
        <v>0</v>
      </c>
      <c r="BH93" s="36">
        <v>0</v>
      </c>
      <c r="BI93" s="36">
        <v>0</v>
      </c>
      <c r="BJ93" s="36">
        <v>0</v>
      </c>
      <c r="BK93" s="36">
        <v>0</v>
      </c>
      <c r="BL93" s="36">
        <v>0</v>
      </c>
      <c r="BM93" s="36">
        <v>0</v>
      </c>
      <c r="BN93" s="36">
        <v>0</v>
      </c>
      <c r="BO93" s="36">
        <v>0</v>
      </c>
      <c r="BP93" s="36">
        <v>0</v>
      </c>
      <c r="BQ93" s="36">
        <v>0</v>
      </c>
      <c r="BR93" s="36">
        <v>0</v>
      </c>
      <c r="BS93" s="36">
        <v>0</v>
      </c>
      <c r="BT93" s="36">
        <v>0</v>
      </c>
      <c r="BU93" s="36">
        <v>0</v>
      </c>
      <c r="BV93" s="36">
        <v>0</v>
      </c>
      <c r="BW93" s="36">
        <v>0</v>
      </c>
      <c r="BX93" s="36">
        <v>0</v>
      </c>
      <c r="BY93" s="36">
        <v>0</v>
      </c>
      <c r="BZ93" s="36">
        <v>0</v>
      </c>
      <c r="CA93" s="36">
        <v>0</v>
      </c>
      <c r="CB93" s="36">
        <v>0</v>
      </c>
      <c r="CC93" s="36">
        <v>0</v>
      </c>
      <c r="CD93" s="36">
        <v>0</v>
      </c>
      <c r="CE93" s="36">
        <v>0</v>
      </c>
      <c r="CF93" s="36">
        <v>0</v>
      </c>
      <c r="CG93" s="36">
        <v>0</v>
      </c>
      <c r="CH93" s="36">
        <v>0</v>
      </c>
      <c r="CI93" s="36">
        <v>0</v>
      </c>
      <c r="CJ93" s="36">
        <v>0</v>
      </c>
      <c r="CK93" s="36">
        <v>0</v>
      </c>
      <c r="CL93" s="36">
        <v>0</v>
      </c>
      <c r="CM93" s="36">
        <v>0</v>
      </c>
      <c r="CN93" s="36">
        <v>0</v>
      </c>
      <c r="CO93" s="36">
        <v>0</v>
      </c>
      <c r="CP93" s="36">
        <v>0</v>
      </c>
      <c r="CQ93" s="36">
        <v>0</v>
      </c>
      <c r="CR93" s="36">
        <v>0</v>
      </c>
      <c r="CS93" s="36">
        <v>0</v>
      </c>
      <c r="CT93" s="36">
        <v>0</v>
      </c>
      <c r="CU93" s="36">
        <v>0</v>
      </c>
      <c r="CV93" s="36">
        <v>0</v>
      </c>
      <c r="CW93" s="36">
        <v>0</v>
      </c>
      <c r="CX93" s="36">
        <v>0</v>
      </c>
      <c r="CY93" s="36">
        <v>0</v>
      </c>
      <c r="CZ93" s="36">
        <v>0</v>
      </c>
      <c r="DA93" s="36">
        <v>0</v>
      </c>
      <c r="DB93" s="36">
        <v>0</v>
      </c>
      <c r="DC93" s="36">
        <v>0</v>
      </c>
      <c r="DD93" s="36">
        <v>0</v>
      </c>
      <c r="DE93" s="36">
        <v>0</v>
      </c>
      <c r="DF93" s="36">
        <v>0</v>
      </c>
      <c r="DG93" s="36">
        <v>0</v>
      </c>
      <c r="DH93" s="36">
        <v>0</v>
      </c>
      <c r="DI93" s="36">
        <v>0</v>
      </c>
      <c r="DJ93" s="36">
        <v>0</v>
      </c>
      <c r="DK93" s="36">
        <v>0</v>
      </c>
      <c r="DL93" s="36">
        <v>0</v>
      </c>
      <c r="DM93" s="36">
        <v>0</v>
      </c>
      <c r="DN93" s="36">
        <v>0</v>
      </c>
      <c r="DO93" s="36">
        <v>0</v>
      </c>
      <c r="DP93" s="36">
        <v>0</v>
      </c>
      <c r="DQ93" s="36">
        <v>0</v>
      </c>
      <c r="DR93" s="36">
        <v>0</v>
      </c>
      <c r="DS93" s="36">
        <v>0</v>
      </c>
      <c r="DT93" s="36">
        <v>0</v>
      </c>
      <c r="DU93" s="36">
        <v>0</v>
      </c>
      <c r="DV93" s="36">
        <v>0</v>
      </c>
      <c r="DW93" s="36">
        <v>0</v>
      </c>
      <c r="DX93" s="36">
        <v>0</v>
      </c>
      <c r="DY93" s="36">
        <v>0</v>
      </c>
      <c r="DZ93" s="36">
        <v>0</v>
      </c>
      <c r="EA93" s="36">
        <v>0</v>
      </c>
      <c r="EB93" s="36">
        <v>0</v>
      </c>
      <c r="EC93" s="36">
        <v>0</v>
      </c>
      <c r="ED93" s="36">
        <v>0</v>
      </c>
      <c r="EE93" s="36">
        <v>0</v>
      </c>
      <c r="EF93" s="36">
        <v>0</v>
      </c>
      <c r="EG93" s="36">
        <v>0</v>
      </c>
      <c r="EH93" s="36">
        <v>0</v>
      </c>
      <c r="EI93" s="36">
        <v>0</v>
      </c>
      <c r="EJ93" s="36">
        <v>0</v>
      </c>
      <c r="EK93" s="36">
        <v>0</v>
      </c>
      <c r="EL93" s="36">
        <v>0</v>
      </c>
      <c r="EM93" s="36">
        <v>0</v>
      </c>
      <c r="EN93" s="36">
        <v>0</v>
      </c>
      <c r="EO93" s="36">
        <v>0</v>
      </c>
      <c r="EP93" s="36">
        <v>0</v>
      </c>
      <c r="ET93" t="s">
        <v>141</v>
      </c>
      <c r="EU93" t="s">
        <v>713</v>
      </c>
      <c r="EV93" s="36">
        <v>0</v>
      </c>
      <c r="EW93" s="36">
        <v>0</v>
      </c>
      <c r="EX93" s="36">
        <v>2</v>
      </c>
      <c r="EY93" s="36">
        <v>0</v>
      </c>
      <c r="EZ93" s="36">
        <v>1</v>
      </c>
      <c r="FA93" s="36">
        <v>0</v>
      </c>
      <c r="FB93" s="36">
        <v>0</v>
      </c>
      <c r="FC93" s="42">
        <f t="shared" si="29"/>
        <v>0</v>
      </c>
      <c r="FE93">
        <f t="shared" si="26"/>
        <v>0</v>
      </c>
      <c r="FF93">
        <f t="shared" si="27"/>
        <v>0</v>
      </c>
      <c r="FG93">
        <f t="shared" si="28"/>
        <v>0</v>
      </c>
      <c r="FM93" s="43">
        <f t="shared" si="14"/>
        <v>0</v>
      </c>
      <c r="FN93" s="43">
        <f t="shared" si="14"/>
        <v>0</v>
      </c>
      <c r="FO93" s="43">
        <f t="shared" si="14"/>
        <v>0</v>
      </c>
      <c r="FP93" s="43">
        <f t="shared" si="13"/>
        <v>0</v>
      </c>
      <c r="FQ93" s="43">
        <f t="shared" si="13"/>
        <v>0</v>
      </c>
      <c r="FR93" s="43">
        <f t="shared" si="13"/>
        <v>0</v>
      </c>
      <c r="FS93" s="43">
        <f t="shared" si="13"/>
        <v>0</v>
      </c>
      <c r="FV93" t="s">
        <v>714</v>
      </c>
      <c r="FW93" t="s">
        <v>715</v>
      </c>
    </row>
    <row r="94" spans="1:179" ht="19.5" customHeight="1" x14ac:dyDescent="0.35">
      <c r="A94" t="s">
        <v>254</v>
      </c>
      <c r="B94" s="36">
        <v>0</v>
      </c>
      <c r="C94" s="36">
        <v>0</v>
      </c>
      <c r="D94" s="36">
        <v>0</v>
      </c>
      <c r="E94" s="36">
        <v>0</v>
      </c>
      <c r="F94" s="36">
        <v>0</v>
      </c>
      <c r="G94" s="36">
        <v>0</v>
      </c>
      <c r="H94" s="36">
        <v>0</v>
      </c>
      <c r="I94" s="36">
        <v>0</v>
      </c>
      <c r="J94" s="36">
        <v>0</v>
      </c>
      <c r="K94" s="36">
        <v>0</v>
      </c>
      <c r="L94" s="36">
        <v>0</v>
      </c>
      <c r="M94" s="36">
        <v>0</v>
      </c>
      <c r="N94" s="36">
        <v>0</v>
      </c>
      <c r="O94" s="36">
        <v>0</v>
      </c>
      <c r="P94" s="36">
        <v>0</v>
      </c>
      <c r="Q94" s="36">
        <v>0</v>
      </c>
      <c r="R94" s="36">
        <v>0</v>
      </c>
      <c r="S94" s="36">
        <v>0</v>
      </c>
      <c r="T94" s="36">
        <v>0</v>
      </c>
      <c r="U94" s="36">
        <v>0</v>
      </c>
      <c r="V94" s="36">
        <v>0</v>
      </c>
      <c r="W94" s="36">
        <v>0</v>
      </c>
      <c r="X94" s="36">
        <v>0</v>
      </c>
      <c r="Y94" s="36">
        <v>0</v>
      </c>
      <c r="Z94" s="36">
        <v>0</v>
      </c>
      <c r="AA94" s="36">
        <v>0</v>
      </c>
      <c r="AB94" s="36">
        <v>0</v>
      </c>
      <c r="AC94" s="36">
        <v>0</v>
      </c>
      <c r="AD94" s="36">
        <v>0</v>
      </c>
      <c r="AE94" s="36">
        <v>0</v>
      </c>
      <c r="AF94" s="36">
        <v>0</v>
      </c>
      <c r="AG94" s="36">
        <v>0</v>
      </c>
      <c r="AH94" s="36">
        <v>0</v>
      </c>
      <c r="AI94" s="36">
        <v>0</v>
      </c>
      <c r="AJ94" s="36">
        <v>0</v>
      </c>
      <c r="AK94" s="36">
        <v>0</v>
      </c>
      <c r="AL94" s="36">
        <v>1</v>
      </c>
      <c r="AM94" s="36">
        <v>0</v>
      </c>
      <c r="AN94" s="36">
        <v>0</v>
      </c>
      <c r="AO94" s="36">
        <v>0</v>
      </c>
      <c r="AP94" s="36">
        <v>0</v>
      </c>
      <c r="AQ94" s="36">
        <v>0</v>
      </c>
      <c r="AR94" s="36">
        <v>-1</v>
      </c>
      <c r="AS94" s="36">
        <v>1</v>
      </c>
      <c r="AT94" s="36">
        <v>0</v>
      </c>
      <c r="AU94" s="36">
        <v>0</v>
      </c>
      <c r="AV94" s="36">
        <v>0</v>
      </c>
      <c r="AW94" s="36">
        <v>0</v>
      </c>
      <c r="AX94" s="36">
        <v>0</v>
      </c>
      <c r="AY94" s="36">
        <v>0</v>
      </c>
      <c r="AZ94" s="36">
        <v>0</v>
      </c>
      <c r="BA94" s="36">
        <v>0</v>
      </c>
      <c r="BB94" s="36">
        <v>0</v>
      </c>
      <c r="BC94" s="36">
        <v>0</v>
      </c>
      <c r="BD94" s="36">
        <v>0</v>
      </c>
      <c r="BE94" s="36">
        <v>0</v>
      </c>
      <c r="BF94" s="36">
        <v>0</v>
      </c>
      <c r="BG94" s="36">
        <v>0</v>
      </c>
      <c r="BH94" s="36">
        <v>0</v>
      </c>
      <c r="BI94" s="36">
        <v>0</v>
      </c>
      <c r="BJ94" s="36">
        <v>0</v>
      </c>
      <c r="BK94" s="36">
        <v>0</v>
      </c>
      <c r="BL94" s="36">
        <v>0</v>
      </c>
      <c r="BM94" s="36">
        <v>0</v>
      </c>
      <c r="BN94" s="36">
        <v>0</v>
      </c>
      <c r="BO94" s="36">
        <v>0</v>
      </c>
      <c r="BP94" s="36">
        <v>0</v>
      </c>
      <c r="BQ94" s="36">
        <v>0</v>
      </c>
      <c r="BR94" s="36">
        <v>0</v>
      </c>
      <c r="BS94" s="36">
        <v>0</v>
      </c>
      <c r="BT94" s="36">
        <v>0</v>
      </c>
      <c r="BU94" s="36">
        <v>0</v>
      </c>
      <c r="BV94" s="36">
        <v>0</v>
      </c>
      <c r="BW94" s="36">
        <v>0</v>
      </c>
      <c r="BX94" s="36">
        <v>0</v>
      </c>
      <c r="BY94" s="36">
        <v>0</v>
      </c>
      <c r="BZ94" s="36">
        <v>0</v>
      </c>
      <c r="CA94" s="36">
        <v>0</v>
      </c>
      <c r="CB94" s="36">
        <v>0</v>
      </c>
      <c r="CC94" s="36">
        <v>0</v>
      </c>
      <c r="CD94" s="36">
        <v>0</v>
      </c>
      <c r="CE94" s="36">
        <v>0</v>
      </c>
      <c r="CF94" s="36">
        <v>0</v>
      </c>
      <c r="CG94" s="36">
        <v>0</v>
      </c>
      <c r="CH94" s="36">
        <v>0</v>
      </c>
      <c r="CI94" s="36">
        <v>0</v>
      </c>
      <c r="CJ94" s="36">
        <v>0</v>
      </c>
      <c r="CK94" s="36">
        <v>0</v>
      </c>
      <c r="CL94" s="36">
        <v>1</v>
      </c>
      <c r="CM94" s="36">
        <v>0</v>
      </c>
      <c r="CN94" s="36">
        <v>0</v>
      </c>
      <c r="CO94" s="36">
        <v>0</v>
      </c>
      <c r="CP94" s="36">
        <v>-1</v>
      </c>
      <c r="CQ94" s="36">
        <v>0</v>
      </c>
      <c r="CR94" s="36">
        <v>0</v>
      </c>
      <c r="CS94" s="36">
        <v>0</v>
      </c>
      <c r="CT94" s="36">
        <v>0</v>
      </c>
      <c r="CU94" s="36">
        <v>0</v>
      </c>
      <c r="CV94" s="36">
        <v>0</v>
      </c>
      <c r="CW94" s="36">
        <v>0</v>
      </c>
      <c r="CX94" s="36">
        <v>0</v>
      </c>
      <c r="CY94" s="36">
        <v>0</v>
      </c>
      <c r="CZ94" s="36">
        <v>0</v>
      </c>
      <c r="DA94" s="36">
        <v>0</v>
      </c>
      <c r="DB94" s="36">
        <v>0</v>
      </c>
      <c r="DC94" s="36">
        <v>0</v>
      </c>
      <c r="DD94" s="36">
        <v>0</v>
      </c>
      <c r="DE94" s="36">
        <v>0</v>
      </c>
      <c r="DF94" s="36">
        <v>0</v>
      </c>
      <c r="DG94" s="36">
        <v>0</v>
      </c>
      <c r="DH94" s="36">
        <v>0</v>
      </c>
      <c r="DI94" s="36">
        <v>0</v>
      </c>
      <c r="DJ94" s="36">
        <v>0</v>
      </c>
      <c r="DK94" s="36">
        <v>0</v>
      </c>
      <c r="DL94" s="36">
        <v>0</v>
      </c>
      <c r="DM94" s="36">
        <v>0</v>
      </c>
      <c r="DN94" s="36">
        <v>0</v>
      </c>
      <c r="DO94" s="36">
        <v>0</v>
      </c>
      <c r="DP94" s="36">
        <v>0</v>
      </c>
      <c r="DQ94" s="36">
        <v>0</v>
      </c>
      <c r="DR94" s="36">
        <v>0</v>
      </c>
      <c r="DS94" s="36">
        <v>0</v>
      </c>
      <c r="DT94" s="36">
        <v>0</v>
      </c>
      <c r="DU94" s="36">
        <v>0</v>
      </c>
      <c r="DV94" s="36">
        <v>0</v>
      </c>
      <c r="DW94" s="36">
        <v>0</v>
      </c>
      <c r="DX94" s="36">
        <v>1</v>
      </c>
      <c r="DY94" s="36">
        <v>0</v>
      </c>
      <c r="DZ94" s="36">
        <v>0</v>
      </c>
      <c r="EA94" s="36">
        <v>0</v>
      </c>
      <c r="EB94" s="36">
        <v>0</v>
      </c>
      <c r="EC94" s="36">
        <v>0</v>
      </c>
      <c r="ED94" s="36">
        <v>0</v>
      </c>
      <c r="EE94" s="36">
        <v>0</v>
      </c>
      <c r="EF94" s="36">
        <v>0</v>
      </c>
      <c r="EG94" s="36">
        <v>0</v>
      </c>
      <c r="EH94" s="36">
        <v>0</v>
      </c>
      <c r="EI94" s="36">
        <v>0</v>
      </c>
      <c r="EJ94" s="36">
        <v>0</v>
      </c>
      <c r="EK94" s="36">
        <v>0</v>
      </c>
      <c r="EL94" s="36">
        <v>0</v>
      </c>
      <c r="EM94" s="36">
        <v>0</v>
      </c>
      <c r="EN94" s="36">
        <v>0</v>
      </c>
      <c r="EO94" s="36">
        <v>0</v>
      </c>
      <c r="EP94" s="36">
        <v>0</v>
      </c>
      <c r="ET94" t="s">
        <v>299</v>
      </c>
      <c r="EU94" t="s">
        <v>713</v>
      </c>
      <c r="EV94" s="36">
        <v>0</v>
      </c>
      <c r="EW94" s="36">
        <v>0</v>
      </c>
      <c r="EX94" s="36">
        <v>2</v>
      </c>
      <c r="EY94" s="36">
        <v>0</v>
      </c>
      <c r="EZ94" s="36">
        <v>1</v>
      </c>
      <c r="FA94" s="36">
        <v>0</v>
      </c>
      <c r="FB94" s="36">
        <v>0</v>
      </c>
      <c r="FC94" s="42">
        <f t="shared" si="29"/>
        <v>0</v>
      </c>
      <c r="FE94">
        <f t="shared" si="26"/>
        <v>0</v>
      </c>
      <c r="FF94">
        <f t="shared" si="27"/>
        <v>0</v>
      </c>
      <c r="FG94">
        <f t="shared" si="28"/>
        <v>0</v>
      </c>
      <c r="FM94" s="43">
        <f t="shared" si="14"/>
        <v>0</v>
      </c>
      <c r="FN94" s="43">
        <f t="shared" si="14"/>
        <v>0</v>
      </c>
      <c r="FO94" s="43">
        <f t="shared" si="14"/>
        <v>0</v>
      </c>
      <c r="FP94" s="43">
        <f t="shared" si="13"/>
        <v>0</v>
      </c>
      <c r="FQ94" s="43">
        <f t="shared" si="13"/>
        <v>0</v>
      </c>
      <c r="FR94" s="43">
        <f t="shared" si="13"/>
        <v>0</v>
      </c>
      <c r="FS94" s="43">
        <f t="shared" si="13"/>
        <v>0</v>
      </c>
      <c r="FV94" t="s">
        <v>716</v>
      </c>
      <c r="FW94" t="s">
        <v>717</v>
      </c>
    </row>
    <row r="95" spans="1:179" ht="19.5" customHeight="1" x14ac:dyDescent="0.35">
      <c r="A95" t="s">
        <v>718</v>
      </c>
      <c r="B95" s="36">
        <v>0</v>
      </c>
      <c r="C95" s="36">
        <v>0</v>
      </c>
      <c r="D95" s="36">
        <v>0</v>
      </c>
      <c r="E95" s="36">
        <v>0</v>
      </c>
      <c r="F95" s="36">
        <v>0</v>
      </c>
      <c r="G95" s="36">
        <v>0</v>
      </c>
      <c r="H95" s="36">
        <v>0</v>
      </c>
      <c r="I95" s="36">
        <v>0</v>
      </c>
      <c r="J95" s="36">
        <v>0</v>
      </c>
      <c r="K95" s="36">
        <v>0</v>
      </c>
      <c r="L95" s="36">
        <v>0</v>
      </c>
      <c r="M95" s="36">
        <v>0</v>
      </c>
      <c r="N95" s="36">
        <v>0</v>
      </c>
      <c r="O95" s="36">
        <v>0</v>
      </c>
      <c r="P95" s="36">
        <v>0</v>
      </c>
      <c r="Q95" s="36">
        <v>0</v>
      </c>
      <c r="R95" s="36">
        <v>0</v>
      </c>
      <c r="S95" s="36">
        <v>0</v>
      </c>
      <c r="T95" s="36">
        <v>0</v>
      </c>
      <c r="U95" s="36">
        <v>0</v>
      </c>
      <c r="V95" s="36">
        <v>0</v>
      </c>
      <c r="W95" s="36">
        <v>0</v>
      </c>
      <c r="X95" s="36">
        <v>0</v>
      </c>
      <c r="Y95" s="36">
        <v>0</v>
      </c>
      <c r="Z95" s="36">
        <v>0</v>
      </c>
      <c r="AA95" s="36">
        <v>0</v>
      </c>
      <c r="AB95" s="36">
        <v>0</v>
      </c>
      <c r="AC95" s="36">
        <v>0</v>
      </c>
      <c r="AD95" s="36">
        <v>0</v>
      </c>
      <c r="AE95" s="36">
        <v>0</v>
      </c>
      <c r="AF95" s="36">
        <v>0</v>
      </c>
      <c r="AG95" s="36">
        <v>0</v>
      </c>
      <c r="AH95" s="36">
        <v>0</v>
      </c>
      <c r="AI95" s="36">
        <v>0</v>
      </c>
      <c r="AJ95" s="36">
        <v>0</v>
      </c>
      <c r="AK95" s="36">
        <v>0</v>
      </c>
      <c r="AL95" s="36">
        <v>0</v>
      </c>
      <c r="AM95" s="36">
        <v>0</v>
      </c>
      <c r="AN95" s="36">
        <v>0</v>
      </c>
      <c r="AO95" s="36">
        <v>0</v>
      </c>
      <c r="AP95" s="36">
        <v>0</v>
      </c>
      <c r="AQ95" s="36">
        <v>0</v>
      </c>
      <c r="AR95" s="36">
        <v>0</v>
      </c>
      <c r="AS95" s="36">
        <v>0</v>
      </c>
      <c r="AT95" s="36">
        <v>0</v>
      </c>
      <c r="AU95" s="36">
        <v>0</v>
      </c>
      <c r="AV95" s="36">
        <v>0</v>
      </c>
      <c r="AW95" s="36">
        <v>0</v>
      </c>
      <c r="AX95" s="36">
        <v>0</v>
      </c>
      <c r="AY95" s="36">
        <v>0</v>
      </c>
      <c r="AZ95" s="36">
        <v>0</v>
      </c>
      <c r="BA95" s="36">
        <v>0</v>
      </c>
      <c r="BB95" s="36">
        <v>0</v>
      </c>
      <c r="BC95" s="36">
        <v>0</v>
      </c>
      <c r="BD95" s="36">
        <v>0</v>
      </c>
      <c r="BE95" s="36">
        <v>0</v>
      </c>
      <c r="BF95" s="36">
        <v>0</v>
      </c>
      <c r="BG95" s="36">
        <v>0</v>
      </c>
      <c r="BH95" s="36">
        <v>0</v>
      </c>
      <c r="BI95" s="36">
        <v>0</v>
      </c>
      <c r="BJ95" s="36">
        <v>0</v>
      </c>
      <c r="BK95" s="36">
        <v>0</v>
      </c>
      <c r="BL95" s="36">
        <v>0</v>
      </c>
      <c r="BM95" s="36">
        <v>0</v>
      </c>
      <c r="BN95" s="36">
        <v>0</v>
      </c>
      <c r="BO95" s="36">
        <v>0</v>
      </c>
      <c r="BP95" s="36">
        <v>0</v>
      </c>
      <c r="BQ95" s="36">
        <v>0</v>
      </c>
      <c r="BR95" s="36">
        <v>0</v>
      </c>
      <c r="BS95" s="36">
        <v>0</v>
      </c>
      <c r="BT95" s="36">
        <v>0</v>
      </c>
      <c r="BU95" s="36">
        <v>0</v>
      </c>
      <c r="BV95" s="36">
        <v>0</v>
      </c>
      <c r="BW95" s="36">
        <v>0</v>
      </c>
      <c r="BX95" s="36">
        <v>0</v>
      </c>
      <c r="BY95" s="36">
        <v>0</v>
      </c>
      <c r="BZ95" s="36">
        <v>0</v>
      </c>
      <c r="CA95" s="36">
        <v>0</v>
      </c>
      <c r="CB95" s="36">
        <v>0</v>
      </c>
      <c r="CC95" s="36">
        <v>0</v>
      </c>
      <c r="CD95" s="36">
        <v>0</v>
      </c>
      <c r="CE95" s="36">
        <v>0</v>
      </c>
      <c r="CF95" s="36">
        <v>0</v>
      </c>
      <c r="CG95" s="36">
        <v>0</v>
      </c>
      <c r="CH95" s="36">
        <v>0</v>
      </c>
      <c r="CI95" s="36">
        <v>0</v>
      </c>
      <c r="CJ95" s="36">
        <v>0</v>
      </c>
      <c r="CK95" s="36">
        <v>0</v>
      </c>
      <c r="CL95" s="36">
        <v>0</v>
      </c>
      <c r="CM95" s="36">
        <v>0</v>
      </c>
      <c r="CN95" s="36">
        <v>0</v>
      </c>
      <c r="CO95" s="36">
        <v>0</v>
      </c>
      <c r="CP95" s="36">
        <v>0</v>
      </c>
      <c r="CQ95" s="36">
        <v>0</v>
      </c>
      <c r="CR95" s="36">
        <v>0</v>
      </c>
      <c r="CS95" s="36">
        <v>0</v>
      </c>
      <c r="CT95" s="36">
        <v>0</v>
      </c>
      <c r="CU95" s="36">
        <v>0</v>
      </c>
      <c r="CV95" s="36">
        <v>0</v>
      </c>
      <c r="CW95" s="36">
        <v>0</v>
      </c>
      <c r="CX95" s="36">
        <v>0</v>
      </c>
      <c r="CY95" s="36">
        <v>0</v>
      </c>
      <c r="CZ95" s="36">
        <v>0</v>
      </c>
      <c r="DA95" s="36">
        <v>0</v>
      </c>
      <c r="DB95" s="36">
        <v>0</v>
      </c>
      <c r="DC95" s="36">
        <v>0</v>
      </c>
      <c r="DD95" s="36">
        <v>0</v>
      </c>
      <c r="DE95" s="36">
        <v>0</v>
      </c>
      <c r="DF95" s="36">
        <v>0</v>
      </c>
      <c r="DG95" s="36">
        <v>0</v>
      </c>
      <c r="DH95" s="36">
        <v>0</v>
      </c>
      <c r="DI95" s="36">
        <v>0</v>
      </c>
      <c r="DJ95" s="36">
        <v>0</v>
      </c>
      <c r="DK95" s="36">
        <v>-1</v>
      </c>
      <c r="DL95" s="36">
        <v>1</v>
      </c>
      <c r="DM95" s="36">
        <v>1</v>
      </c>
      <c r="DN95" s="36">
        <v>-1</v>
      </c>
      <c r="DO95" s="36">
        <v>0</v>
      </c>
      <c r="DP95" s="36">
        <v>0</v>
      </c>
      <c r="DQ95" s="36">
        <v>0</v>
      </c>
      <c r="DR95" s="36">
        <v>0</v>
      </c>
      <c r="DS95" s="36">
        <v>0</v>
      </c>
      <c r="DT95" s="36">
        <v>0</v>
      </c>
      <c r="DU95" s="36">
        <v>0</v>
      </c>
      <c r="DV95" s="36">
        <v>0</v>
      </c>
      <c r="DW95" s="36">
        <v>0</v>
      </c>
      <c r="DX95" s="36">
        <v>0</v>
      </c>
      <c r="DY95" s="36">
        <v>0</v>
      </c>
      <c r="DZ95" s="36">
        <v>0</v>
      </c>
      <c r="EA95" s="36">
        <v>0</v>
      </c>
      <c r="EB95" s="36">
        <v>0</v>
      </c>
      <c r="EC95" s="36">
        <v>0</v>
      </c>
      <c r="ED95" s="36">
        <v>0</v>
      </c>
      <c r="EE95" s="36">
        <v>0</v>
      </c>
      <c r="EF95" s="36">
        <v>0</v>
      </c>
      <c r="EG95" s="36">
        <v>0</v>
      </c>
      <c r="EH95" s="36">
        <v>0</v>
      </c>
      <c r="EI95" s="36">
        <v>0</v>
      </c>
      <c r="EJ95" s="36">
        <v>0</v>
      </c>
      <c r="EK95" s="36">
        <v>0</v>
      </c>
      <c r="EL95" s="36">
        <v>0</v>
      </c>
      <c r="EM95" s="36">
        <v>0</v>
      </c>
      <c r="EN95" s="36">
        <v>0</v>
      </c>
      <c r="EO95" s="36">
        <v>0</v>
      </c>
      <c r="EP95" s="36">
        <v>0</v>
      </c>
      <c r="ET95" t="s">
        <v>719</v>
      </c>
      <c r="EU95" t="s">
        <v>499</v>
      </c>
      <c r="EV95" s="36">
        <v>-2</v>
      </c>
      <c r="EW95" s="36">
        <v>6</v>
      </c>
      <c r="EX95" s="36">
        <v>11</v>
      </c>
      <c r="EY95" s="36">
        <v>0</v>
      </c>
      <c r="EZ95" s="36">
        <v>9</v>
      </c>
      <c r="FA95" s="36">
        <v>1</v>
      </c>
      <c r="FB95" s="36">
        <v>0</v>
      </c>
      <c r="FC95" s="42">
        <f t="shared" si="29"/>
        <v>24</v>
      </c>
      <c r="FE95">
        <f t="shared" ref="FE95:FE145" si="30">((4*(EW95))+(EX95)+(5*EY95)+(-2*EZ95)+(5*FA95)+(6*FB95)+(-EV95))/EW95</f>
        <v>4</v>
      </c>
      <c r="FF95">
        <f t="shared" ref="FF95:FF145" si="31">((4*(EW95))+(EX95)+(-3*EY95)+(-2*EZ95)+(5*FA95)+(6*FB95)+(-EV95))/EW95</f>
        <v>4</v>
      </c>
      <c r="FG95">
        <f t="shared" ref="FG95:FG145" si="32">((4*(EW95))+(EX95)+(0*EY95)+(-2*EZ95)+(5*FA95)+(6*FB95)+(-EV95))/EW95</f>
        <v>4</v>
      </c>
      <c r="FM95" s="43">
        <f t="shared" si="14"/>
        <v>0</v>
      </c>
      <c r="FN95" s="43">
        <f t="shared" si="14"/>
        <v>0</v>
      </c>
      <c r="FO95" s="43">
        <f t="shared" si="14"/>
        <v>0</v>
      </c>
      <c r="FP95" s="43">
        <f t="shared" si="13"/>
        <v>0</v>
      </c>
      <c r="FQ95" s="43">
        <f t="shared" si="13"/>
        <v>0</v>
      </c>
      <c r="FR95" s="43">
        <f t="shared" si="13"/>
        <v>0</v>
      </c>
      <c r="FS95" s="43">
        <f t="shared" si="13"/>
        <v>0</v>
      </c>
      <c r="FV95" t="s">
        <v>720</v>
      </c>
      <c r="FW95" t="s">
        <v>721</v>
      </c>
    </row>
    <row r="96" spans="1:179" ht="19.5" customHeight="1" x14ac:dyDescent="0.35">
      <c r="A96" t="s">
        <v>722</v>
      </c>
      <c r="B96" s="36">
        <v>0</v>
      </c>
      <c r="C96" s="36">
        <v>0</v>
      </c>
      <c r="D96" s="36">
        <v>0</v>
      </c>
      <c r="E96" s="36">
        <v>0</v>
      </c>
      <c r="F96" s="36">
        <v>0</v>
      </c>
      <c r="G96" s="36">
        <v>0</v>
      </c>
      <c r="H96" s="36">
        <v>0</v>
      </c>
      <c r="I96" s="36">
        <v>0</v>
      </c>
      <c r="J96" s="36">
        <v>0</v>
      </c>
      <c r="K96" s="36">
        <v>0</v>
      </c>
      <c r="L96" s="36">
        <v>0</v>
      </c>
      <c r="M96" s="36">
        <v>0</v>
      </c>
      <c r="N96" s="36">
        <v>0</v>
      </c>
      <c r="O96" s="36">
        <v>0</v>
      </c>
      <c r="P96" s="36">
        <v>0</v>
      </c>
      <c r="Q96" s="36">
        <v>0</v>
      </c>
      <c r="R96" s="36">
        <v>0</v>
      </c>
      <c r="S96" s="36">
        <v>0</v>
      </c>
      <c r="T96" s="36">
        <v>0</v>
      </c>
      <c r="U96" s="36">
        <v>0</v>
      </c>
      <c r="V96" s="36">
        <v>0</v>
      </c>
      <c r="W96" s="36">
        <v>0</v>
      </c>
      <c r="X96" s="36">
        <v>0</v>
      </c>
      <c r="Y96" s="36">
        <v>0</v>
      </c>
      <c r="Z96" s="36">
        <v>0</v>
      </c>
      <c r="AA96" s="36">
        <v>0</v>
      </c>
      <c r="AB96" s="36">
        <v>0</v>
      </c>
      <c r="AC96" s="36">
        <v>0</v>
      </c>
      <c r="AD96" s="36">
        <v>0</v>
      </c>
      <c r="AE96" s="36">
        <v>0</v>
      </c>
      <c r="AF96" s="36">
        <v>0</v>
      </c>
      <c r="AG96" s="36">
        <v>0</v>
      </c>
      <c r="AH96" s="36">
        <v>0</v>
      </c>
      <c r="AI96" s="36">
        <v>0</v>
      </c>
      <c r="AJ96" s="36">
        <v>0</v>
      </c>
      <c r="AK96" s="36">
        <v>0</v>
      </c>
      <c r="AL96" s="36">
        <v>0</v>
      </c>
      <c r="AM96" s="36">
        <v>0</v>
      </c>
      <c r="AN96" s="36">
        <v>0</v>
      </c>
      <c r="AO96" s="36">
        <v>0</v>
      </c>
      <c r="AP96" s="36">
        <v>0</v>
      </c>
      <c r="AQ96" s="36">
        <v>0</v>
      </c>
      <c r="AR96" s="36">
        <v>0</v>
      </c>
      <c r="AS96" s="36">
        <v>0</v>
      </c>
      <c r="AT96" s="36">
        <v>0</v>
      </c>
      <c r="AU96" s="36">
        <v>0</v>
      </c>
      <c r="AV96" s="36">
        <v>0</v>
      </c>
      <c r="AW96" s="36">
        <v>0</v>
      </c>
      <c r="AX96" s="36">
        <v>0</v>
      </c>
      <c r="AY96" s="36">
        <v>0</v>
      </c>
      <c r="AZ96" s="36">
        <v>0</v>
      </c>
      <c r="BA96" s="36">
        <v>0</v>
      </c>
      <c r="BB96" s="36">
        <v>0</v>
      </c>
      <c r="BC96" s="36">
        <v>0</v>
      </c>
      <c r="BD96" s="36">
        <v>0</v>
      </c>
      <c r="BE96" s="36">
        <v>0</v>
      </c>
      <c r="BF96" s="36">
        <v>0</v>
      </c>
      <c r="BG96" s="36">
        <v>0</v>
      </c>
      <c r="BH96" s="36">
        <v>0</v>
      </c>
      <c r="BI96" s="36">
        <v>0</v>
      </c>
      <c r="BJ96" s="36">
        <v>0</v>
      </c>
      <c r="BK96" s="36">
        <v>0</v>
      </c>
      <c r="BL96" s="36">
        <v>0</v>
      </c>
      <c r="BM96" s="36">
        <v>0</v>
      </c>
      <c r="BN96" s="36">
        <v>0</v>
      </c>
      <c r="BO96" s="36">
        <v>0</v>
      </c>
      <c r="BP96" s="36">
        <v>0</v>
      </c>
      <c r="BQ96" s="36">
        <v>0</v>
      </c>
      <c r="BR96" s="36">
        <v>0</v>
      </c>
      <c r="BS96" s="36">
        <v>0</v>
      </c>
      <c r="BT96" s="36">
        <v>0</v>
      </c>
      <c r="BU96" s="36">
        <v>0</v>
      </c>
      <c r="BV96" s="36">
        <v>0</v>
      </c>
      <c r="BW96" s="36">
        <v>0</v>
      </c>
      <c r="BX96" s="36">
        <v>0</v>
      </c>
      <c r="BY96" s="36">
        <v>0</v>
      </c>
      <c r="BZ96" s="36">
        <v>0</v>
      </c>
      <c r="CA96" s="36">
        <v>0</v>
      </c>
      <c r="CB96" s="36">
        <v>0</v>
      </c>
      <c r="CC96" s="36">
        <v>0</v>
      </c>
      <c r="CD96" s="36">
        <v>0</v>
      </c>
      <c r="CE96" s="36">
        <v>0</v>
      </c>
      <c r="CF96" s="36">
        <v>0</v>
      </c>
      <c r="CG96" s="36">
        <v>0</v>
      </c>
      <c r="CH96" s="36">
        <v>0</v>
      </c>
      <c r="CI96" s="36">
        <v>0</v>
      </c>
      <c r="CJ96" s="36">
        <v>0</v>
      </c>
      <c r="CK96" s="36">
        <v>0</v>
      </c>
      <c r="CL96" s="36">
        <v>1</v>
      </c>
      <c r="CM96" s="36">
        <v>0</v>
      </c>
      <c r="CN96" s="36">
        <v>-1</v>
      </c>
      <c r="CO96" s="36">
        <v>0</v>
      </c>
      <c r="CP96" s="36">
        <v>0</v>
      </c>
      <c r="CQ96" s="36">
        <v>0</v>
      </c>
      <c r="CR96" s="36">
        <v>0</v>
      </c>
      <c r="CS96" s="36">
        <v>0</v>
      </c>
      <c r="CT96" s="36">
        <v>0</v>
      </c>
      <c r="CU96" s="36">
        <v>0</v>
      </c>
      <c r="CV96" s="36">
        <v>0</v>
      </c>
      <c r="CW96" s="36">
        <v>0</v>
      </c>
      <c r="CX96" s="36">
        <v>0</v>
      </c>
      <c r="CY96" s="36">
        <v>0</v>
      </c>
      <c r="CZ96" s="36">
        <v>0</v>
      </c>
      <c r="DA96" s="36">
        <v>0</v>
      </c>
      <c r="DB96" s="36">
        <v>0</v>
      </c>
      <c r="DC96" s="36">
        <v>0</v>
      </c>
      <c r="DD96" s="36">
        <v>0</v>
      </c>
      <c r="DE96" s="36">
        <v>0</v>
      </c>
      <c r="DF96" s="36">
        <v>0</v>
      </c>
      <c r="DG96" s="36">
        <v>0</v>
      </c>
      <c r="DH96" s="36">
        <v>0</v>
      </c>
      <c r="DI96" s="36">
        <v>0</v>
      </c>
      <c r="DJ96" s="36">
        <v>0</v>
      </c>
      <c r="DK96" s="36">
        <v>-1</v>
      </c>
      <c r="DL96" s="36">
        <v>1</v>
      </c>
      <c r="DM96" s="36">
        <v>0</v>
      </c>
      <c r="DN96" s="36">
        <v>0</v>
      </c>
      <c r="DO96" s="36">
        <v>0</v>
      </c>
      <c r="DP96" s="36">
        <v>0</v>
      </c>
      <c r="DQ96" s="36">
        <v>0</v>
      </c>
      <c r="DR96" s="36">
        <v>0</v>
      </c>
      <c r="DS96" s="36">
        <v>0</v>
      </c>
      <c r="DT96" s="36">
        <v>0</v>
      </c>
      <c r="DU96" s="36">
        <v>0</v>
      </c>
      <c r="DV96" s="36">
        <v>0</v>
      </c>
      <c r="DW96" s="36">
        <v>0</v>
      </c>
      <c r="DX96" s="36">
        <v>0</v>
      </c>
      <c r="DY96" s="36">
        <v>0</v>
      </c>
      <c r="DZ96" s="36">
        <v>0</v>
      </c>
      <c r="EA96" s="36">
        <v>0</v>
      </c>
      <c r="EB96" s="36">
        <v>0</v>
      </c>
      <c r="EC96" s="36">
        <v>0</v>
      </c>
      <c r="ED96" s="36">
        <v>0</v>
      </c>
      <c r="EE96" s="36">
        <v>0</v>
      </c>
      <c r="EF96" s="36">
        <v>0</v>
      </c>
      <c r="EG96" s="36">
        <v>0</v>
      </c>
      <c r="EH96" s="36">
        <v>0</v>
      </c>
      <c r="EI96" s="36">
        <v>0</v>
      </c>
      <c r="EJ96" s="36">
        <v>0</v>
      </c>
      <c r="EK96" s="36">
        <v>0</v>
      </c>
      <c r="EL96" s="36">
        <v>0</v>
      </c>
      <c r="EM96" s="36">
        <v>0</v>
      </c>
      <c r="EN96" s="36">
        <v>0</v>
      </c>
      <c r="EO96" s="36">
        <v>0</v>
      </c>
      <c r="EP96" s="36">
        <v>0</v>
      </c>
      <c r="ET96" t="s">
        <v>301</v>
      </c>
      <c r="EU96" t="s">
        <v>723</v>
      </c>
      <c r="EV96" s="36">
        <v>0</v>
      </c>
      <c r="EW96" s="36">
        <v>0</v>
      </c>
      <c r="EX96" s="36">
        <v>2</v>
      </c>
      <c r="EY96" s="36">
        <v>0</v>
      </c>
      <c r="EZ96" s="36">
        <v>2</v>
      </c>
      <c r="FA96" s="36">
        <v>0</v>
      </c>
      <c r="FB96" s="36">
        <v>0</v>
      </c>
      <c r="FC96" s="42">
        <f t="shared" si="29"/>
        <v>-2</v>
      </c>
      <c r="FE96">
        <f t="shared" ref="FE96:FE97" si="33">((4*(EW96))+(EX96)+(5*EY96)+(-2*EZ96)+(5*FA96)+(6*FB96)+(-EV96))/1</f>
        <v>-2</v>
      </c>
      <c r="FF96">
        <f t="shared" ref="FF96:FF97" si="34">((4*(EW96))+(EX96)+(-3*EY96)+(-2*EZ96)+(5*FA96)+(6*FB96)+(-EV96))/1</f>
        <v>-2</v>
      </c>
      <c r="FG96">
        <f t="shared" ref="FG96:FG97" si="35">((4*(EW96))+(EX96)+(0*EY96)+(-2*EZ96)+(5*FA96)+(6*FB96)+(-EV96))/1</f>
        <v>-2</v>
      </c>
      <c r="FM96" s="43">
        <f t="shared" si="14"/>
        <v>0</v>
      </c>
      <c r="FN96" s="43">
        <f t="shared" si="14"/>
        <v>0</v>
      </c>
      <c r="FO96" s="43">
        <f t="shared" si="14"/>
        <v>0</v>
      </c>
      <c r="FP96" s="43">
        <f t="shared" si="13"/>
        <v>0</v>
      </c>
      <c r="FQ96" s="43">
        <f t="shared" si="13"/>
        <v>0</v>
      </c>
      <c r="FR96" s="43">
        <f t="shared" si="13"/>
        <v>0</v>
      </c>
      <c r="FS96" s="43">
        <f t="shared" si="13"/>
        <v>0</v>
      </c>
      <c r="FV96" t="s">
        <v>724</v>
      </c>
      <c r="FW96" t="s">
        <v>725</v>
      </c>
    </row>
    <row r="97" spans="1:179" ht="19.5" customHeight="1" x14ac:dyDescent="0.35">
      <c r="A97" t="s">
        <v>726</v>
      </c>
      <c r="B97" s="36">
        <v>1</v>
      </c>
      <c r="C97" s="36">
        <v>0</v>
      </c>
      <c r="D97" s="36">
        <v>0</v>
      </c>
      <c r="E97" s="36">
        <v>0</v>
      </c>
      <c r="F97" s="36">
        <v>0</v>
      </c>
      <c r="G97" s="36">
        <v>0</v>
      </c>
      <c r="H97" s="36">
        <v>0</v>
      </c>
      <c r="I97" s="36">
        <v>0</v>
      </c>
      <c r="J97" s="36">
        <v>0</v>
      </c>
      <c r="K97" s="36">
        <v>0</v>
      </c>
      <c r="L97" s="36">
        <v>0</v>
      </c>
      <c r="M97" s="36">
        <v>0</v>
      </c>
      <c r="N97" s="36">
        <v>0</v>
      </c>
      <c r="O97" s="36">
        <v>0</v>
      </c>
      <c r="P97" s="36">
        <v>0</v>
      </c>
      <c r="Q97" s="36">
        <v>0</v>
      </c>
      <c r="R97" s="36">
        <v>0</v>
      </c>
      <c r="S97" s="36">
        <v>0</v>
      </c>
      <c r="T97" s="36">
        <v>0</v>
      </c>
      <c r="U97" s="36">
        <v>0</v>
      </c>
      <c r="V97" s="36">
        <v>0</v>
      </c>
      <c r="W97" s="36">
        <v>0</v>
      </c>
      <c r="X97" s="36">
        <v>0</v>
      </c>
      <c r="Y97" s="36">
        <v>0</v>
      </c>
      <c r="Z97" s="36">
        <v>0</v>
      </c>
      <c r="AA97" s="36">
        <v>0</v>
      </c>
      <c r="AB97" s="36">
        <v>0</v>
      </c>
      <c r="AC97" s="36">
        <v>0</v>
      </c>
      <c r="AD97" s="36">
        <v>0</v>
      </c>
      <c r="AE97" s="36">
        <v>0</v>
      </c>
      <c r="AF97" s="36">
        <v>0</v>
      </c>
      <c r="AG97" s="36">
        <v>0</v>
      </c>
      <c r="AH97" s="36">
        <v>0</v>
      </c>
      <c r="AI97" s="36">
        <v>1</v>
      </c>
      <c r="AJ97" s="36">
        <v>-1</v>
      </c>
      <c r="AK97" s="36">
        <v>0</v>
      </c>
      <c r="AL97" s="36">
        <v>0</v>
      </c>
      <c r="AM97" s="36">
        <v>0</v>
      </c>
      <c r="AN97" s="36">
        <v>0</v>
      </c>
      <c r="AO97" s="36">
        <v>0</v>
      </c>
      <c r="AP97" s="36">
        <v>0</v>
      </c>
      <c r="AQ97" s="36">
        <v>0</v>
      </c>
      <c r="AR97" s="36">
        <v>0</v>
      </c>
      <c r="AS97" s="36">
        <v>0</v>
      </c>
      <c r="AT97" s="36">
        <v>0</v>
      </c>
      <c r="AU97" s="36">
        <v>0</v>
      </c>
      <c r="AV97" s="36">
        <v>0</v>
      </c>
      <c r="AW97" s="36">
        <v>0</v>
      </c>
      <c r="AX97" s="36">
        <v>0</v>
      </c>
      <c r="AY97" s="36">
        <v>0</v>
      </c>
      <c r="AZ97" s="36">
        <v>0</v>
      </c>
      <c r="BA97" s="36">
        <v>0</v>
      </c>
      <c r="BB97" s="36">
        <v>0</v>
      </c>
      <c r="BC97" s="36">
        <v>1</v>
      </c>
      <c r="BD97" s="36">
        <v>0</v>
      </c>
      <c r="BE97" s="36">
        <v>0</v>
      </c>
      <c r="BF97" s="36">
        <v>0</v>
      </c>
      <c r="BG97" s="36">
        <v>0</v>
      </c>
      <c r="BH97" s="36">
        <v>0</v>
      </c>
      <c r="BI97" s="36">
        <v>0</v>
      </c>
      <c r="BJ97" s="36">
        <v>0</v>
      </c>
      <c r="BK97" s="36">
        <v>0</v>
      </c>
      <c r="BL97" s="36">
        <v>0</v>
      </c>
      <c r="BM97" s="36">
        <v>0</v>
      </c>
      <c r="BN97" s="36">
        <v>0</v>
      </c>
      <c r="BO97" s="36">
        <v>0</v>
      </c>
      <c r="BP97" s="36">
        <v>0</v>
      </c>
      <c r="BQ97" s="36">
        <v>0</v>
      </c>
      <c r="BR97" s="36">
        <v>0</v>
      </c>
      <c r="BS97" s="36">
        <v>0</v>
      </c>
      <c r="BT97" s="36">
        <v>0</v>
      </c>
      <c r="BU97" s="36">
        <v>0</v>
      </c>
      <c r="BV97" s="36">
        <v>0</v>
      </c>
      <c r="BW97" s="36">
        <v>0</v>
      </c>
      <c r="BX97" s="36">
        <v>0</v>
      </c>
      <c r="BY97" s="36">
        <v>0</v>
      </c>
      <c r="BZ97" s="36">
        <v>0</v>
      </c>
      <c r="CA97" s="36">
        <v>0</v>
      </c>
      <c r="CB97" s="36">
        <v>0</v>
      </c>
      <c r="CC97" s="36">
        <v>0</v>
      </c>
      <c r="CD97" s="36">
        <v>0</v>
      </c>
      <c r="CE97" s="36">
        <v>0</v>
      </c>
      <c r="CF97" s="36">
        <v>0</v>
      </c>
      <c r="CG97" s="36">
        <v>0</v>
      </c>
      <c r="CH97" s="36">
        <v>0</v>
      </c>
      <c r="CI97" s="36">
        <v>0</v>
      </c>
      <c r="CJ97" s="36">
        <v>0</v>
      </c>
      <c r="CK97" s="36">
        <v>0</v>
      </c>
      <c r="CL97" s="36">
        <v>0</v>
      </c>
      <c r="CM97" s="36">
        <v>0</v>
      </c>
      <c r="CN97" s="36">
        <v>0</v>
      </c>
      <c r="CO97" s="36">
        <v>0</v>
      </c>
      <c r="CP97" s="36">
        <v>0</v>
      </c>
      <c r="CQ97" s="36">
        <v>0</v>
      </c>
      <c r="CR97" s="36">
        <v>0</v>
      </c>
      <c r="CS97" s="36">
        <v>0</v>
      </c>
      <c r="CT97" s="36">
        <v>0</v>
      </c>
      <c r="CU97" s="36">
        <v>0</v>
      </c>
      <c r="CV97" s="36">
        <v>0</v>
      </c>
      <c r="CW97" s="36">
        <v>0</v>
      </c>
      <c r="CX97" s="36">
        <v>0</v>
      </c>
      <c r="CY97" s="36">
        <v>0</v>
      </c>
      <c r="CZ97" s="36">
        <v>0</v>
      </c>
      <c r="DA97" s="36">
        <v>0</v>
      </c>
      <c r="DB97" s="36">
        <v>0</v>
      </c>
      <c r="DC97" s="36">
        <v>0</v>
      </c>
      <c r="DD97" s="36">
        <v>0</v>
      </c>
      <c r="DE97" s="36">
        <v>0</v>
      </c>
      <c r="DF97" s="36">
        <v>0</v>
      </c>
      <c r="DG97" s="36">
        <v>0</v>
      </c>
      <c r="DH97" s="36">
        <v>0</v>
      </c>
      <c r="DI97" s="36">
        <v>0</v>
      </c>
      <c r="DJ97" s="36">
        <v>0</v>
      </c>
      <c r="DK97" s="36">
        <v>0</v>
      </c>
      <c r="DL97" s="36">
        <v>0</v>
      </c>
      <c r="DM97" s="36">
        <v>0</v>
      </c>
      <c r="DN97" s="36">
        <v>0</v>
      </c>
      <c r="DO97" s="36">
        <v>0</v>
      </c>
      <c r="DP97" s="36">
        <v>0</v>
      </c>
      <c r="DQ97" s="36">
        <v>0</v>
      </c>
      <c r="DR97" s="36">
        <v>0</v>
      </c>
      <c r="DS97" s="36">
        <v>0</v>
      </c>
      <c r="DT97" s="36">
        <v>0</v>
      </c>
      <c r="DU97" s="36">
        <v>0</v>
      </c>
      <c r="DV97" s="36">
        <v>0</v>
      </c>
      <c r="DW97" s="36">
        <v>0</v>
      </c>
      <c r="DX97" s="36">
        <v>-1</v>
      </c>
      <c r="DY97" s="36">
        <v>0</v>
      </c>
      <c r="DZ97" s="36">
        <v>0</v>
      </c>
      <c r="EA97" s="36">
        <v>0</v>
      </c>
      <c r="EB97" s="36">
        <v>0</v>
      </c>
      <c r="EC97" s="36">
        <v>0</v>
      </c>
      <c r="ED97" s="36">
        <v>0</v>
      </c>
      <c r="EE97" s="36">
        <v>0</v>
      </c>
      <c r="EF97" s="36">
        <v>0</v>
      </c>
      <c r="EG97" s="36">
        <v>0</v>
      </c>
      <c r="EH97" s="36">
        <v>0</v>
      </c>
      <c r="EI97" s="36">
        <v>0</v>
      </c>
      <c r="EJ97" s="36">
        <v>0</v>
      </c>
      <c r="EK97" s="36">
        <v>0</v>
      </c>
      <c r="EL97" s="36">
        <v>0</v>
      </c>
      <c r="EM97" s="36">
        <v>0</v>
      </c>
      <c r="EN97" s="36">
        <v>0</v>
      </c>
      <c r="EO97" s="36">
        <v>0</v>
      </c>
      <c r="EP97" s="36">
        <v>0</v>
      </c>
      <c r="ET97" t="s">
        <v>302</v>
      </c>
      <c r="EU97" t="s">
        <v>723</v>
      </c>
      <c r="EV97" s="36">
        <v>0</v>
      </c>
      <c r="EW97" s="36">
        <v>0</v>
      </c>
      <c r="EX97" s="36">
        <v>2</v>
      </c>
      <c r="EY97" s="36">
        <v>0</v>
      </c>
      <c r="EZ97" s="36">
        <v>2</v>
      </c>
      <c r="FA97" s="36">
        <v>0</v>
      </c>
      <c r="FB97" s="36">
        <v>0</v>
      </c>
      <c r="FC97" s="42">
        <f t="shared" si="29"/>
        <v>-2</v>
      </c>
      <c r="FE97">
        <f t="shared" si="33"/>
        <v>-2</v>
      </c>
      <c r="FF97">
        <f t="shared" si="34"/>
        <v>-2</v>
      </c>
      <c r="FG97">
        <f t="shared" si="35"/>
        <v>-2</v>
      </c>
      <c r="FM97" s="43">
        <f t="shared" si="14"/>
        <v>0</v>
      </c>
      <c r="FN97" s="43">
        <f t="shared" si="14"/>
        <v>0</v>
      </c>
      <c r="FO97" s="43">
        <f t="shared" si="14"/>
        <v>0</v>
      </c>
      <c r="FP97" s="43">
        <f t="shared" si="13"/>
        <v>0</v>
      </c>
      <c r="FQ97" s="43">
        <f t="shared" si="13"/>
        <v>0</v>
      </c>
      <c r="FR97" s="43">
        <f t="shared" si="13"/>
        <v>0</v>
      </c>
      <c r="FS97" s="43">
        <f t="shared" si="13"/>
        <v>0</v>
      </c>
      <c r="FV97" t="s">
        <v>727</v>
      </c>
      <c r="FW97" t="s">
        <v>728</v>
      </c>
    </row>
    <row r="98" spans="1:179" ht="19.5" customHeight="1" x14ac:dyDescent="0.35">
      <c r="A98" t="s">
        <v>729</v>
      </c>
      <c r="B98" s="36">
        <v>0</v>
      </c>
      <c r="C98" s="36">
        <v>0</v>
      </c>
      <c r="D98" s="36">
        <v>0</v>
      </c>
      <c r="E98" s="36">
        <v>0</v>
      </c>
      <c r="F98" s="36">
        <v>0</v>
      </c>
      <c r="G98" s="36">
        <v>0</v>
      </c>
      <c r="H98" s="36">
        <v>0</v>
      </c>
      <c r="I98" s="36">
        <v>0</v>
      </c>
      <c r="J98" s="36">
        <v>0</v>
      </c>
      <c r="K98" s="36">
        <v>0</v>
      </c>
      <c r="L98" s="36">
        <v>0</v>
      </c>
      <c r="M98" s="36">
        <v>0</v>
      </c>
      <c r="N98" s="36">
        <v>0</v>
      </c>
      <c r="O98" s="36">
        <v>0</v>
      </c>
      <c r="P98" s="36">
        <v>0</v>
      </c>
      <c r="Q98" s="36">
        <v>0</v>
      </c>
      <c r="R98" s="36">
        <v>0</v>
      </c>
      <c r="S98" s="36">
        <v>0</v>
      </c>
      <c r="T98" s="36">
        <v>0</v>
      </c>
      <c r="U98" s="36">
        <v>0</v>
      </c>
      <c r="V98" s="36">
        <v>0</v>
      </c>
      <c r="W98" s="36">
        <v>0</v>
      </c>
      <c r="X98" s="36">
        <v>0</v>
      </c>
      <c r="Y98" s="36">
        <v>0</v>
      </c>
      <c r="Z98" s="36">
        <v>0</v>
      </c>
      <c r="AA98" s="36">
        <v>0</v>
      </c>
      <c r="AB98" s="36">
        <v>0</v>
      </c>
      <c r="AC98" s="36">
        <v>1</v>
      </c>
      <c r="AD98" s="36">
        <v>0</v>
      </c>
      <c r="AE98" s="36">
        <v>0</v>
      </c>
      <c r="AF98" s="36">
        <v>0</v>
      </c>
      <c r="AG98" s="36">
        <v>0</v>
      </c>
      <c r="AH98" s="36">
        <v>0</v>
      </c>
      <c r="AI98" s="36">
        <v>-1</v>
      </c>
      <c r="AJ98" s="36">
        <v>0</v>
      </c>
      <c r="AK98" s="36">
        <v>0</v>
      </c>
      <c r="AL98" s="36">
        <v>-1</v>
      </c>
      <c r="AM98" s="36">
        <v>0</v>
      </c>
      <c r="AN98" s="36">
        <v>0</v>
      </c>
      <c r="AO98" s="36">
        <v>0</v>
      </c>
      <c r="AP98" s="36">
        <v>0</v>
      </c>
      <c r="AQ98" s="36">
        <v>0</v>
      </c>
      <c r="AR98" s="36">
        <v>1</v>
      </c>
      <c r="AS98" s="36">
        <v>0</v>
      </c>
      <c r="AT98" s="36">
        <v>0</v>
      </c>
      <c r="AU98" s="36">
        <v>0</v>
      </c>
      <c r="AV98" s="36">
        <v>0</v>
      </c>
      <c r="AW98" s="36">
        <v>0</v>
      </c>
      <c r="AX98" s="36">
        <v>0</v>
      </c>
      <c r="AY98" s="36">
        <v>0</v>
      </c>
      <c r="AZ98" s="36">
        <v>0</v>
      </c>
      <c r="BA98" s="36">
        <v>0</v>
      </c>
      <c r="BB98" s="36">
        <v>0</v>
      </c>
      <c r="BC98" s="36">
        <v>0</v>
      </c>
      <c r="BD98" s="36">
        <v>0</v>
      </c>
      <c r="BE98" s="36">
        <v>0</v>
      </c>
      <c r="BF98" s="36">
        <v>0</v>
      </c>
      <c r="BG98" s="36">
        <v>0</v>
      </c>
      <c r="BH98" s="36">
        <v>0</v>
      </c>
      <c r="BI98" s="36">
        <v>0</v>
      </c>
      <c r="BJ98" s="36">
        <v>0</v>
      </c>
      <c r="BK98" s="36">
        <v>0</v>
      </c>
      <c r="BL98" s="36">
        <v>0</v>
      </c>
      <c r="BM98" s="36">
        <v>0</v>
      </c>
      <c r="BN98" s="36">
        <v>0</v>
      </c>
      <c r="BO98" s="36">
        <v>0</v>
      </c>
      <c r="BP98" s="36">
        <v>0</v>
      </c>
      <c r="BQ98" s="36">
        <v>0</v>
      </c>
      <c r="BR98" s="36">
        <v>0</v>
      </c>
      <c r="BS98" s="36">
        <v>0</v>
      </c>
      <c r="BT98" s="36">
        <v>0</v>
      </c>
      <c r="BU98" s="36">
        <v>0</v>
      </c>
      <c r="BV98" s="36">
        <v>0</v>
      </c>
      <c r="BW98" s="36">
        <v>0</v>
      </c>
      <c r="BX98" s="36">
        <v>0</v>
      </c>
      <c r="BY98" s="36">
        <v>0</v>
      </c>
      <c r="BZ98" s="36">
        <v>0</v>
      </c>
      <c r="CA98" s="36">
        <v>0</v>
      </c>
      <c r="CB98" s="36">
        <v>0</v>
      </c>
      <c r="CC98" s="36">
        <v>0</v>
      </c>
      <c r="CD98" s="36">
        <v>0</v>
      </c>
      <c r="CE98" s="36">
        <v>0</v>
      </c>
      <c r="CF98" s="36">
        <v>0</v>
      </c>
      <c r="CG98" s="36">
        <v>0</v>
      </c>
      <c r="CH98" s="36">
        <v>0</v>
      </c>
      <c r="CI98" s="36">
        <v>0</v>
      </c>
      <c r="CJ98" s="36">
        <v>0</v>
      </c>
      <c r="CK98" s="36">
        <v>0</v>
      </c>
      <c r="CL98" s="36">
        <v>0</v>
      </c>
      <c r="CM98" s="36">
        <v>0</v>
      </c>
      <c r="CN98" s="36">
        <v>0</v>
      </c>
      <c r="CO98" s="36">
        <v>0</v>
      </c>
      <c r="CP98" s="36">
        <v>0</v>
      </c>
      <c r="CQ98" s="36">
        <v>0</v>
      </c>
      <c r="CR98" s="36">
        <v>0</v>
      </c>
      <c r="CS98" s="36">
        <v>0</v>
      </c>
      <c r="CT98" s="36">
        <v>0</v>
      </c>
      <c r="CU98" s="36">
        <v>0</v>
      </c>
      <c r="CV98" s="36">
        <v>0</v>
      </c>
      <c r="CW98" s="36">
        <v>0</v>
      </c>
      <c r="CX98" s="36">
        <v>0</v>
      </c>
      <c r="CY98" s="36">
        <v>0</v>
      </c>
      <c r="CZ98" s="36">
        <v>0</v>
      </c>
      <c r="DA98" s="36">
        <v>0</v>
      </c>
      <c r="DB98" s="36">
        <v>0</v>
      </c>
      <c r="DC98" s="36">
        <v>0</v>
      </c>
      <c r="DD98" s="36">
        <v>0</v>
      </c>
      <c r="DE98" s="36">
        <v>0</v>
      </c>
      <c r="DF98" s="36">
        <v>0</v>
      </c>
      <c r="DG98" s="36">
        <v>0</v>
      </c>
      <c r="DH98" s="36">
        <v>0</v>
      </c>
      <c r="DI98" s="36">
        <v>0</v>
      </c>
      <c r="DJ98" s="36">
        <v>0</v>
      </c>
      <c r="DK98" s="36">
        <v>0</v>
      </c>
      <c r="DL98" s="36">
        <v>0</v>
      </c>
      <c r="DM98" s="36">
        <v>0</v>
      </c>
      <c r="DN98" s="36">
        <v>0</v>
      </c>
      <c r="DO98" s="36">
        <v>0</v>
      </c>
      <c r="DP98" s="36">
        <v>0</v>
      </c>
      <c r="DQ98" s="36">
        <v>0</v>
      </c>
      <c r="DR98" s="36">
        <v>0</v>
      </c>
      <c r="DS98" s="36">
        <v>0</v>
      </c>
      <c r="DT98" s="36">
        <v>0</v>
      </c>
      <c r="DU98" s="36">
        <v>0</v>
      </c>
      <c r="DV98" s="36">
        <v>0</v>
      </c>
      <c r="DW98" s="36">
        <v>0</v>
      </c>
      <c r="DX98" s="36">
        <v>0</v>
      </c>
      <c r="DY98" s="36">
        <v>0</v>
      </c>
      <c r="DZ98" s="36">
        <v>0</v>
      </c>
      <c r="EA98" s="36">
        <v>0</v>
      </c>
      <c r="EB98" s="36">
        <v>0</v>
      </c>
      <c r="EC98" s="36">
        <v>0</v>
      </c>
      <c r="ED98" s="36">
        <v>0</v>
      </c>
      <c r="EE98" s="36">
        <v>0</v>
      </c>
      <c r="EF98" s="36">
        <v>0</v>
      </c>
      <c r="EG98" s="36">
        <v>0</v>
      </c>
      <c r="EH98" s="36">
        <v>0</v>
      </c>
      <c r="EI98" s="36">
        <v>0</v>
      </c>
      <c r="EJ98" s="36">
        <v>0</v>
      </c>
      <c r="EK98" s="36">
        <v>0</v>
      </c>
      <c r="EL98" s="36">
        <v>0</v>
      </c>
      <c r="EM98" s="36">
        <v>0</v>
      </c>
      <c r="EN98" s="36">
        <v>0</v>
      </c>
      <c r="EO98" s="36">
        <v>0</v>
      </c>
      <c r="EP98" s="36">
        <v>0</v>
      </c>
      <c r="ET98" t="s">
        <v>303</v>
      </c>
      <c r="EU98" t="s">
        <v>730</v>
      </c>
      <c r="EV98" s="36">
        <v>-1</v>
      </c>
      <c r="EW98" s="36">
        <v>1</v>
      </c>
      <c r="EX98" s="36">
        <v>1</v>
      </c>
      <c r="EY98" s="36">
        <v>0</v>
      </c>
      <c r="EZ98" s="36">
        <v>3</v>
      </c>
      <c r="FA98" s="36">
        <v>0</v>
      </c>
      <c r="FB98" s="36">
        <v>0</v>
      </c>
      <c r="FC98" s="42">
        <v>0</v>
      </c>
      <c r="FE98">
        <f t="shared" si="30"/>
        <v>0</v>
      </c>
      <c r="FF98">
        <f t="shared" si="31"/>
        <v>0</v>
      </c>
      <c r="FG98">
        <f t="shared" si="32"/>
        <v>0</v>
      </c>
      <c r="FM98" s="43">
        <f t="shared" si="14"/>
        <v>0</v>
      </c>
      <c r="FN98" s="43">
        <f t="shared" si="14"/>
        <v>0</v>
      </c>
      <c r="FO98" s="43">
        <f t="shared" si="14"/>
        <v>0</v>
      </c>
      <c r="FP98" s="43">
        <f t="shared" si="13"/>
        <v>0</v>
      </c>
      <c r="FQ98" s="43">
        <f t="shared" si="13"/>
        <v>0</v>
      </c>
      <c r="FR98" s="43">
        <f t="shared" si="13"/>
        <v>0</v>
      </c>
      <c r="FS98" s="43">
        <f t="shared" si="13"/>
        <v>0</v>
      </c>
      <c r="FV98" t="s">
        <v>731</v>
      </c>
      <c r="FW98" t="s">
        <v>732</v>
      </c>
    </row>
    <row r="99" spans="1:179" ht="19.5" customHeight="1" x14ac:dyDescent="0.35">
      <c r="A99" t="s">
        <v>733</v>
      </c>
      <c r="B99" s="36">
        <v>0</v>
      </c>
      <c r="C99" s="36">
        <v>0</v>
      </c>
      <c r="D99" s="36">
        <v>0</v>
      </c>
      <c r="E99" s="36">
        <v>0</v>
      </c>
      <c r="F99" s="36">
        <v>0</v>
      </c>
      <c r="G99" s="36">
        <v>0</v>
      </c>
      <c r="H99" s="36">
        <v>0</v>
      </c>
      <c r="I99" s="36">
        <v>0</v>
      </c>
      <c r="J99" s="36">
        <v>0</v>
      </c>
      <c r="K99" s="36">
        <v>0</v>
      </c>
      <c r="L99" s="36">
        <v>0</v>
      </c>
      <c r="M99" s="36">
        <v>0</v>
      </c>
      <c r="N99" s="36">
        <v>0</v>
      </c>
      <c r="O99" s="36">
        <v>0</v>
      </c>
      <c r="P99" s="36">
        <v>0</v>
      </c>
      <c r="Q99" s="36">
        <v>0</v>
      </c>
      <c r="R99" s="36">
        <v>0</v>
      </c>
      <c r="S99" s="36">
        <v>0</v>
      </c>
      <c r="T99" s="36">
        <v>0</v>
      </c>
      <c r="U99" s="36">
        <v>0</v>
      </c>
      <c r="V99" s="36">
        <v>0</v>
      </c>
      <c r="W99" s="36">
        <v>0</v>
      </c>
      <c r="X99" s="36">
        <v>0</v>
      </c>
      <c r="Y99" s="36">
        <v>0</v>
      </c>
      <c r="Z99" s="36">
        <v>0</v>
      </c>
      <c r="AA99" s="36">
        <v>0</v>
      </c>
      <c r="AB99" s="36">
        <v>1</v>
      </c>
      <c r="AC99" s="36">
        <v>0</v>
      </c>
      <c r="AD99" s="36">
        <v>0</v>
      </c>
      <c r="AE99" s="36">
        <v>0</v>
      </c>
      <c r="AF99" s="36">
        <v>0</v>
      </c>
      <c r="AG99" s="36">
        <v>0</v>
      </c>
      <c r="AH99" s="36">
        <v>0</v>
      </c>
      <c r="AI99" s="36">
        <v>0</v>
      </c>
      <c r="AJ99" s="36">
        <v>-1</v>
      </c>
      <c r="AK99" s="36">
        <v>0</v>
      </c>
      <c r="AL99" s="36">
        <v>0</v>
      </c>
      <c r="AM99" s="36">
        <v>0</v>
      </c>
      <c r="AN99" s="36">
        <v>0</v>
      </c>
      <c r="AO99" s="36">
        <v>0</v>
      </c>
      <c r="AP99" s="36">
        <v>0</v>
      </c>
      <c r="AQ99" s="36">
        <v>0</v>
      </c>
      <c r="AR99" s="36">
        <v>0</v>
      </c>
      <c r="AS99" s="36">
        <v>0</v>
      </c>
      <c r="AT99" s="36">
        <v>0</v>
      </c>
      <c r="AU99" s="36">
        <v>0</v>
      </c>
      <c r="AV99" s="36">
        <v>0</v>
      </c>
      <c r="AW99" s="36">
        <v>0</v>
      </c>
      <c r="AX99" s="36">
        <v>0</v>
      </c>
      <c r="AY99" s="36">
        <v>0</v>
      </c>
      <c r="AZ99" s="36">
        <v>0</v>
      </c>
      <c r="BA99" s="36">
        <v>0</v>
      </c>
      <c r="BB99" s="36">
        <v>0</v>
      </c>
      <c r="BC99" s="36">
        <v>1</v>
      </c>
      <c r="BD99" s="36">
        <v>0</v>
      </c>
      <c r="BE99" s="36">
        <v>0</v>
      </c>
      <c r="BF99" s="36">
        <v>0</v>
      </c>
      <c r="BG99" s="36">
        <v>0</v>
      </c>
      <c r="BH99" s="36">
        <v>0</v>
      </c>
      <c r="BI99" s="36">
        <v>0</v>
      </c>
      <c r="BJ99" s="36">
        <v>0</v>
      </c>
      <c r="BK99" s="36">
        <v>0</v>
      </c>
      <c r="BL99" s="36">
        <v>0</v>
      </c>
      <c r="BM99" s="36">
        <v>0</v>
      </c>
      <c r="BN99" s="36">
        <v>0</v>
      </c>
      <c r="BO99" s="36">
        <v>0</v>
      </c>
      <c r="BP99" s="36">
        <v>0</v>
      </c>
      <c r="BQ99" s="36">
        <v>0</v>
      </c>
      <c r="BR99" s="36">
        <v>0</v>
      </c>
      <c r="BS99" s="36">
        <v>0</v>
      </c>
      <c r="BT99" s="36">
        <v>0</v>
      </c>
      <c r="BU99" s="36">
        <v>0</v>
      </c>
      <c r="BV99" s="36">
        <v>0</v>
      </c>
      <c r="BW99" s="36">
        <v>0</v>
      </c>
      <c r="BX99" s="36">
        <v>0</v>
      </c>
      <c r="BY99" s="36">
        <v>0</v>
      </c>
      <c r="BZ99" s="36">
        <v>0</v>
      </c>
      <c r="CA99" s="36">
        <v>0</v>
      </c>
      <c r="CB99" s="36">
        <v>0</v>
      </c>
      <c r="CC99" s="36">
        <v>0</v>
      </c>
      <c r="CD99" s="36">
        <v>0</v>
      </c>
      <c r="CE99" s="36">
        <v>0</v>
      </c>
      <c r="CF99" s="36">
        <v>0</v>
      </c>
      <c r="CG99" s="36">
        <v>0</v>
      </c>
      <c r="CH99" s="36">
        <v>0</v>
      </c>
      <c r="CI99" s="36">
        <v>0</v>
      </c>
      <c r="CJ99" s="36">
        <v>0</v>
      </c>
      <c r="CK99" s="36">
        <v>0</v>
      </c>
      <c r="CL99" s="36">
        <v>-1</v>
      </c>
      <c r="CM99" s="36">
        <v>0</v>
      </c>
      <c r="CN99" s="36">
        <v>0</v>
      </c>
      <c r="CO99" s="36">
        <v>0</v>
      </c>
      <c r="CP99" s="36">
        <v>0</v>
      </c>
      <c r="CQ99" s="36">
        <v>0</v>
      </c>
      <c r="CR99" s="36">
        <v>0</v>
      </c>
      <c r="CS99" s="36">
        <v>0</v>
      </c>
      <c r="CT99" s="36">
        <v>0</v>
      </c>
      <c r="CU99" s="36">
        <v>0</v>
      </c>
      <c r="CV99" s="36">
        <v>0</v>
      </c>
      <c r="CW99" s="36">
        <v>0</v>
      </c>
      <c r="CX99" s="36">
        <v>0</v>
      </c>
      <c r="CY99" s="36">
        <v>0</v>
      </c>
      <c r="CZ99" s="36">
        <v>0</v>
      </c>
      <c r="DA99" s="36">
        <v>0</v>
      </c>
      <c r="DB99" s="36">
        <v>0</v>
      </c>
      <c r="DC99" s="36">
        <v>0</v>
      </c>
      <c r="DD99" s="36">
        <v>0</v>
      </c>
      <c r="DE99" s="36">
        <v>0</v>
      </c>
      <c r="DF99" s="36">
        <v>0</v>
      </c>
      <c r="DG99" s="36">
        <v>0</v>
      </c>
      <c r="DH99" s="36">
        <v>0</v>
      </c>
      <c r="DI99" s="36">
        <v>0</v>
      </c>
      <c r="DJ99" s="36">
        <v>0</v>
      </c>
      <c r="DK99" s="36">
        <v>1</v>
      </c>
      <c r="DL99" s="36">
        <v>-1</v>
      </c>
      <c r="DM99" s="36">
        <v>0</v>
      </c>
      <c r="DN99" s="36">
        <v>0</v>
      </c>
      <c r="DO99" s="36">
        <v>0</v>
      </c>
      <c r="DP99" s="36">
        <v>0</v>
      </c>
      <c r="DQ99" s="36">
        <v>0</v>
      </c>
      <c r="DR99" s="36">
        <v>0</v>
      </c>
      <c r="DS99" s="36">
        <v>0</v>
      </c>
      <c r="DT99" s="36">
        <v>0</v>
      </c>
      <c r="DU99" s="36">
        <v>0</v>
      </c>
      <c r="DV99" s="36">
        <v>0</v>
      </c>
      <c r="DW99" s="36">
        <v>0</v>
      </c>
      <c r="DX99" s="36">
        <v>0</v>
      </c>
      <c r="DY99" s="36">
        <v>0</v>
      </c>
      <c r="DZ99" s="36">
        <v>0</v>
      </c>
      <c r="EA99" s="36">
        <v>0</v>
      </c>
      <c r="EB99" s="36">
        <v>0</v>
      </c>
      <c r="EC99" s="36">
        <v>0</v>
      </c>
      <c r="ED99" s="36">
        <v>0</v>
      </c>
      <c r="EE99" s="36">
        <v>0</v>
      </c>
      <c r="EF99" s="36">
        <v>0</v>
      </c>
      <c r="EG99" s="36">
        <v>0</v>
      </c>
      <c r="EH99" s="36">
        <v>0</v>
      </c>
      <c r="EI99" s="36">
        <v>0</v>
      </c>
      <c r="EJ99" s="36">
        <v>0</v>
      </c>
      <c r="EK99" s="36">
        <v>0</v>
      </c>
      <c r="EL99" s="36">
        <v>0</v>
      </c>
      <c r="EM99" s="36">
        <v>0</v>
      </c>
      <c r="EN99" s="36">
        <v>0</v>
      </c>
      <c r="EO99" s="36">
        <v>0</v>
      </c>
      <c r="EP99" s="36">
        <v>0</v>
      </c>
      <c r="ET99" t="s">
        <v>304</v>
      </c>
      <c r="EU99" t="s">
        <v>734</v>
      </c>
      <c r="EV99" s="36">
        <v>0</v>
      </c>
      <c r="EW99" s="36">
        <v>0</v>
      </c>
      <c r="EX99" s="36">
        <v>3</v>
      </c>
      <c r="EY99" s="36">
        <v>1</v>
      </c>
      <c r="EZ99" s="36">
        <v>1</v>
      </c>
      <c r="FA99" s="36">
        <v>0</v>
      </c>
      <c r="FB99" s="36">
        <v>0</v>
      </c>
      <c r="FC99" s="42">
        <f>(4*EW99)+(EX99)+(-3*EY99)+(-2*EZ99)+(5*FA99)+(-2*FB99)+(-1*EV99)</f>
        <v>-2</v>
      </c>
      <c r="FE99">
        <f t="shared" ref="FE99" si="36">((4*(EW99))+(EX99)+(5*EY99)+(-2*EZ99)+(5*FA99)+(6*FB99)+(-EV99))/1</f>
        <v>6</v>
      </c>
      <c r="FF99">
        <f t="shared" ref="FF99" si="37">((4*(EW99))+(EX99)+(-3*EY99)+(-2*EZ99)+(5*FA99)+(6*FB99)+(-EV99))/1</f>
        <v>-2</v>
      </c>
      <c r="FG99">
        <f t="shared" ref="FG99" si="38">((4*(EW99))+(EX99)+(0*EY99)+(-2*EZ99)+(5*FA99)+(6*FB99)+(-EV99))/1</f>
        <v>1</v>
      </c>
      <c r="FM99" s="43">
        <f t="shared" si="14"/>
        <v>0</v>
      </c>
      <c r="FN99" s="43">
        <f t="shared" si="14"/>
        <v>0</v>
      </c>
      <c r="FO99" s="43">
        <f t="shared" si="14"/>
        <v>0</v>
      </c>
      <c r="FP99" s="43">
        <f t="shared" si="13"/>
        <v>0</v>
      </c>
      <c r="FQ99" s="43">
        <f t="shared" si="13"/>
        <v>0</v>
      </c>
      <c r="FR99" s="43">
        <f t="shared" si="13"/>
        <v>0</v>
      </c>
      <c r="FS99" s="43">
        <f t="shared" si="13"/>
        <v>0</v>
      </c>
      <c r="FV99" t="s">
        <v>735</v>
      </c>
      <c r="FW99" t="s">
        <v>736</v>
      </c>
    </row>
    <row r="100" spans="1:179" ht="19.5" customHeight="1" x14ac:dyDescent="0.35">
      <c r="A100" t="s">
        <v>737</v>
      </c>
      <c r="B100" s="36">
        <v>0</v>
      </c>
      <c r="C100" s="36">
        <v>0</v>
      </c>
      <c r="D100" s="36">
        <v>0</v>
      </c>
      <c r="E100" s="36">
        <v>0</v>
      </c>
      <c r="F100" s="36">
        <v>0</v>
      </c>
      <c r="G100" s="36">
        <v>0</v>
      </c>
      <c r="H100" s="36">
        <v>0</v>
      </c>
      <c r="I100" s="36">
        <v>0</v>
      </c>
      <c r="J100" s="36">
        <v>0</v>
      </c>
      <c r="K100" s="36">
        <v>0</v>
      </c>
      <c r="L100" s="36">
        <v>0</v>
      </c>
      <c r="M100" s="36">
        <v>0</v>
      </c>
      <c r="N100" s="36">
        <v>0</v>
      </c>
      <c r="O100" s="36">
        <v>0</v>
      </c>
      <c r="P100" s="36">
        <v>0</v>
      </c>
      <c r="Q100" s="36">
        <v>0</v>
      </c>
      <c r="R100" s="36">
        <v>0</v>
      </c>
      <c r="S100" s="36">
        <v>0</v>
      </c>
      <c r="T100" s="36">
        <v>0</v>
      </c>
      <c r="U100" s="36">
        <v>0</v>
      </c>
      <c r="V100" s="36">
        <v>0</v>
      </c>
      <c r="W100" s="36">
        <v>0</v>
      </c>
      <c r="X100" s="36">
        <v>0</v>
      </c>
      <c r="Y100" s="36">
        <v>0</v>
      </c>
      <c r="Z100" s="36">
        <v>0</v>
      </c>
      <c r="AA100" s="36">
        <v>0</v>
      </c>
      <c r="AB100" s="36">
        <v>-1</v>
      </c>
      <c r="AC100" s="36">
        <v>0</v>
      </c>
      <c r="AD100" s="36">
        <v>0</v>
      </c>
      <c r="AE100" s="36">
        <v>0</v>
      </c>
      <c r="AF100" s="36">
        <v>0</v>
      </c>
      <c r="AG100" s="36">
        <v>0</v>
      </c>
      <c r="AH100" s="36">
        <v>0</v>
      </c>
      <c r="AI100" s="36">
        <v>0</v>
      </c>
      <c r="AJ100" s="36">
        <v>0</v>
      </c>
      <c r="AK100" s="36">
        <v>0</v>
      </c>
      <c r="AL100" s="36">
        <v>0</v>
      </c>
      <c r="AM100" s="36">
        <v>0</v>
      </c>
      <c r="AN100" s="36">
        <v>0</v>
      </c>
      <c r="AO100" s="36">
        <v>0</v>
      </c>
      <c r="AP100" s="36">
        <v>0</v>
      </c>
      <c r="AQ100" s="36">
        <v>0</v>
      </c>
      <c r="AR100" s="36">
        <v>0</v>
      </c>
      <c r="AS100" s="36">
        <v>0</v>
      </c>
      <c r="AT100" s="36">
        <v>0</v>
      </c>
      <c r="AU100" s="36">
        <v>0</v>
      </c>
      <c r="AV100" s="36">
        <v>0</v>
      </c>
      <c r="AW100" s="36">
        <v>0</v>
      </c>
      <c r="AX100" s="36">
        <v>0</v>
      </c>
      <c r="AY100" s="36">
        <v>0</v>
      </c>
      <c r="AZ100" s="36">
        <v>0</v>
      </c>
      <c r="BA100" s="36">
        <v>0</v>
      </c>
      <c r="BB100" s="36">
        <v>0</v>
      </c>
      <c r="BC100" s="36">
        <v>0</v>
      </c>
      <c r="BD100" s="36">
        <v>0</v>
      </c>
      <c r="BE100" s="36">
        <v>0</v>
      </c>
      <c r="BF100" s="36">
        <v>0</v>
      </c>
      <c r="BG100" s="36">
        <v>0</v>
      </c>
      <c r="BH100" s="36">
        <v>0</v>
      </c>
      <c r="BI100" s="36">
        <v>0</v>
      </c>
      <c r="BJ100" s="36">
        <v>0</v>
      </c>
      <c r="BK100" s="36">
        <v>0</v>
      </c>
      <c r="BL100" s="36">
        <v>0</v>
      </c>
      <c r="BM100" s="36">
        <v>0</v>
      </c>
      <c r="BN100" s="36">
        <v>0</v>
      </c>
      <c r="BO100" s="36">
        <v>0</v>
      </c>
      <c r="BP100" s="36">
        <v>0</v>
      </c>
      <c r="BQ100" s="36">
        <v>0</v>
      </c>
      <c r="BR100" s="36">
        <v>1</v>
      </c>
      <c r="BS100" s="36">
        <v>0</v>
      </c>
      <c r="BT100" s="36">
        <v>0</v>
      </c>
      <c r="BU100" s="36">
        <v>0</v>
      </c>
      <c r="BV100" s="36">
        <v>0</v>
      </c>
      <c r="BW100" s="36">
        <v>0</v>
      </c>
      <c r="BX100" s="36">
        <v>0</v>
      </c>
      <c r="BY100" s="36">
        <v>0</v>
      </c>
      <c r="BZ100" s="36">
        <v>0</v>
      </c>
      <c r="CA100" s="36">
        <v>0</v>
      </c>
      <c r="CB100" s="36">
        <v>0</v>
      </c>
      <c r="CC100" s="36">
        <v>0</v>
      </c>
      <c r="CD100" s="36">
        <v>0</v>
      </c>
      <c r="CE100" s="36">
        <v>0</v>
      </c>
      <c r="CF100" s="36">
        <v>0</v>
      </c>
      <c r="CG100" s="36">
        <v>0</v>
      </c>
      <c r="CH100" s="36">
        <v>0</v>
      </c>
      <c r="CI100" s="36">
        <v>0</v>
      </c>
      <c r="CJ100" s="36">
        <v>0</v>
      </c>
      <c r="CK100" s="36">
        <v>0</v>
      </c>
      <c r="CL100" s="36">
        <v>-1</v>
      </c>
      <c r="CM100" s="36">
        <v>0</v>
      </c>
      <c r="CN100" s="36">
        <v>0</v>
      </c>
      <c r="CO100" s="36">
        <v>0</v>
      </c>
      <c r="CP100" s="36">
        <v>0</v>
      </c>
      <c r="CQ100" s="36">
        <v>0</v>
      </c>
      <c r="CR100" s="36">
        <v>0</v>
      </c>
      <c r="CS100" s="36">
        <v>0</v>
      </c>
      <c r="CT100" s="36">
        <v>0</v>
      </c>
      <c r="CU100" s="36">
        <v>0</v>
      </c>
      <c r="CV100" s="36">
        <v>0</v>
      </c>
      <c r="CW100" s="36">
        <v>0</v>
      </c>
      <c r="CX100" s="36">
        <v>0</v>
      </c>
      <c r="CY100" s="36">
        <v>0</v>
      </c>
      <c r="CZ100" s="36">
        <v>0</v>
      </c>
      <c r="DA100" s="36">
        <v>0</v>
      </c>
      <c r="DB100" s="36">
        <v>0</v>
      </c>
      <c r="DC100" s="36">
        <v>0</v>
      </c>
      <c r="DD100" s="36">
        <v>0</v>
      </c>
      <c r="DE100" s="36">
        <v>0</v>
      </c>
      <c r="DF100" s="36">
        <v>0</v>
      </c>
      <c r="DG100" s="36">
        <v>0</v>
      </c>
      <c r="DH100" s="36">
        <v>0</v>
      </c>
      <c r="DI100" s="36">
        <v>0</v>
      </c>
      <c r="DJ100" s="36">
        <v>0</v>
      </c>
      <c r="DK100" s="36">
        <v>1</v>
      </c>
      <c r="DL100" s="36">
        <v>-1</v>
      </c>
      <c r="DM100" s="36">
        <v>0</v>
      </c>
      <c r="DN100" s="36">
        <v>0</v>
      </c>
      <c r="DO100" s="36">
        <v>0</v>
      </c>
      <c r="DP100" s="36">
        <v>0</v>
      </c>
      <c r="DQ100" s="36">
        <v>0</v>
      </c>
      <c r="DR100" s="36">
        <v>0</v>
      </c>
      <c r="DS100" s="36">
        <v>0</v>
      </c>
      <c r="DT100" s="36">
        <v>0</v>
      </c>
      <c r="DU100" s="36">
        <v>0</v>
      </c>
      <c r="DV100" s="36">
        <v>0</v>
      </c>
      <c r="DW100" s="36">
        <v>0</v>
      </c>
      <c r="DX100" s="36">
        <v>0</v>
      </c>
      <c r="DY100" s="36">
        <v>0</v>
      </c>
      <c r="DZ100" s="36">
        <v>0</v>
      </c>
      <c r="EA100" s="36">
        <v>0</v>
      </c>
      <c r="EB100" s="36">
        <v>0</v>
      </c>
      <c r="EC100" s="36">
        <v>0</v>
      </c>
      <c r="ED100" s="36">
        <v>0</v>
      </c>
      <c r="EE100" s="36">
        <v>0</v>
      </c>
      <c r="EF100" s="36">
        <v>0</v>
      </c>
      <c r="EG100" s="36">
        <v>0</v>
      </c>
      <c r="EH100" s="36">
        <v>0</v>
      </c>
      <c r="EI100" s="36">
        <v>0</v>
      </c>
      <c r="EJ100" s="36">
        <v>0</v>
      </c>
      <c r="EK100" s="36">
        <v>0</v>
      </c>
      <c r="EL100" s="36">
        <v>0</v>
      </c>
      <c r="EM100" s="36">
        <v>0</v>
      </c>
      <c r="EN100" s="36">
        <v>0</v>
      </c>
      <c r="EO100" s="36">
        <v>0</v>
      </c>
      <c r="EP100" s="36">
        <v>0</v>
      </c>
      <c r="ET100" t="s">
        <v>305</v>
      </c>
      <c r="EU100" t="s">
        <v>738</v>
      </c>
      <c r="EV100" s="36">
        <v>-1</v>
      </c>
      <c r="EW100" s="36">
        <v>3</v>
      </c>
      <c r="EX100" s="36">
        <v>3</v>
      </c>
      <c r="EY100" s="36">
        <v>0</v>
      </c>
      <c r="EZ100" s="36">
        <v>4</v>
      </c>
      <c r="FA100" s="36">
        <v>0</v>
      </c>
      <c r="FB100" s="36">
        <v>0</v>
      </c>
      <c r="FC100" s="42">
        <v>8</v>
      </c>
      <c r="FE100">
        <f t="shared" si="30"/>
        <v>2.6666666666666665</v>
      </c>
      <c r="FF100">
        <f t="shared" si="31"/>
        <v>2.6666666666666665</v>
      </c>
      <c r="FG100">
        <f t="shared" si="32"/>
        <v>2.6666666666666665</v>
      </c>
      <c r="FM100" s="43">
        <f t="shared" si="14"/>
        <v>0</v>
      </c>
      <c r="FN100" s="43">
        <f t="shared" si="14"/>
        <v>0</v>
      </c>
      <c r="FO100" s="43">
        <f t="shared" si="14"/>
        <v>0</v>
      </c>
      <c r="FP100" s="43">
        <f t="shared" si="13"/>
        <v>0</v>
      </c>
      <c r="FQ100" s="43">
        <f t="shared" si="13"/>
        <v>0</v>
      </c>
      <c r="FR100" s="43">
        <f t="shared" si="13"/>
        <v>0</v>
      </c>
      <c r="FS100" s="43">
        <f t="shared" si="13"/>
        <v>0</v>
      </c>
      <c r="FV100" t="s">
        <v>739</v>
      </c>
      <c r="FW100" t="s">
        <v>740</v>
      </c>
    </row>
    <row r="101" spans="1:179" ht="19.5" customHeight="1" x14ac:dyDescent="0.35">
      <c r="A101" t="s">
        <v>741</v>
      </c>
      <c r="B101" s="36">
        <v>0</v>
      </c>
      <c r="C101" s="36">
        <v>0</v>
      </c>
      <c r="D101" s="36">
        <v>0</v>
      </c>
      <c r="E101" s="36">
        <v>0</v>
      </c>
      <c r="F101" s="36">
        <v>0</v>
      </c>
      <c r="G101" s="36">
        <v>0</v>
      </c>
      <c r="H101" s="36">
        <v>0</v>
      </c>
      <c r="I101" s="36">
        <v>0</v>
      </c>
      <c r="J101" s="36">
        <v>0</v>
      </c>
      <c r="K101" s="36">
        <v>0</v>
      </c>
      <c r="L101" s="36">
        <v>0</v>
      </c>
      <c r="M101" s="36">
        <v>0</v>
      </c>
      <c r="N101" s="36">
        <v>0</v>
      </c>
      <c r="O101" s="36">
        <v>0</v>
      </c>
      <c r="P101" s="36">
        <v>0</v>
      </c>
      <c r="Q101" s="36">
        <v>0</v>
      </c>
      <c r="R101" s="36">
        <v>0</v>
      </c>
      <c r="S101" s="36">
        <v>0</v>
      </c>
      <c r="T101" s="36">
        <v>0</v>
      </c>
      <c r="U101" s="36">
        <v>0</v>
      </c>
      <c r="V101" s="36">
        <v>0</v>
      </c>
      <c r="W101" s="36">
        <v>0</v>
      </c>
      <c r="X101" s="36">
        <v>0</v>
      </c>
      <c r="Y101" s="36">
        <v>0</v>
      </c>
      <c r="Z101" s="36">
        <v>0</v>
      </c>
      <c r="AA101" s="36">
        <v>0</v>
      </c>
      <c r="AB101" s="36">
        <v>0</v>
      </c>
      <c r="AC101" s="36">
        <v>0</v>
      </c>
      <c r="AD101" s="36">
        <v>0</v>
      </c>
      <c r="AE101" s="36">
        <v>-1</v>
      </c>
      <c r="AF101" s="36">
        <v>0</v>
      </c>
      <c r="AG101" s="36">
        <v>1</v>
      </c>
      <c r="AH101" s="36">
        <v>0</v>
      </c>
      <c r="AI101" s="36">
        <v>0</v>
      </c>
      <c r="AJ101" s="36">
        <v>0</v>
      </c>
      <c r="AK101" s="36">
        <v>0</v>
      </c>
      <c r="AL101" s="36">
        <v>0</v>
      </c>
      <c r="AM101" s="36">
        <v>0</v>
      </c>
      <c r="AN101" s="36">
        <v>0</v>
      </c>
      <c r="AO101" s="36">
        <v>0</v>
      </c>
      <c r="AP101" s="36">
        <v>0</v>
      </c>
      <c r="AQ101" s="36">
        <v>0</v>
      </c>
      <c r="AR101" s="36">
        <v>0</v>
      </c>
      <c r="AS101" s="36">
        <v>0</v>
      </c>
      <c r="AT101" s="36">
        <v>0</v>
      </c>
      <c r="AU101" s="36">
        <v>0</v>
      </c>
      <c r="AV101" s="36">
        <v>0</v>
      </c>
      <c r="AW101" s="36">
        <v>0</v>
      </c>
      <c r="AX101" s="36">
        <v>0</v>
      </c>
      <c r="AY101" s="36">
        <v>1</v>
      </c>
      <c r="AZ101" s="36">
        <v>0</v>
      </c>
      <c r="BA101" s="36">
        <v>0</v>
      </c>
      <c r="BB101" s="36">
        <v>0</v>
      </c>
      <c r="BC101" s="36">
        <v>0</v>
      </c>
      <c r="BD101" s="36">
        <v>0</v>
      </c>
      <c r="BE101" s="36">
        <v>0</v>
      </c>
      <c r="BF101" s="36">
        <v>0</v>
      </c>
      <c r="BG101" s="36">
        <v>0</v>
      </c>
      <c r="BH101" s="36">
        <v>0</v>
      </c>
      <c r="BI101" s="36">
        <v>0</v>
      </c>
      <c r="BJ101" s="36">
        <v>0</v>
      </c>
      <c r="BK101" s="36">
        <v>0</v>
      </c>
      <c r="BL101" s="36">
        <v>0</v>
      </c>
      <c r="BM101" s="36">
        <v>0</v>
      </c>
      <c r="BN101" s="36">
        <v>0</v>
      </c>
      <c r="BO101" s="36">
        <v>0</v>
      </c>
      <c r="BP101" s="36">
        <v>0</v>
      </c>
      <c r="BQ101" s="36">
        <v>0</v>
      </c>
      <c r="BR101" s="36">
        <v>0</v>
      </c>
      <c r="BS101" s="36">
        <v>0</v>
      </c>
      <c r="BT101" s="36">
        <v>0</v>
      </c>
      <c r="BU101" s="36">
        <v>0</v>
      </c>
      <c r="BV101" s="36">
        <v>0</v>
      </c>
      <c r="BW101" s="36">
        <v>0</v>
      </c>
      <c r="BX101" s="36">
        <v>0</v>
      </c>
      <c r="BY101" s="36">
        <v>0</v>
      </c>
      <c r="BZ101" s="36">
        <v>0</v>
      </c>
      <c r="CA101" s="36">
        <v>0</v>
      </c>
      <c r="CB101" s="36">
        <v>0</v>
      </c>
      <c r="CC101" s="36">
        <v>0</v>
      </c>
      <c r="CD101" s="36">
        <v>0</v>
      </c>
      <c r="CE101" s="36">
        <v>0</v>
      </c>
      <c r="CF101" s="36">
        <v>0</v>
      </c>
      <c r="CG101" s="36">
        <v>0</v>
      </c>
      <c r="CH101" s="36">
        <v>0</v>
      </c>
      <c r="CI101" s="36">
        <v>0</v>
      </c>
      <c r="CJ101" s="36">
        <v>0</v>
      </c>
      <c r="CK101" s="36">
        <v>0</v>
      </c>
      <c r="CL101" s="36">
        <v>-1</v>
      </c>
      <c r="CM101" s="36">
        <v>0</v>
      </c>
      <c r="CN101" s="36">
        <v>0</v>
      </c>
      <c r="CO101" s="36">
        <v>0</v>
      </c>
      <c r="CP101" s="36">
        <v>0</v>
      </c>
      <c r="CQ101" s="36">
        <v>0</v>
      </c>
      <c r="CR101" s="36">
        <v>0</v>
      </c>
      <c r="CS101" s="36">
        <v>0</v>
      </c>
      <c r="CT101" s="36">
        <v>0</v>
      </c>
      <c r="CU101" s="36">
        <v>0</v>
      </c>
      <c r="CV101" s="36">
        <v>0</v>
      </c>
      <c r="CW101" s="36">
        <v>0</v>
      </c>
      <c r="CX101" s="36">
        <v>0</v>
      </c>
      <c r="CY101" s="36">
        <v>0</v>
      </c>
      <c r="CZ101" s="36">
        <v>0</v>
      </c>
      <c r="DA101" s="36">
        <v>0</v>
      </c>
      <c r="DB101" s="36">
        <v>0</v>
      </c>
      <c r="DC101" s="36">
        <v>0</v>
      </c>
      <c r="DD101" s="36">
        <v>0</v>
      </c>
      <c r="DE101" s="36">
        <v>0</v>
      </c>
      <c r="DF101" s="36">
        <v>0</v>
      </c>
      <c r="DG101" s="36">
        <v>0</v>
      </c>
      <c r="DH101" s="36">
        <v>0</v>
      </c>
      <c r="DI101" s="36">
        <v>0</v>
      </c>
      <c r="DJ101" s="36">
        <v>0</v>
      </c>
      <c r="DK101" s="36">
        <v>0</v>
      </c>
      <c r="DL101" s="36">
        <v>0</v>
      </c>
      <c r="DM101" s="36">
        <v>0</v>
      </c>
      <c r="DN101" s="36">
        <v>0</v>
      </c>
      <c r="DO101" s="36">
        <v>0</v>
      </c>
      <c r="DP101" s="36">
        <v>0</v>
      </c>
      <c r="DQ101" s="36">
        <v>0</v>
      </c>
      <c r="DR101" s="36">
        <v>0</v>
      </c>
      <c r="DS101" s="36">
        <v>0</v>
      </c>
      <c r="DT101" s="36">
        <v>0</v>
      </c>
      <c r="DU101" s="36">
        <v>0</v>
      </c>
      <c r="DV101" s="36">
        <v>0</v>
      </c>
      <c r="DW101" s="36">
        <v>0</v>
      </c>
      <c r="DX101" s="36">
        <v>0</v>
      </c>
      <c r="DY101" s="36">
        <v>0</v>
      </c>
      <c r="DZ101" s="36">
        <v>0</v>
      </c>
      <c r="EA101" s="36">
        <v>0</v>
      </c>
      <c r="EB101" s="36">
        <v>0</v>
      </c>
      <c r="EC101" s="36">
        <v>0</v>
      </c>
      <c r="ED101" s="36">
        <v>0</v>
      </c>
      <c r="EE101" s="36">
        <v>0</v>
      </c>
      <c r="EF101" s="36">
        <v>0</v>
      </c>
      <c r="EG101" s="36">
        <v>0</v>
      </c>
      <c r="EH101" s="36">
        <v>0</v>
      </c>
      <c r="EI101" s="36">
        <v>0</v>
      </c>
      <c r="EJ101" s="36">
        <v>0</v>
      </c>
      <c r="EK101" s="36">
        <v>0</v>
      </c>
      <c r="EL101" s="36">
        <v>0</v>
      </c>
      <c r="EM101" s="36">
        <v>0</v>
      </c>
      <c r="EN101" s="36">
        <v>0</v>
      </c>
      <c r="EO101" s="36">
        <v>0</v>
      </c>
      <c r="EP101" s="36">
        <v>0</v>
      </c>
      <c r="ET101" t="s">
        <v>742</v>
      </c>
      <c r="EU101" t="s">
        <v>743</v>
      </c>
      <c r="EV101" s="36">
        <v>-1</v>
      </c>
      <c r="EW101" s="36">
        <v>5</v>
      </c>
      <c r="EX101" s="36">
        <v>8</v>
      </c>
      <c r="EY101" s="36">
        <v>1</v>
      </c>
      <c r="EZ101" s="36">
        <v>4</v>
      </c>
      <c r="FA101" s="36">
        <v>0</v>
      </c>
      <c r="FB101" s="36">
        <v>0</v>
      </c>
      <c r="FC101" s="42">
        <f>(4*EW101)+(EX101)+(-3*EY101)+(-2*EZ101)+(5*FA101)+(-2*FB101)+(-1*EV101)</f>
        <v>18</v>
      </c>
      <c r="FE101">
        <f t="shared" si="30"/>
        <v>5.2</v>
      </c>
      <c r="FF101">
        <f t="shared" si="31"/>
        <v>3.6</v>
      </c>
      <c r="FG101">
        <f t="shared" si="32"/>
        <v>4.2</v>
      </c>
      <c r="FM101" s="43">
        <f t="shared" si="14"/>
        <v>0</v>
      </c>
      <c r="FN101" s="43">
        <f t="shared" si="14"/>
        <v>0</v>
      </c>
      <c r="FO101" s="43">
        <f t="shared" si="14"/>
        <v>0</v>
      </c>
      <c r="FP101" s="43">
        <f t="shared" si="13"/>
        <v>0</v>
      </c>
      <c r="FQ101" s="43">
        <f t="shared" si="13"/>
        <v>0</v>
      </c>
      <c r="FR101" s="43">
        <f t="shared" si="13"/>
        <v>0</v>
      </c>
      <c r="FS101" s="43">
        <f t="shared" si="13"/>
        <v>0</v>
      </c>
      <c r="FV101" t="s">
        <v>744</v>
      </c>
      <c r="FW101" t="s">
        <v>745</v>
      </c>
    </row>
    <row r="102" spans="1:179" ht="19.5" customHeight="1" x14ac:dyDescent="0.35">
      <c r="A102" t="s">
        <v>746</v>
      </c>
      <c r="B102" s="36">
        <v>0</v>
      </c>
      <c r="C102" s="36">
        <v>0</v>
      </c>
      <c r="D102" s="36">
        <v>0</v>
      </c>
      <c r="E102" s="36">
        <v>0</v>
      </c>
      <c r="F102" s="36">
        <v>0</v>
      </c>
      <c r="G102" s="36">
        <v>0</v>
      </c>
      <c r="H102" s="36">
        <v>1</v>
      </c>
      <c r="I102" s="36">
        <v>0</v>
      </c>
      <c r="J102" s="36">
        <v>0</v>
      </c>
      <c r="K102" s="36">
        <v>0</v>
      </c>
      <c r="L102" s="36">
        <v>0</v>
      </c>
      <c r="M102" s="36">
        <v>0</v>
      </c>
      <c r="N102" s="36">
        <v>0</v>
      </c>
      <c r="O102" s="36">
        <v>0</v>
      </c>
      <c r="P102" s="36">
        <v>0</v>
      </c>
      <c r="Q102" s="36">
        <v>0</v>
      </c>
      <c r="R102" s="36">
        <v>0</v>
      </c>
      <c r="S102" s="36">
        <v>0</v>
      </c>
      <c r="T102" s="36">
        <v>0</v>
      </c>
      <c r="U102" s="36">
        <v>0</v>
      </c>
      <c r="V102" s="36">
        <v>0</v>
      </c>
      <c r="W102" s="36">
        <v>0</v>
      </c>
      <c r="X102" s="36">
        <v>0</v>
      </c>
      <c r="Y102" s="36">
        <v>0</v>
      </c>
      <c r="Z102" s="36">
        <v>0</v>
      </c>
      <c r="AA102" s="36">
        <v>0</v>
      </c>
      <c r="AB102" s="36">
        <v>0</v>
      </c>
      <c r="AC102" s="36">
        <v>0</v>
      </c>
      <c r="AD102" s="36">
        <v>0</v>
      </c>
      <c r="AE102" s="36">
        <v>0</v>
      </c>
      <c r="AF102" s="36">
        <v>0</v>
      </c>
      <c r="AG102" s="36">
        <v>0</v>
      </c>
      <c r="AH102" s="36">
        <v>0</v>
      </c>
      <c r="AI102" s="36">
        <v>0</v>
      </c>
      <c r="AJ102" s="36">
        <v>0</v>
      </c>
      <c r="AK102" s="36">
        <v>0</v>
      </c>
      <c r="AL102" s="36">
        <v>0</v>
      </c>
      <c r="AM102" s="36">
        <v>0</v>
      </c>
      <c r="AN102" s="36">
        <v>0</v>
      </c>
      <c r="AO102" s="36">
        <v>0</v>
      </c>
      <c r="AP102" s="36">
        <v>0</v>
      </c>
      <c r="AQ102" s="36">
        <v>0</v>
      </c>
      <c r="AR102" s="36">
        <v>0</v>
      </c>
      <c r="AS102" s="36">
        <v>0</v>
      </c>
      <c r="AT102" s="36">
        <v>0</v>
      </c>
      <c r="AU102" s="36">
        <v>0</v>
      </c>
      <c r="AV102" s="36">
        <v>0</v>
      </c>
      <c r="AW102" s="36">
        <v>0</v>
      </c>
      <c r="AX102" s="36">
        <v>0</v>
      </c>
      <c r="AY102" s="36">
        <v>0</v>
      </c>
      <c r="AZ102" s="36">
        <v>0</v>
      </c>
      <c r="BA102" s="36">
        <v>0</v>
      </c>
      <c r="BB102" s="36">
        <v>0</v>
      </c>
      <c r="BC102" s="36">
        <v>0</v>
      </c>
      <c r="BD102" s="36">
        <v>0</v>
      </c>
      <c r="BE102" s="36">
        <v>0</v>
      </c>
      <c r="BF102" s="36">
        <v>0</v>
      </c>
      <c r="BG102" s="36">
        <v>0</v>
      </c>
      <c r="BH102" s="36">
        <v>0</v>
      </c>
      <c r="BI102" s="36">
        <v>0</v>
      </c>
      <c r="BJ102" s="36">
        <v>0</v>
      </c>
      <c r="BK102" s="36">
        <v>0</v>
      </c>
      <c r="BL102" s="36">
        <v>0</v>
      </c>
      <c r="BM102" s="36">
        <v>0</v>
      </c>
      <c r="BN102" s="36">
        <v>0</v>
      </c>
      <c r="BO102" s="36">
        <v>0</v>
      </c>
      <c r="BP102" s="36">
        <v>0</v>
      </c>
      <c r="BQ102" s="36">
        <v>0</v>
      </c>
      <c r="BR102" s="36">
        <v>0</v>
      </c>
      <c r="BS102" s="36">
        <v>0</v>
      </c>
      <c r="BT102" s="36">
        <v>0</v>
      </c>
      <c r="BU102" s="36">
        <v>0</v>
      </c>
      <c r="BV102" s="36">
        <v>0</v>
      </c>
      <c r="BW102" s="36">
        <v>0</v>
      </c>
      <c r="BX102" s="36">
        <v>0</v>
      </c>
      <c r="BY102" s="36">
        <v>0</v>
      </c>
      <c r="BZ102" s="36">
        <v>0</v>
      </c>
      <c r="CA102" s="36">
        <v>0</v>
      </c>
      <c r="CB102" s="36">
        <v>0</v>
      </c>
      <c r="CC102" s="36">
        <v>0</v>
      </c>
      <c r="CD102" s="36">
        <v>0</v>
      </c>
      <c r="CE102" s="36">
        <v>0</v>
      </c>
      <c r="CF102" s="36">
        <v>0</v>
      </c>
      <c r="CG102" s="36">
        <v>0</v>
      </c>
      <c r="CH102" s="36">
        <v>0</v>
      </c>
      <c r="CI102" s="36">
        <v>0</v>
      </c>
      <c r="CJ102" s="36">
        <v>0</v>
      </c>
      <c r="CK102" s="36">
        <v>0</v>
      </c>
      <c r="CL102" s="36">
        <v>-1</v>
      </c>
      <c r="CM102" s="36">
        <v>0</v>
      </c>
      <c r="CN102" s="36">
        <v>0</v>
      </c>
      <c r="CO102" s="36">
        <v>0</v>
      </c>
      <c r="CP102" s="36">
        <v>0</v>
      </c>
      <c r="CQ102" s="36">
        <v>0</v>
      </c>
      <c r="CR102" s="36">
        <v>0</v>
      </c>
      <c r="CS102" s="36">
        <v>0</v>
      </c>
      <c r="CT102" s="36">
        <v>0</v>
      </c>
      <c r="CU102" s="36">
        <v>0</v>
      </c>
      <c r="CV102" s="36">
        <v>0</v>
      </c>
      <c r="CW102" s="36">
        <v>0</v>
      </c>
      <c r="CX102" s="36">
        <v>0</v>
      </c>
      <c r="CY102" s="36">
        <v>0</v>
      </c>
      <c r="CZ102" s="36">
        <v>0</v>
      </c>
      <c r="DA102" s="36">
        <v>0</v>
      </c>
      <c r="DB102" s="36">
        <v>0</v>
      </c>
      <c r="DC102" s="36">
        <v>0</v>
      </c>
      <c r="DD102" s="36">
        <v>0</v>
      </c>
      <c r="DE102" s="36">
        <v>0</v>
      </c>
      <c r="DF102" s="36">
        <v>0</v>
      </c>
      <c r="DG102" s="36">
        <v>0</v>
      </c>
      <c r="DH102" s="36">
        <v>0</v>
      </c>
      <c r="DI102" s="36">
        <v>0</v>
      </c>
      <c r="DJ102" s="36">
        <v>0</v>
      </c>
      <c r="DK102" s="36">
        <v>1</v>
      </c>
      <c r="DL102" s="36">
        <v>-1</v>
      </c>
      <c r="DM102" s="36">
        <v>0</v>
      </c>
      <c r="DN102" s="36">
        <v>0</v>
      </c>
      <c r="DO102" s="36">
        <v>0</v>
      </c>
      <c r="DP102" s="36">
        <v>0</v>
      </c>
      <c r="DQ102" s="36">
        <v>0</v>
      </c>
      <c r="DR102" s="36">
        <v>0</v>
      </c>
      <c r="DS102" s="36">
        <v>0</v>
      </c>
      <c r="DT102" s="36">
        <v>0</v>
      </c>
      <c r="DU102" s="36">
        <v>0</v>
      </c>
      <c r="DV102" s="36">
        <v>0</v>
      </c>
      <c r="DW102" s="36">
        <v>0</v>
      </c>
      <c r="DX102" s="36">
        <v>0</v>
      </c>
      <c r="DY102" s="36">
        <v>0</v>
      </c>
      <c r="DZ102" s="36">
        <v>0</v>
      </c>
      <c r="EA102" s="36">
        <v>0</v>
      </c>
      <c r="EB102" s="36">
        <v>0</v>
      </c>
      <c r="EC102" s="36">
        <v>0</v>
      </c>
      <c r="ED102" s="36">
        <v>0</v>
      </c>
      <c r="EE102" s="36">
        <v>0</v>
      </c>
      <c r="EF102" s="36">
        <v>0</v>
      </c>
      <c r="EG102" s="36">
        <v>0</v>
      </c>
      <c r="EH102" s="36">
        <v>-1</v>
      </c>
      <c r="EI102" s="36">
        <v>0</v>
      </c>
      <c r="EJ102" s="36">
        <v>0</v>
      </c>
      <c r="EK102" s="36">
        <v>0</v>
      </c>
      <c r="EL102" s="36">
        <v>0</v>
      </c>
      <c r="EM102" s="36">
        <v>0</v>
      </c>
      <c r="EN102" s="36">
        <v>0</v>
      </c>
      <c r="EO102" s="36">
        <v>0</v>
      </c>
      <c r="EP102" s="36">
        <v>0</v>
      </c>
      <c r="ET102" t="s">
        <v>747</v>
      </c>
      <c r="EU102" s="46" t="s">
        <v>748</v>
      </c>
      <c r="EV102" s="36">
        <v>0</v>
      </c>
      <c r="EW102" s="36">
        <v>5</v>
      </c>
      <c r="EX102" s="36">
        <v>9</v>
      </c>
      <c r="EY102" s="36">
        <v>1</v>
      </c>
      <c r="EZ102" s="36">
        <v>3</v>
      </c>
      <c r="FA102" s="36">
        <v>0</v>
      </c>
      <c r="FB102" s="36">
        <v>0</v>
      </c>
      <c r="FC102" s="42">
        <f>(4*EW102)+(EX102)+(-3*EY102)+(-2*EZ102)+(5*FA102)+(-2*FB102)+(-1*EV102)</f>
        <v>20</v>
      </c>
      <c r="FE102">
        <f t="shared" si="30"/>
        <v>5.6</v>
      </c>
      <c r="FF102">
        <f t="shared" si="31"/>
        <v>4</v>
      </c>
      <c r="FG102">
        <f t="shared" si="32"/>
        <v>4.5999999999999996</v>
      </c>
      <c r="FM102" s="43">
        <f t="shared" si="14"/>
        <v>0</v>
      </c>
      <c r="FN102" s="43">
        <f t="shared" si="14"/>
        <v>0</v>
      </c>
      <c r="FO102" s="43">
        <f t="shared" si="14"/>
        <v>0</v>
      </c>
      <c r="FP102" s="43">
        <f t="shared" si="13"/>
        <v>0</v>
      </c>
      <c r="FQ102" s="43">
        <f t="shared" si="13"/>
        <v>0</v>
      </c>
      <c r="FR102" s="43">
        <f t="shared" si="13"/>
        <v>0</v>
      </c>
      <c r="FS102" s="43">
        <f t="shared" si="13"/>
        <v>0</v>
      </c>
      <c r="FV102" t="s">
        <v>749</v>
      </c>
      <c r="FW102" t="s">
        <v>750</v>
      </c>
    </row>
    <row r="103" spans="1:179" ht="19.5" customHeight="1" x14ac:dyDescent="0.35">
      <c r="A103" t="s">
        <v>751</v>
      </c>
      <c r="B103" s="36">
        <v>0</v>
      </c>
      <c r="C103" s="36">
        <v>0</v>
      </c>
      <c r="D103" s="36">
        <v>0</v>
      </c>
      <c r="E103" s="36">
        <v>0</v>
      </c>
      <c r="F103" s="36">
        <v>0</v>
      </c>
      <c r="G103" s="36">
        <v>0</v>
      </c>
      <c r="H103" s="36">
        <v>0</v>
      </c>
      <c r="I103" s="36">
        <v>0</v>
      </c>
      <c r="J103" s="36">
        <v>0</v>
      </c>
      <c r="K103" s="36">
        <v>0</v>
      </c>
      <c r="L103" s="36">
        <v>0</v>
      </c>
      <c r="M103" s="36">
        <v>0</v>
      </c>
      <c r="N103" s="36">
        <v>0</v>
      </c>
      <c r="O103" s="36">
        <v>0</v>
      </c>
      <c r="P103" s="36">
        <v>0</v>
      </c>
      <c r="Q103" s="36">
        <v>0</v>
      </c>
      <c r="R103" s="36">
        <v>0</v>
      </c>
      <c r="S103" s="36">
        <v>0</v>
      </c>
      <c r="T103" s="36">
        <v>0</v>
      </c>
      <c r="U103" s="36">
        <v>0</v>
      </c>
      <c r="V103" s="36">
        <v>0</v>
      </c>
      <c r="W103" s="36">
        <v>0</v>
      </c>
      <c r="X103" s="36">
        <v>0</v>
      </c>
      <c r="Y103" s="36">
        <v>0</v>
      </c>
      <c r="Z103" s="36">
        <v>0</v>
      </c>
      <c r="AA103" s="36">
        <v>0</v>
      </c>
      <c r="AB103" s="36">
        <v>0</v>
      </c>
      <c r="AC103" s="36">
        <v>0</v>
      </c>
      <c r="AD103" s="36">
        <v>0</v>
      </c>
      <c r="AE103" s="36">
        <v>0</v>
      </c>
      <c r="AF103" s="36">
        <v>0</v>
      </c>
      <c r="AG103" s="36">
        <v>0</v>
      </c>
      <c r="AH103" s="36">
        <v>0</v>
      </c>
      <c r="AI103" s="36">
        <v>0</v>
      </c>
      <c r="AJ103" s="36">
        <v>0</v>
      </c>
      <c r="AK103" s="36">
        <v>0</v>
      </c>
      <c r="AL103" s="36">
        <v>0</v>
      </c>
      <c r="AM103" s="36">
        <v>0</v>
      </c>
      <c r="AN103" s="36">
        <v>0</v>
      </c>
      <c r="AO103" s="36">
        <v>0</v>
      </c>
      <c r="AP103" s="36">
        <v>0</v>
      </c>
      <c r="AQ103" s="36">
        <v>0</v>
      </c>
      <c r="AR103" s="36">
        <v>0</v>
      </c>
      <c r="AS103" s="36">
        <v>0</v>
      </c>
      <c r="AT103" s="36">
        <v>0</v>
      </c>
      <c r="AU103" s="36">
        <v>0</v>
      </c>
      <c r="AV103" s="36">
        <v>0</v>
      </c>
      <c r="AW103" s="36">
        <v>0</v>
      </c>
      <c r="AX103" s="36">
        <v>0</v>
      </c>
      <c r="AY103" s="36">
        <v>0</v>
      </c>
      <c r="AZ103" s="36">
        <v>-9.84</v>
      </c>
      <c r="BA103" s="36">
        <v>-29.04</v>
      </c>
      <c r="BB103" s="36">
        <v>0</v>
      </c>
      <c r="BC103" s="36">
        <v>0</v>
      </c>
      <c r="BD103" s="36">
        <v>0</v>
      </c>
      <c r="BE103" s="36">
        <v>0</v>
      </c>
      <c r="BF103" s="36">
        <v>0</v>
      </c>
      <c r="BG103" s="36">
        <v>0</v>
      </c>
      <c r="BH103" s="36">
        <v>0</v>
      </c>
      <c r="BI103" s="36">
        <v>0</v>
      </c>
      <c r="BJ103" s="36">
        <v>0</v>
      </c>
      <c r="BK103" s="36">
        <v>0</v>
      </c>
      <c r="BL103" s="36">
        <v>0</v>
      </c>
      <c r="BM103" s="36">
        <v>0</v>
      </c>
      <c r="BN103" s="36">
        <v>0</v>
      </c>
      <c r="BO103" s="36">
        <v>0</v>
      </c>
      <c r="BP103" s="36">
        <v>0</v>
      </c>
      <c r="BQ103" s="36">
        <v>0</v>
      </c>
      <c r="BR103" s="36">
        <v>0</v>
      </c>
      <c r="BS103" s="36">
        <v>0</v>
      </c>
      <c r="BT103" s="36">
        <v>0</v>
      </c>
      <c r="BU103" s="36">
        <v>0</v>
      </c>
      <c r="BV103" s="36">
        <v>0</v>
      </c>
      <c r="BW103" s="36">
        <v>0</v>
      </c>
      <c r="BX103" s="36">
        <v>0</v>
      </c>
      <c r="BY103" s="36">
        <v>0</v>
      </c>
      <c r="BZ103" s="36">
        <v>0</v>
      </c>
      <c r="CA103" s="36">
        <v>0</v>
      </c>
      <c r="CB103" s="36">
        <v>0</v>
      </c>
      <c r="CC103" s="36">
        <v>0</v>
      </c>
      <c r="CD103" s="36">
        <v>0</v>
      </c>
      <c r="CE103" s="36">
        <v>0</v>
      </c>
      <c r="CF103" s="36">
        <v>0</v>
      </c>
      <c r="CG103" s="36">
        <v>0</v>
      </c>
      <c r="CH103" s="36">
        <v>0</v>
      </c>
      <c r="CI103" s="36">
        <v>0</v>
      </c>
      <c r="CJ103" s="36">
        <v>0</v>
      </c>
      <c r="CK103" s="36">
        <v>0</v>
      </c>
      <c r="CL103" s="36">
        <v>0</v>
      </c>
      <c r="CM103" s="36">
        <v>0</v>
      </c>
      <c r="CN103" s="36">
        <v>0</v>
      </c>
      <c r="CO103" s="36">
        <v>0</v>
      </c>
      <c r="CP103" s="36">
        <v>0</v>
      </c>
      <c r="CQ103" s="36">
        <v>0</v>
      </c>
      <c r="CR103" s="36">
        <v>0</v>
      </c>
      <c r="CS103" s="36">
        <v>0</v>
      </c>
      <c r="CT103" s="36">
        <v>0</v>
      </c>
      <c r="CU103" s="36">
        <v>0</v>
      </c>
      <c r="CV103" s="36">
        <v>0</v>
      </c>
      <c r="CW103" s="36">
        <v>0</v>
      </c>
      <c r="CX103" s="36">
        <v>0</v>
      </c>
      <c r="CY103" s="36">
        <v>0</v>
      </c>
      <c r="CZ103" s="36">
        <v>0</v>
      </c>
      <c r="DA103" s="36">
        <v>0</v>
      </c>
      <c r="DB103" s="36">
        <v>0</v>
      </c>
      <c r="DC103" s="36">
        <v>1</v>
      </c>
      <c r="DD103" s="36">
        <v>-1</v>
      </c>
      <c r="DE103" s="36">
        <v>0</v>
      </c>
      <c r="DF103" s="36">
        <v>0</v>
      </c>
      <c r="DG103" s="36">
        <v>0</v>
      </c>
      <c r="DH103" s="36">
        <v>0</v>
      </c>
      <c r="DI103" s="36">
        <v>0</v>
      </c>
      <c r="DJ103" s="36">
        <v>0</v>
      </c>
      <c r="DK103" s="36">
        <v>0</v>
      </c>
      <c r="DL103" s="36">
        <v>0</v>
      </c>
      <c r="DM103" s="36">
        <v>0</v>
      </c>
      <c r="DN103" s="36">
        <v>0</v>
      </c>
      <c r="DO103" s="36">
        <v>0</v>
      </c>
      <c r="DP103" s="36">
        <v>0</v>
      </c>
      <c r="DQ103" s="36">
        <v>0</v>
      </c>
      <c r="DR103" s="36">
        <v>0</v>
      </c>
      <c r="DS103" s="36">
        <v>0</v>
      </c>
      <c r="DT103" s="36">
        <v>0</v>
      </c>
      <c r="DU103" s="36">
        <v>0</v>
      </c>
      <c r="DV103" s="36">
        <v>0</v>
      </c>
      <c r="DW103" s="36">
        <v>0</v>
      </c>
      <c r="DX103" s="36">
        <v>0</v>
      </c>
      <c r="DY103" s="36">
        <v>0</v>
      </c>
      <c r="DZ103" s="36">
        <v>0</v>
      </c>
      <c r="EA103" s="36">
        <v>0</v>
      </c>
      <c r="EB103" s="36">
        <v>0</v>
      </c>
      <c r="EC103" s="36">
        <v>0</v>
      </c>
      <c r="ED103" s="36">
        <v>0</v>
      </c>
      <c r="EE103" s="36">
        <v>0</v>
      </c>
      <c r="EF103" s="36">
        <v>0</v>
      </c>
      <c r="EG103" s="36">
        <v>0</v>
      </c>
      <c r="EH103" s="36">
        <v>0</v>
      </c>
      <c r="EI103" s="36">
        <v>0</v>
      </c>
      <c r="EJ103" s="36">
        <v>0</v>
      </c>
      <c r="EK103" s="36">
        <v>0</v>
      </c>
      <c r="EL103" s="36">
        <v>0</v>
      </c>
      <c r="EM103" s="36">
        <v>0</v>
      </c>
      <c r="EN103" s="36">
        <v>0</v>
      </c>
      <c r="EO103" s="36">
        <v>0</v>
      </c>
      <c r="EP103" s="36">
        <v>0</v>
      </c>
      <c r="ET103" t="s">
        <v>752</v>
      </c>
      <c r="EU103" t="s">
        <v>753</v>
      </c>
      <c r="EV103" s="36">
        <v>0</v>
      </c>
      <c r="EW103" s="36">
        <v>5</v>
      </c>
      <c r="EX103" s="36">
        <v>10</v>
      </c>
      <c r="EY103" s="36">
        <v>2</v>
      </c>
      <c r="EZ103" s="36">
        <v>3</v>
      </c>
      <c r="FA103" s="36">
        <v>0</v>
      </c>
      <c r="FB103" s="36">
        <v>0</v>
      </c>
      <c r="FC103" s="42">
        <f>(4*EW103)+(EX103)+(-3*EY103)+(-2*EZ103)+(5*FA103)+(-2*FB103)+(-1*EV103)</f>
        <v>18</v>
      </c>
      <c r="FE103">
        <f t="shared" si="30"/>
        <v>6.8</v>
      </c>
      <c r="FF103">
        <f t="shared" si="31"/>
        <v>3.6</v>
      </c>
      <c r="FG103">
        <f t="shared" si="32"/>
        <v>4.8</v>
      </c>
      <c r="FM103" s="43">
        <f t="shared" si="14"/>
        <v>0</v>
      </c>
      <c r="FN103" s="43">
        <f t="shared" si="14"/>
        <v>0</v>
      </c>
      <c r="FO103" s="43">
        <f t="shared" si="14"/>
        <v>0</v>
      </c>
      <c r="FP103" s="43">
        <f t="shared" si="13"/>
        <v>0</v>
      </c>
      <c r="FQ103" s="43">
        <f t="shared" si="13"/>
        <v>0</v>
      </c>
      <c r="FR103" s="43">
        <f t="shared" si="13"/>
        <v>0</v>
      </c>
      <c r="FS103" s="43">
        <f t="shared" si="13"/>
        <v>0</v>
      </c>
      <c r="FV103" t="s">
        <v>754</v>
      </c>
      <c r="FW103" t="s">
        <v>755</v>
      </c>
    </row>
    <row r="104" spans="1:179" ht="19.5" customHeight="1" x14ac:dyDescent="0.35">
      <c r="A104" t="s">
        <v>756</v>
      </c>
      <c r="B104" s="36">
        <v>1</v>
      </c>
      <c r="C104" s="36">
        <v>0</v>
      </c>
      <c r="D104" s="36">
        <v>0</v>
      </c>
      <c r="E104" s="36">
        <v>0</v>
      </c>
      <c r="F104" s="36">
        <v>0</v>
      </c>
      <c r="G104" s="36">
        <v>0</v>
      </c>
      <c r="H104" s="36">
        <v>0</v>
      </c>
      <c r="I104" s="36">
        <v>0</v>
      </c>
      <c r="J104" s="36">
        <v>0</v>
      </c>
      <c r="K104" s="36">
        <v>0</v>
      </c>
      <c r="L104" s="36">
        <v>0</v>
      </c>
      <c r="M104" s="36">
        <v>0</v>
      </c>
      <c r="N104" s="36">
        <v>0</v>
      </c>
      <c r="O104" s="36">
        <v>0</v>
      </c>
      <c r="P104" s="36">
        <v>0</v>
      </c>
      <c r="Q104" s="36">
        <v>0</v>
      </c>
      <c r="R104" s="36">
        <v>0</v>
      </c>
      <c r="S104" s="36">
        <v>0</v>
      </c>
      <c r="T104" s="36">
        <v>0</v>
      </c>
      <c r="U104" s="36">
        <v>0</v>
      </c>
      <c r="V104" s="36">
        <v>0</v>
      </c>
      <c r="W104" s="36">
        <v>0</v>
      </c>
      <c r="X104" s="36">
        <v>0</v>
      </c>
      <c r="Y104" s="36">
        <v>0</v>
      </c>
      <c r="Z104" s="36">
        <v>0</v>
      </c>
      <c r="AA104" s="36">
        <v>0</v>
      </c>
      <c r="AB104" s="36">
        <v>0</v>
      </c>
      <c r="AC104" s="36">
        <v>0</v>
      </c>
      <c r="AD104" s="36">
        <v>0</v>
      </c>
      <c r="AE104" s="36">
        <v>0</v>
      </c>
      <c r="AF104" s="36">
        <v>0</v>
      </c>
      <c r="AG104" s="36">
        <v>0</v>
      </c>
      <c r="AH104" s="36">
        <v>0</v>
      </c>
      <c r="AI104" s="36">
        <v>0</v>
      </c>
      <c r="AJ104" s="36">
        <v>0</v>
      </c>
      <c r="AK104" s="36">
        <v>0</v>
      </c>
      <c r="AL104" s="36">
        <v>0</v>
      </c>
      <c r="AM104" s="36">
        <v>0</v>
      </c>
      <c r="AN104" s="36">
        <v>0</v>
      </c>
      <c r="AO104" s="36">
        <v>0</v>
      </c>
      <c r="AP104" s="36">
        <v>0</v>
      </c>
      <c r="AQ104" s="36">
        <v>0</v>
      </c>
      <c r="AR104" s="36">
        <v>0</v>
      </c>
      <c r="AS104" s="36">
        <v>0</v>
      </c>
      <c r="AT104" s="36">
        <v>0</v>
      </c>
      <c r="AU104" s="36">
        <v>0</v>
      </c>
      <c r="AV104" s="36">
        <v>0</v>
      </c>
      <c r="AW104" s="36">
        <v>0</v>
      </c>
      <c r="AX104" s="36">
        <v>0</v>
      </c>
      <c r="AY104" s="36">
        <v>0</v>
      </c>
      <c r="AZ104" s="36">
        <v>0</v>
      </c>
      <c r="BA104" s="36">
        <v>0</v>
      </c>
      <c r="BB104" s="36">
        <v>0</v>
      </c>
      <c r="BC104" s="36">
        <v>0</v>
      </c>
      <c r="BD104" s="36">
        <v>0</v>
      </c>
      <c r="BE104" s="36">
        <v>0</v>
      </c>
      <c r="BF104" s="36">
        <v>0</v>
      </c>
      <c r="BG104" s="36">
        <v>0</v>
      </c>
      <c r="BH104" s="36">
        <v>0</v>
      </c>
      <c r="BI104" s="36">
        <v>0</v>
      </c>
      <c r="BJ104" s="36">
        <v>0</v>
      </c>
      <c r="BK104" s="36">
        <v>0</v>
      </c>
      <c r="BL104" s="36">
        <v>0</v>
      </c>
      <c r="BM104" s="36">
        <v>0</v>
      </c>
      <c r="BN104" s="36">
        <v>0</v>
      </c>
      <c r="BO104" s="36">
        <v>0</v>
      </c>
      <c r="BP104" s="36">
        <v>0</v>
      </c>
      <c r="BQ104" s="36">
        <v>0</v>
      </c>
      <c r="BR104" s="36">
        <v>0</v>
      </c>
      <c r="BS104" s="36">
        <v>0</v>
      </c>
      <c r="BT104" s="36">
        <v>0</v>
      </c>
      <c r="BU104" s="36">
        <v>0</v>
      </c>
      <c r="BV104" s="36">
        <v>0</v>
      </c>
      <c r="BW104" s="36">
        <v>0</v>
      </c>
      <c r="BX104" s="36">
        <v>0</v>
      </c>
      <c r="BY104" s="36">
        <v>0</v>
      </c>
      <c r="BZ104" s="36">
        <v>0</v>
      </c>
      <c r="CA104" s="36">
        <v>0</v>
      </c>
      <c r="CB104" s="36">
        <v>0</v>
      </c>
      <c r="CC104" s="36">
        <v>0</v>
      </c>
      <c r="CD104" s="36">
        <v>0</v>
      </c>
      <c r="CE104" s="36">
        <v>0</v>
      </c>
      <c r="CF104" s="36">
        <v>0</v>
      </c>
      <c r="CG104" s="36">
        <v>0</v>
      </c>
      <c r="CH104" s="36">
        <v>0</v>
      </c>
      <c r="CI104" s="36">
        <v>0</v>
      </c>
      <c r="CJ104" s="36">
        <v>0</v>
      </c>
      <c r="CK104" s="36">
        <v>0</v>
      </c>
      <c r="CL104" s="36">
        <v>0</v>
      </c>
      <c r="CM104" s="36">
        <v>0</v>
      </c>
      <c r="CN104" s="36">
        <v>0</v>
      </c>
      <c r="CO104" s="36">
        <v>0</v>
      </c>
      <c r="CP104" s="36">
        <v>1</v>
      </c>
      <c r="CQ104" s="36">
        <v>-1</v>
      </c>
      <c r="CR104" s="36">
        <v>0</v>
      </c>
      <c r="CS104" s="36">
        <v>0</v>
      </c>
      <c r="CT104" s="36">
        <v>0</v>
      </c>
      <c r="CU104" s="36">
        <v>0</v>
      </c>
      <c r="CV104" s="36">
        <v>0</v>
      </c>
      <c r="CW104" s="36">
        <v>0</v>
      </c>
      <c r="CX104" s="36">
        <v>0</v>
      </c>
      <c r="CY104" s="36">
        <v>0</v>
      </c>
      <c r="CZ104" s="36">
        <v>0</v>
      </c>
      <c r="DA104" s="36">
        <v>0</v>
      </c>
      <c r="DB104" s="36">
        <v>0</v>
      </c>
      <c r="DC104" s="36">
        <v>0</v>
      </c>
      <c r="DD104" s="36">
        <v>0</v>
      </c>
      <c r="DE104" s="36">
        <v>0</v>
      </c>
      <c r="DF104" s="36">
        <v>0</v>
      </c>
      <c r="DG104" s="36">
        <v>0</v>
      </c>
      <c r="DH104" s="36">
        <v>0</v>
      </c>
      <c r="DI104" s="36">
        <v>0</v>
      </c>
      <c r="DJ104" s="36">
        <v>0</v>
      </c>
      <c r="DK104" s="36">
        <v>0</v>
      </c>
      <c r="DL104" s="36">
        <v>0</v>
      </c>
      <c r="DM104" s="36">
        <v>0</v>
      </c>
      <c r="DN104" s="36">
        <v>0</v>
      </c>
      <c r="DO104" s="36">
        <v>0</v>
      </c>
      <c r="DP104" s="36">
        <v>0</v>
      </c>
      <c r="DQ104" s="36">
        <v>0</v>
      </c>
      <c r="DR104" s="36">
        <v>0</v>
      </c>
      <c r="DS104" s="36">
        <v>0</v>
      </c>
      <c r="DT104" s="36">
        <v>0</v>
      </c>
      <c r="DU104" s="36">
        <v>0</v>
      </c>
      <c r="DV104" s="36">
        <v>0</v>
      </c>
      <c r="DW104" s="36">
        <v>0</v>
      </c>
      <c r="DX104" s="36">
        <v>0</v>
      </c>
      <c r="DY104" s="36">
        <v>0</v>
      </c>
      <c r="DZ104" s="36">
        <v>0</v>
      </c>
      <c r="EA104" s="36">
        <v>0</v>
      </c>
      <c r="EB104" s="36">
        <v>0</v>
      </c>
      <c r="EC104" s="36">
        <v>0</v>
      </c>
      <c r="ED104" s="36">
        <v>0</v>
      </c>
      <c r="EE104" s="36">
        <v>0</v>
      </c>
      <c r="EF104" s="36">
        <v>0</v>
      </c>
      <c r="EG104" s="36">
        <v>0</v>
      </c>
      <c r="EH104" s="36">
        <v>0</v>
      </c>
      <c r="EI104" s="36">
        <v>0</v>
      </c>
      <c r="EJ104" s="36">
        <v>0</v>
      </c>
      <c r="EK104" s="36">
        <v>0</v>
      </c>
      <c r="EL104" s="36">
        <v>0</v>
      </c>
      <c r="EM104" s="36">
        <v>0</v>
      </c>
      <c r="EN104" s="36">
        <v>0</v>
      </c>
      <c r="EO104" s="36">
        <v>0</v>
      </c>
      <c r="EP104" s="36">
        <v>0</v>
      </c>
      <c r="ET104" t="s">
        <v>85</v>
      </c>
      <c r="EU104" s="46" t="s">
        <v>757</v>
      </c>
      <c r="EV104" s="36">
        <v>1</v>
      </c>
      <c r="EW104" s="36">
        <v>5</v>
      </c>
      <c r="EX104" s="36">
        <v>13</v>
      </c>
      <c r="EY104" s="36">
        <v>2</v>
      </c>
      <c r="EZ104" s="36">
        <v>2</v>
      </c>
      <c r="FA104" s="36">
        <v>0</v>
      </c>
      <c r="FB104" s="36">
        <v>0</v>
      </c>
      <c r="FC104" s="42">
        <f>(4*EW104)+(EX104)+(-3*EY104)+(-2*EZ104)+(5*FA104)+(-2*FB104)+(-1*EV104)</f>
        <v>22</v>
      </c>
      <c r="FE104">
        <f t="shared" si="30"/>
        <v>7.6</v>
      </c>
      <c r="FF104">
        <f t="shared" si="31"/>
        <v>4.4000000000000004</v>
      </c>
      <c r="FG104">
        <f t="shared" si="32"/>
        <v>5.6</v>
      </c>
      <c r="FM104" s="43">
        <f t="shared" si="14"/>
        <v>0</v>
      </c>
      <c r="FN104" s="43">
        <f t="shared" si="14"/>
        <v>0</v>
      </c>
      <c r="FO104" s="43">
        <f t="shared" si="14"/>
        <v>0</v>
      </c>
      <c r="FP104" s="43">
        <f t="shared" si="13"/>
        <v>0</v>
      </c>
      <c r="FQ104" s="43">
        <f t="shared" si="13"/>
        <v>0</v>
      </c>
      <c r="FR104" s="43">
        <f t="shared" si="13"/>
        <v>0</v>
      </c>
      <c r="FS104" s="43">
        <f t="shared" si="13"/>
        <v>0</v>
      </c>
      <c r="FV104" t="s">
        <v>758</v>
      </c>
      <c r="FW104" t="s">
        <v>759</v>
      </c>
    </row>
    <row r="105" spans="1:179" ht="19.5" customHeight="1" x14ac:dyDescent="0.35">
      <c r="A105" t="s">
        <v>760</v>
      </c>
      <c r="B105" s="36">
        <v>1</v>
      </c>
      <c r="C105" s="36">
        <v>0</v>
      </c>
      <c r="D105" s="36">
        <v>0</v>
      </c>
      <c r="E105" s="36">
        <v>0</v>
      </c>
      <c r="F105" s="36">
        <v>0</v>
      </c>
      <c r="G105" s="36">
        <v>0</v>
      </c>
      <c r="H105" s="36">
        <v>0</v>
      </c>
      <c r="I105" s="36">
        <v>0</v>
      </c>
      <c r="J105" s="36">
        <v>0</v>
      </c>
      <c r="K105" s="36">
        <v>0</v>
      </c>
      <c r="L105" s="36">
        <v>0</v>
      </c>
      <c r="M105" s="36">
        <v>0</v>
      </c>
      <c r="N105" s="36">
        <v>0</v>
      </c>
      <c r="O105" s="36">
        <v>0</v>
      </c>
      <c r="P105" s="36">
        <v>0</v>
      </c>
      <c r="Q105" s="36">
        <v>0</v>
      </c>
      <c r="R105" s="36">
        <v>0</v>
      </c>
      <c r="S105" s="36">
        <v>0</v>
      </c>
      <c r="T105" s="36">
        <v>0</v>
      </c>
      <c r="U105" s="36">
        <v>0</v>
      </c>
      <c r="V105" s="36">
        <v>0</v>
      </c>
      <c r="W105" s="36">
        <v>0</v>
      </c>
      <c r="X105" s="36">
        <v>0</v>
      </c>
      <c r="Y105" s="36">
        <v>0</v>
      </c>
      <c r="Z105" s="36">
        <v>0</v>
      </c>
      <c r="AA105" s="36">
        <v>0</v>
      </c>
      <c r="AB105" s="36">
        <v>0</v>
      </c>
      <c r="AC105" s="36">
        <v>0</v>
      </c>
      <c r="AD105" s="36">
        <v>0</v>
      </c>
      <c r="AE105" s="36">
        <v>0</v>
      </c>
      <c r="AF105" s="36">
        <v>0</v>
      </c>
      <c r="AG105" s="36">
        <v>0</v>
      </c>
      <c r="AH105" s="36">
        <v>0</v>
      </c>
      <c r="AI105" s="36">
        <v>0</v>
      </c>
      <c r="AJ105" s="36">
        <v>0</v>
      </c>
      <c r="AK105" s="36">
        <v>0</v>
      </c>
      <c r="AL105" s="36">
        <v>0</v>
      </c>
      <c r="AM105" s="36">
        <v>0</v>
      </c>
      <c r="AN105" s="36">
        <v>0</v>
      </c>
      <c r="AO105" s="36">
        <v>0</v>
      </c>
      <c r="AP105" s="36">
        <v>0</v>
      </c>
      <c r="AQ105" s="36">
        <v>0</v>
      </c>
      <c r="AR105" s="36">
        <v>0</v>
      </c>
      <c r="AS105" s="36">
        <v>0</v>
      </c>
      <c r="AT105" s="36">
        <v>0</v>
      </c>
      <c r="AU105" s="36">
        <v>0</v>
      </c>
      <c r="AV105" s="36">
        <v>0</v>
      </c>
      <c r="AW105" s="36">
        <v>0</v>
      </c>
      <c r="AX105" s="36">
        <v>0</v>
      </c>
      <c r="AY105" s="36">
        <v>0</v>
      </c>
      <c r="AZ105" s="36">
        <v>0</v>
      </c>
      <c r="BA105" s="36">
        <v>0</v>
      </c>
      <c r="BB105" s="36">
        <v>0</v>
      </c>
      <c r="BC105" s="36">
        <v>0</v>
      </c>
      <c r="BD105" s="36">
        <v>0</v>
      </c>
      <c r="BE105" s="36">
        <v>0</v>
      </c>
      <c r="BF105" s="36">
        <v>0</v>
      </c>
      <c r="BG105" s="36">
        <v>0</v>
      </c>
      <c r="BH105" s="36">
        <v>0</v>
      </c>
      <c r="BI105" s="36">
        <v>0</v>
      </c>
      <c r="BJ105" s="36">
        <v>0</v>
      </c>
      <c r="BK105" s="36">
        <v>0</v>
      </c>
      <c r="BL105" s="36">
        <v>0</v>
      </c>
      <c r="BM105" s="36">
        <v>0</v>
      </c>
      <c r="BN105" s="36">
        <v>0</v>
      </c>
      <c r="BO105" s="36">
        <v>0</v>
      </c>
      <c r="BP105" s="36">
        <v>0</v>
      </c>
      <c r="BQ105" s="36">
        <v>0</v>
      </c>
      <c r="BR105" s="36">
        <v>0</v>
      </c>
      <c r="BS105" s="36">
        <v>0</v>
      </c>
      <c r="BT105" s="36">
        <v>0</v>
      </c>
      <c r="BU105" s="36">
        <v>0</v>
      </c>
      <c r="BV105" s="36">
        <v>0</v>
      </c>
      <c r="BW105" s="36">
        <v>0</v>
      </c>
      <c r="BX105" s="36">
        <v>0</v>
      </c>
      <c r="BY105" s="36">
        <v>0</v>
      </c>
      <c r="BZ105" s="36">
        <v>0</v>
      </c>
      <c r="CA105" s="36">
        <v>0</v>
      </c>
      <c r="CB105" s="36">
        <v>0</v>
      </c>
      <c r="CC105" s="36">
        <v>0</v>
      </c>
      <c r="CD105" s="36">
        <v>0</v>
      </c>
      <c r="CE105" s="36">
        <v>0</v>
      </c>
      <c r="CF105" s="36">
        <v>0</v>
      </c>
      <c r="CG105" s="36">
        <v>0</v>
      </c>
      <c r="CH105" s="36">
        <v>0</v>
      </c>
      <c r="CI105" s="36">
        <v>0</v>
      </c>
      <c r="CJ105" s="36">
        <v>0</v>
      </c>
      <c r="CK105" s="36">
        <v>0</v>
      </c>
      <c r="CL105" s="36">
        <v>1</v>
      </c>
      <c r="CM105" s="36">
        <v>-1</v>
      </c>
      <c r="CN105" s="36">
        <v>0</v>
      </c>
      <c r="CO105" s="36">
        <v>0</v>
      </c>
      <c r="CP105" s="36">
        <v>0</v>
      </c>
      <c r="CQ105" s="36">
        <v>0</v>
      </c>
      <c r="CR105" s="36">
        <v>0</v>
      </c>
      <c r="CS105" s="36">
        <v>0</v>
      </c>
      <c r="CT105" s="36">
        <v>0</v>
      </c>
      <c r="CU105" s="36">
        <v>0</v>
      </c>
      <c r="CV105" s="36">
        <v>0</v>
      </c>
      <c r="CW105" s="36">
        <v>0</v>
      </c>
      <c r="CX105" s="36">
        <v>0</v>
      </c>
      <c r="CY105" s="36">
        <v>0</v>
      </c>
      <c r="CZ105" s="36">
        <v>0</v>
      </c>
      <c r="DA105" s="36">
        <v>0</v>
      </c>
      <c r="DB105" s="36">
        <v>0</v>
      </c>
      <c r="DC105" s="36">
        <v>0</v>
      </c>
      <c r="DD105" s="36">
        <v>0</v>
      </c>
      <c r="DE105" s="36">
        <v>0</v>
      </c>
      <c r="DF105" s="36">
        <v>0</v>
      </c>
      <c r="DG105" s="36">
        <v>0</v>
      </c>
      <c r="DH105" s="36">
        <v>0</v>
      </c>
      <c r="DI105" s="36">
        <v>0</v>
      </c>
      <c r="DJ105" s="36">
        <v>0</v>
      </c>
      <c r="DK105" s="36">
        <v>0</v>
      </c>
      <c r="DL105" s="36">
        <v>0</v>
      </c>
      <c r="DM105" s="36">
        <v>0</v>
      </c>
      <c r="DN105" s="36">
        <v>0</v>
      </c>
      <c r="DO105" s="36">
        <v>0</v>
      </c>
      <c r="DP105" s="36">
        <v>0</v>
      </c>
      <c r="DQ105" s="36">
        <v>0</v>
      </c>
      <c r="DR105" s="36">
        <v>0</v>
      </c>
      <c r="DS105" s="36">
        <v>0</v>
      </c>
      <c r="DT105" s="36">
        <v>0</v>
      </c>
      <c r="DU105" s="36">
        <v>0</v>
      </c>
      <c r="DV105" s="36">
        <v>0</v>
      </c>
      <c r="DW105" s="36">
        <v>0</v>
      </c>
      <c r="DX105" s="36">
        <v>0</v>
      </c>
      <c r="DY105" s="36">
        <v>0</v>
      </c>
      <c r="DZ105" s="36">
        <v>0</v>
      </c>
      <c r="EA105" s="36">
        <v>0</v>
      </c>
      <c r="EB105" s="36">
        <v>0</v>
      </c>
      <c r="EC105" s="36">
        <v>0</v>
      </c>
      <c r="ED105" s="36">
        <v>0</v>
      </c>
      <c r="EE105" s="36">
        <v>0</v>
      </c>
      <c r="EF105" s="36">
        <v>0</v>
      </c>
      <c r="EG105" s="36">
        <v>0</v>
      </c>
      <c r="EH105" s="36">
        <v>0</v>
      </c>
      <c r="EI105" s="36">
        <v>0</v>
      </c>
      <c r="EJ105" s="36">
        <v>0</v>
      </c>
      <c r="EK105" s="36">
        <v>0</v>
      </c>
      <c r="EL105" s="36">
        <v>0</v>
      </c>
      <c r="EM105" s="36">
        <v>0</v>
      </c>
      <c r="EN105" s="36">
        <v>0</v>
      </c>
      <c r="EO105" s="36">
        <v>0</v>
      </c>
      <c r="EP105" s="36">
        <v>0</v>
      </c>
      <c r="ET105" t="s">
        <v>761</v>
      </c>
      <c r="EU105" t="s">
        <v>762</v>
      </c>
      <c r="EV105" s="36">
        <v>0</v>
      </c>
      <c r="EW105" s="36">
        <v>3</v>
      </c>
      <c r="EX105" s="36">
        <v>7</v>
      </c>
      <c r="EY105" s="36">
        <v>1</v>
      </c>
      <c r="EZ105" s="36">
        <v>3</v>
      </c>
      <c r="FA105" s="36">
        <v>0</v>
      </c>
      <c r="FB105" s="36">
        <v>0</v>
      </c>
      <c r="FC105" s="42">
        <v>10</v>
      </c>
      <c r="FE105">
        <f t="shared" si="30"/>
        <v>6</v>
      </c>
      <c r="FF105">
        <f t="shared" si="31"/>
        <v>3.3333333333333335</v>
      </c>
      <c r="FG105">
        <f t="shared" si="32"/>
        <v>4.333333333333333</v>
      </c>
      <c r="FM105" s="43">
        <f t="shared" si="14"/>
        <v>0</v>
      </c>
      <c r="FN105" s="43">
        <f t="shared" si="14"/>
        <v>0</v>
      </c>
      <c r="FO105" s="43">
        <f t="shared" si="14"/>
        <v>0</v>
      </c>
      <c r="FP105" s="43">
        <f t="shared" si="13"/>
        <v>0</v>
      </c>
      <c r="FQ105" s="43">
        <f t="shared" si="13"/>
        <v>0</v>
      </c>
      <c r="FR105" s="43">
        <f t="shared" si="13"/>
        <v>0</v>
      </c>
      <c r="FS105" s="43">
        <f t="shared" si="13"/>
        <v>0</v>
      </c>
      <c r="FV105" t="s">
        <v>763</v>
      </c>
      <c r="FW105" t="s">
        <v>764</v>
      </c>
    </row>
    <row r="106" spans="1:179" ht="19.5" customHeight="1" x14ac:dyDescent="0.35">
      <c r="A106" t="s">
        <v>765</v>
      </c>
      <c r="B106" s="36">
        <v>0</v>
      </c>
      <c r="C106" s="36">
        <v>0</v>
      </c>
      <c r="D106" s="36">
        <v>0</v>
      </c>
      <c r="E106" s="36">
        <v>0</v>
      </c>
      <c r="F106" s="36">
        <v>0</v>
      </c>
      <c r="G106" s="36">
        <v>0</v>
      </c>
      <c r="H106" s="36">
        <v>0</v>
      </c>
      <c r="I106" s="36">
        <v>0</v>
      </c>
      <c r="J106" s="36">
        <v>0</v>
      </c>
      <c r="K106" s="36">
        <v>0</v>
      </c>
      <c r="L106" s="36">
        <v>0</v>
      </c>
      <c r="M106" s="36">
        <v>0</v>
      </c>
      <c r="N106" s="36">
        <v>0</v>
      </c>
      <c r="O106" s="36">
        <v>0</v>
      </c>
      <c r="P106" s="36">
        <v>0</v>
      </c>
      <c r="Q106" s="36">
        <v>0</v>
      </c>
      <c r="R106" s="36">
        <v>0</v>
      </c>
      <c r="S106" s="36">
        <v>0</v>
      </c>
      <c r="T106" s="36">
        <v>0</v>
      </c>
      <c r="U106" s="36">
        <v>0</v>
      </c>
      <c r="V106" s="36">
        <v>0</v>
      </c>
      <c r="W106" s="36">
        <v>0</v>
      </c>
      <c r="X106" s="36">
        <v>0</v>
      </c>
      <c r="Y106" s="36">
        <v>0</v>
      </c>
      <c r="Z106" s="36">
        <v>0</v>
      </c>
      <c r="AA106" s="36">
        <v>0</v>
      </c>
      <c r="AB106" s="36">
        <v>0</v>
      </c>
      <c r="AC106" s="36">
        <v>0</v>
      </c>
      <c r="AD106" s="36">
        <v>0</v>
      </c>
      <c r="AE106" s="36">
        <v>0</v>
      </c>
      <c r="AF106" s="36">
        <v>0</v>
      </c>
      <c r="AG106" s="36">
        <v>0</v>
      </c>
      <c r="AH106" s="36">
        <v>0</v>
      </c>
      <c r="AI106" s="36">
        <v>0</v>
      </c>
      <c r="AJ106" s="36">
        <v>0</v>
      </c>
      <c r="AK106" s="36">
        <v>0</v>
      </c>
      <c r="AL106" s="36">
        <v>0</v>
      </c>
      <c r="AM106" s="36">
        <v>0</v>
      </c>
      <c r="AN106" s="36">
        <v>0</v>
      </c>
      <c r="AO106" s="36">
        <v>0</v>
      </c>
      <c r="AP106" s="36">
        <v>0</v>
      </c>
      <c r="AQ106" s="36">
        <v>0</v>
      </c>
      <c r="AR106" s="36">
        <v>0</v>
      </c>
      <c r="AS106" s="36">
        <v>0</v>
      </c>
      <c r="AT106" s="36">
        <v>0</v>
      </c>
      <c r="AU106" s="36">
        <v>0</v>
      </c>
      <c r="AV106" s="36">
        <v>0</v>
      </c>
      <c r="AW106" s="36">
        <v>0</v>
      </c>
      <c r="AX106" s="36">
        <v>0</v>
      </c>
      <c r="AY106" s="36">
        <v>0</v>
      </c>
      <c r="AZ106" s="36">
        <v>0</v>
      </c>
      <c r="BA106" s="36">
        <v>0</v>
      </c>
      <c r="BB106" s="36">
        <v>0</v>
      </c>
      <c r="BC106" s="36">
        <v>0</v>
      </c>
      <c r="BD106" s="36">
        <v>0</v>
      </c>
      <c r="BE106" s="36">
        <v>0</v>
      </c>
      <c r="BF106" s="36">
        <v>0</v>
      </c>
      <c r="BG106" s="36">
        <v>0</v>
      </c>
      <c r="BH106" s="36">
        <v>0</v>
      </c>
      <c r="BI106" s="36">
        <v>0</v>
      </c>
      <c r="BJ106" s="36">
        <v>0</v>
      </c>
      <c r="BK106" s="36">
        <v>0</v>
      </c>
      <c r="BL106" s="36">
        <v>0</v>
      </c>
      <c r="BM106" s="36">
        <v>0</v>
      </c>
      <c r="BN106" s="36">
        <v>0</v>
      </c>
      <c r="BO106" s="36">
        <v>0</v>
      </c>
      <c r="BP106" s="36">
        <v>0</v>
      </c>
      <c r="BQ106" s="36">
        <v>0</v>
      </c>
      <c r="BR106" s="36">
        <v>0</v>
      </c>
      <c r="BS106" s="36">
        <v>0</v>
      </c>
      <c r="BT106" s="36">
        <v>0</v>
      </c>
      <c r="BU106" s="36">
        <v>0</v>
      </c>
      <c r="BV106" s="36">
        <v>0</v>
      </c>
      <c r="BW106" s="36">
        <v>0</v>
      </c>
      <c r="BX106" s="36">
        <v>0</v>
      </c>
      <c r="BY106" s="36">
        <v>0</v>
      </c>
      <c r="BZ106" s="36">
        <v>0</v>
      </c>
      <c r="CA106" s="36">
        <v>0</v>
      </c>
      <c r="CB106" s="36">
        <v>0</v>
      </c>
      <c r="CC106" s="36">
        <v>0</v>
      </c>
      <c r="CD106" s="36">
        <v>0</v>
      </c>
      <c r="CE106" s="36">
        <v>0</v>
      </c>
      <c r="CF106" s="36">
        <v>0</v>
      </c>
      <c r="CG106" s="36">
        <v>0</v>
      </c>
      <c r="CH106" s="36">
        <v>0</v>
      </c>
      <c r="CI106" s="36">
        <v>0</v>
      </c>
      <c r="CJ106" s="36">
        <v>0</v>
      </c>
      <c r="CK106" s="36">
        <v>0</v>
      </c>
      <c r="CL106" s="36">
        <v>0</v>
      </c>
      <c r="CM106" s="36">
        <v>0</v>
      </c>
      <c r="CN106" s="36">
        <v>0</v>
      </c>
      <c r="CO106" s="36">
        <v>0</v>
      </c>
      <c r="CP106" s="36">
        <v>0</v>
      </c>
      <c r="CQ106" s="36">
        <v>0</v>
      </c>
      <c r="CR106" s="36">
        <v>0</v>
      </c>
      <c r="CS106" s="36">
        <v>0</v>
      </c>
      <c r="CT106" s="36">
        <v>0</v>
      </c>
      <c r="CU106" s="36">
        <v>0</v>
      </c>
      <c r="CV106" s="36">
        <v>0</v>
      </c>
      <c r="CW106" s="36">
        <v>0</v>
      </c>
      <c r="CX106" s="36">
        <v>0</v>
      </c>
      <c r="CY106" s="36">
        <v>0</v>
      </c>
      <c r="CZ106" s="36">
        <v>0</v>
      </c>
      <c r="DA106" s="36">
        <v>0</v>
      </c>
      <c r="DB106" s="36">
        <v>0</v>
      </c>
      <c r="DC106" s="36">
        <v>0</v>
      </c>
      <c r="DD106" s="36">
        <v>0</v>
      </c>
      <c r="DE106" s="36">
        <v>0</v>
      </c>
      <c r="DF106" s="36">
        <v>0</v>
      </c>
      <c r="DG106" s="36">
        <v>0</v>
      </c>
      <c r="DH106" s="36">
        <v>0</v>
      </c>
      <c r="DI106" s="36">
        <v>0</v>
      </c>
      <c r="DJ106" s="36">
        <v>0</v>
      </c>
      <c r="DK106" s="36">
        <v>0</v>
      </c>
      <c r="DL106" s="36">
        <v>0</v>
      </c>
      <c r="DM106" s="36">
        <v>0</v>
      </c>
      <c r="DN106" s="36">
        <v>0</v>
      </c>
      <c r="DO106" s="36">
        <v>0</v>
      </c>
      <c r="DP106" s="36">
        <v>0</v>
      </c>
      <c r="DQ106" s="36">
        <v>0</v>
      </c>
      <c r="DR106" s="36">
        <v>0</v>
      </c>
      <c r="DS106" s="36">
        <v>0</v>
      </c>
      <c r="DT106" s="36">
        <v>0</v>
      </c>
      <c r="DU106" s="36">
        <v>1</v>
      </c>
      <c r="DV106" s="36">
        <v>-1</v>
      </c>
      <c r="DW106" s="36">
        <v>0</v>
      </c>
      <c r="DX106" s="36">
        <v>0</v>
      </c>
      <c r="DY106" s="36">
        <v>0</v>
      </c>
      <c r="DZ106" s="36">
        <v>0</v>
      </c>
      <c r="EA106" s="36">
        <v>0</v>
      </c>
      <c r="EB106" s="36">
        <v>0</v>
      </c>
      <c r="EC106" s="36">
        <v>0</v>
      </c>
      <c r="ED106" s="36">
        <v>0</v>
      </c>
      <c r="EE106" s="36">
        <v>0</v>
      </c>
      <c r="EF106" s="36">
        <v>0</v>
      </c>
      <c r="EG106" s="36">
        <v>0</v>
      </c>
      <c r="EH106" s="36">
        <v>0</v>
      </c>
      <c r="EI106" s="36">
        <v>0</v>
      </c>
      <c r="EJ106" s="36">
        <v>0</v>
      </c>
      <c r="EK106" s="36">
        <v>0</v>
      </c>
      <c r="EL106" s="36">
        <v>0</v>
      </c>
      <c r="EM106" s="36">
        <v>0</v>
      </c>
      <c r="EN106" s="36">
        <v>0</v>
      </c>
      <c r="EO106" s="36">
        <v>0</v>
      </c>
      <c r="EP106" s="36">
        <v>0</v>
      </c>
      <c r="ET106" t="s">
        <v>766</v>
      </c>
      <c r="EU106" t="s">
        <v>767</v>
      </c>
      <c r="EV106" s="36">
        <v>0</v>
      </c>
      <c r="EW106" s="36">
        <v>1</v>
      </c>
      <c r="EX106" s="36">
        <v>4</v>
      </c>
      <c r="EY106" s="36">
        <v>0</v>
      </c>
      <c r="EZ106" s="36">
        <v>0</v>
      </c>
      <c r="FA106" s="36">
        <v>0</v>
      </c>
      <c r="FB106" s="36">
        <v>0</v>
      </c>
      <c r="FC106" s="42">
        <f>(4*EW106)+(EX106)+(-3*EY106)+(-2*EZ106)+(5*FA106)+(-2*FB106)+(-1*EV106)</f>
        <v>8</v>
      </c>
      <c r="FE106">
        <f t="shared" si="30"/>
        <v>8</v>
      </c>
      <c r="FF106">
        <f t="shared" si="31"/>
        <v>8</v>
      </c>
      <c r="FG106">
        <f t="shared" si="32"/>
        <v>8</v>
      </c>
      <c r="FM106" s="43">
        <f t="shared" si="14"/>
        <v>0</v>
      </c>
      <c r="FN106" s="43">
        <f t="shared" si="14"/>
        <v>0</v>
      </c>
      <c r="FO106" s="43">
        <f t="shared" si="14"/>
        <v>0</v>
      </c>
      <c r="FP106" s="43">
        <f t="shared" si="13"/>
        <v>0</v>
      </c>
      <c r="FQ106" s="43">
        <f t="shared" si="13"/>
        <v>0</v>
      </c>
      <c r="FR106" s="43">
        <f t="shared" si="13"/>
        <v>0</v>
      </c>
      <c r="FS106" s="43">
        <f t="shared" si="13"/>
        <v>0</v>
      </c>
      <c r="FV106" t="s">
        <v>768</v>
      </c>
      <c r="FW106" t="s">
        <v>769</v>
      </c>
    </row>
    <row r="107" spans="1:179" ht="19.5" customHeight="1" x14ac:dyDescent="0.35">
      <c r="A107" t="s">
        <v>770</v>
      </c>
      <c r="B107" s="36">
        <v>0</v>
      </c>
      <c r="C107" s="36">
        <v>0</v>
      </c>
      <c r="D107" s="36">
        <v>0</v>
      </c>
      <c r="E107" s="36">
        <v>0</v>
      </c>
      <c r="F107" s="36">
        <v>0</v>
      </c>
      <c r="G107" s="36">
        <v>0</v>
      </c>
      <c r="H107" s="36">
        <v>0</v>
      </c>
      <c r="I107" s="36">
        <v>0</v>
      </c>
      <c r="J107" s="36">
        <v>0</v>
      </c>
      <c r="K107" s="36">
        <v>0</v>
      </c>
      <c r="L107" s="36">
        <v>0</v>
      </c>
      <c r="M107" s="36">
        <v>0</v>
      </c>
      <c r="N107" s="36">
        <v>0</v>
      </c>
      <c r="O107" s="36">
        <v>0</v>
      </c>
      <c r="P107" s="36">
        <v>0</v>
      </c>
      <c r="Q107" s="36">
        <v>0</v>
      </c>
      <c r="R107" s="36">
        <v>0</v>
      </c>
      <c r="S107" s="36">
        <v>0</v>
      </c>
      <c r="T107" s="36">
        <v>0</v>
      </c>
      <c r="U107" s="36">
        <v>0</v>
      </c>
      <c r="V107" s="36">
        <v>0</v>
      </c>
      <c r="W107" s="36">
        <v>0</v>
      </c>
      <c r="X107" s="36">
        <v>0</v>
      </c>
      <c r="Y107" s="36">
        <v>0</v>
      </c>
      <c r="Z107" s="36">
        <v>0</v>
      </c>
      <c r="AA107" s="36">
        <v>0</v>
      </c>
      <c r="AB107" s="36">
        <v>0</v>
      </c>
      <c r="AC107" s="36">
        <v>0</v>
      </c>
      <c r="AD107" s="36">
        <v>0</v>
      </c>
      <c r="AE107" s="36">
        <v>0</v>
      </c>
      <c r="AF107" s="36">
        <v>0</v>
      </c>
      <c r="AG107" s="36">
        <v>0</v>
      </c>
      <c r="AH107" s="36">
        <v>0</v>
      </c>
      <c r="AI107" s="36">
        <v>0</v>
      </c>
      <c r="AJ107" s="36">
        <v>0</v>
      </c>
      <c r="AK107" s="36">
        <v>0</v>
      </c>
      <c r="AL107" s="36">
        <v>0</v>
      </c>
      <c r="AM107" s="36">
        <v>0</v>
      </c>
      <c r="AN107" s="36">
        <v>0</v>
      </c>
      <c r="AO107" s="36">
        <v>0</v>
      </c>
      <c r="AP107" s="36">
        <v>0</v>
      </c>
      <c r="AQ107" s="36">
        <v>0</v>
      </c>
      <c r="AR107" s="36">
        <v>0</v>
      </c>
      <c r="AS107" s="36">
        <v>0</v>
      </c>
      <c r="AT107" s="36">
        <v>0</v>
      </c>
      <c r="AU107" s="36">
        <v>0</v>
      </c>
      <c r="AV107" s="36">
        <v>0</v>
      </c>
      <c r="AW107" s="36">
        <v>0</v>
      </c>
      <c r="AX107" s="36">
        <v>0</v>
      </c>
      <c r="AY107" s="36">
        <v>0</v>
      </c>
      <c r="AZ107" s="36">
        <v>0</v>
      </c>
      <c r="BA107" s="36">
        <v>0</v>
      </c>
      <c r="BB107" s="36">
        <v>0</v>
      </c>
      <c r="BC107" s="36">
        <v>0</v>
      </c>
      <c r="BD107" s="36">
        <v>0</v>
      </c>
      <c r="BE107" s="36">
        <v>0</v>
      </c>
      <c r="BF107" s="36">
        <v>0</v>
      </c>
      <c r="BG107" s="36">
        <v>0</v>
      </c>
      <c r="BH107" s="36">
        <v>0</v>
      </c>
      <c r="BI107" s="36">
        <v>0</v>
      </c>
      <c r="BJ107" s="36">
        <v>0</v>
      </c>
      <c r="BK107" s="36">
        <v>0</v>
      </c>
      <c r="BL107" s="36">
        <v>0</v>
      </c>
      <c r="BM107" s="36">
        <v>0</v>
      </c>
      <c r="BN107" s="36">
        <v>0</v>
      </c>
      <c r="BO107" s="36">
        <v>0</v>
      </c>
      <c r="BP107" s="36">
        <v>0</v>
      </c>
      <c r="BQ107" s="36">
        <v>0</v>
      </c>
      <c r="BR107" s="36">
        <v>0</v>
      </c>
      <c r="BS107" s="36">
        <v>0</v>
      </c>
      <c r="BT107" s="36">
        <v>0</v>
      </c>
      <c r="BU107" s="36">
        <v>0</v>
      </c>
      <c r="BV107" s="36">
        <v>0</v>
      </c>
      <c r="BW107" s="36">
        <v>0</v>
      </c>
      <c r="BX107" s="36">
        <v>0</v>
      </c>
      <c r="BY107" s="36">
        <v>0</v>
      </c>
      <c r="BZ107" s="36">
        <v>0</v>
      </c>
      <c r="CA107" s="36">
        <v>0</v>
      </c>
      <c r="CB107" s="36">
        <v>0</v>
      </c>
      <c r="CC107" s="36">
        <v>0</v>
      </c>
      <c r="CD107" s="36">
        <v>0</v>
      </c>
      <c r="CE107" s="36">
        <v>0</v>
      </c>
      <c r="CF107" s="36">
        <v>0</v>
      </c>
      <c r="CG107" s="36">
        <v>0</v>
      </c>
      <c r="CH107" s="36">
        <v>0</v>
      </c>
      <c r="CI107" s="36">
        <v>0</v>
      </c>
      <c r="CJ107" s="36">
        <v>0</v>
      </c>
      <c r="CK107" s="36">
        <v>0</v>
      </c>
      <c r="CL107" s="36">
        <v>0</v>
      </c>
      <c r="CM107" s="36">
        <v>0</v>
      </c>
      <c r="CN107" s="36">
        <v>0</v>
      </c>
      <c r="CO107" s="36">
        <v>0</v>
      </c>
      <c r="CP107" s="36">
        <v>0</v>
      </c>
      <c r="CQ107" s="36">
        <v>0</v>
      </c>
      <c r="CR107" s="36">
        <v>0</v>
      </c>
      <c r="CS107" s="36">
        <v>0</v>
      </c>
      <c r="CT107" s="36">
        <v>0</v>
      </c>
      <c r="CU107" s="36">
        <v>0</v>
      </c>
      <c r="CV107" s="36">
        <v>0</v>
      </c>
      <c r="CW107" s="36">
        <v>0</v>
      </c>
      <c r="CX107" s="36">
        <v>0</v>
      </c>
      <c r="CY107" s="36">
        <v>0</v>
      </c>
      <c r="CZ107" s="36">
        <v>0</v>
      </c>
      <c r="DA107" s="36">
        <v>0</v>
      </c>
      <c r="DB107" s="36">
        <v>0</v>
      </c>
      <c r="DC107" s="36">
        <v>0</v>
      </c>
      <c r="DD107" s="36">
        <v>0</v>
      </c>
      <c r="DE107" s="36">
        <v>-1</v>
      </c>
      <c r="DF107" s="36">
        <v>1</v>
      </c>
      <c r="DG107" s="36">
        <v>0</v>
      </c>
      <c r="DH107" s="36">
        <v>0</v>
      </c>
      <c r="DI107" s="36">
        <v>0</v>
      </c>
      <c r="DJ107" s="36">
        <v>0</v>
      </c>
      <c r="DK107" s="36">
        <v>0</v>
      </c>
      <c r="DL107" s="36">
        <v>0</v>
      </c>
      <c r="DM107" s="36">
        <v>0</v>
      </c>
      <c r="DN107" s="36">
        <v>0</v>
      </c>
      <c r="DO107" s="36">
        <v>0</v>
      </c>
      <c r="DP107" s="36">
        <v>0</v>
      </c>
      <c r="DQ107" s="36">
        <v>0</v>
      </c>
      <c r="DR107" s="36">
        <v>0</v>
      </c>
      <c r="DS107" s="36">
        <v>0</v>
      </c>
      <c r="DT107" s="36">
        <v>0</v>
      </c>
      <c r="DU107" s="36">
        <v>0</v>
      </c>
      <c r="DV107" s="36">
        <v>0</v>
      </c>
      <c r="DW107" s="36">
        <v>0</v>
      </c>
      <c r="DX107" s="36">
        <v>0</v>
      </c>
      <c r="DY107" s="36">
        <v>0</v>
      </c>
      <c r="DZ107" s="36">
        <v>0</v>
      </c>
      <c r="EA107" s="36">
        <v>0</v>
      </c>
      <c r="EB107" s="36">
        <v>0</v>
      </c>
      <c r="EC107" s="36">
        <v>0</v>
      </c>
      <c r="ED107" s="36">
        <v>0</v>
      </c>
      <c r="EE107" s="36">
        <v>0</v>
      </c>
      <c r="EF107" s="36">
        <v>0</v>
      </c>
      <c r="EG107" s="36">
        <v>0</v>
      </c>
      <c r="EH107" s="36">
        <v>0</v>
      </c>
      <c r="EI107" s="36">
        <v>0</v>
      </c>
      <c r="EJ107" s="36">
        <v>0</v>
      </c>
      <c r="EK107" s="36">
        <v>0</v>
      </c>
      <c r="EL107" s="36">
        <v>0</v>
      </c>
      <c r="EM107" s="36">
        <v>0</v>
      </c>
      <c r="EN107" s="36">
        <v>0</v>
      </c>
      <c r="EO107" s="36">
        <v>0</v>
      </c>
      <c r="EP107" s="36">
        <v>0</v>
      </c>
      <c r="ET107" t="s">
        <v>312</v>
      </c>
      <c r="EU107" t="s">
        <v>771</v>
      </c>
      <c r="EV107" s="36">
        <v>0</v>
      </c>
      <c r="EW107" s="36">
        <v>1</v>
      </c>
      <c r="EX107" s="36">
        <v>4</v>
      </c>
      <c r="EY107" s="36">
        <v>0</v>
      </c>
      <c r="EZ107" s="36">
        <v>0</v>
      </c>
      <c r="FA107" s="36">
        <v>0</v>
      </c>
      <c r="FB107" s="36">
        <v>0</v>
      </c>
      <c r="FC107" s="42">
        <f>(4*EW107)+(EX107)+(-3*EY107)+(-2*EZ107)+(5*FA107)+(-2*FB107)+(-1*EV107)</f>
        <v>8</v>
      </c>
      <c r="FE107">
        <f t="shared" si="30"/>
        <v>8</v>
      </c>
      <c r="FF107">
        <f t="shared" si="31"/>
        <v>8</v>
      </c>
      <c r="FG107">
        <f t="shared" si="32"/>
        <v>8</v>
      </c>
      <c r="FM107" s="43">
        <f t="shared" si="14"/>
        <v>0</v>
      </c>
      <c r="FN107" s="43">
        <f t="shared" si="14"/>
        <v>0</v>
      </c>
      <c r="FO107" s="43">
        <f t="shared" si="14"/>
        <v>0</v>
      </c>
      <c r="FP107" s="43">
        <f t="shared" si="13"/>
        <v>0</v>
      </c>
      <c r="FQ107" s="43">
        <f t="shared" si="13"/>
        <v>0</v>
      </c>
      <c r="FR107" s="43">
        <f t="shared" si="13"/>
        <v>0</v>
      </c>
      <c r="FS107" s="43">
        <f t="shared" si="13"/>
        <v>0</v>
      </c>
      <c r="FV107" t="s">
        <v>772</v>
      </c>
      <c r="FW107" t="s">
        <v>773</v>
      </c>
    </row>
    <row r="108" spans="1:179" ht="19.5" customHeight="1" x14ac:dyDescent="0.35">
      <c r="A108" t="s">
        <v>774</v>
      </c>
      <c r="B108" s="36">
        <v>0</v>
      </c>
      <c r="C108" s="36">
        <v>0</v>
      </c>
      <c r="D108" s="36">
        <v>0</v>
      </c>
      <c r="E108" s="36">
        <v>0</v>
      </c>
      <c r="F108" s="36">
        <v>0</v>
      </c>
      <c r="G108" s="36">
        <v>0</v>
      </c>
      <c r="H108" s="36">
        <v>0</v>
      </c>
      <c r="I108" s="36">
        <v>0</v>
      </c>
      <c r="J108" s="36">
        <v>0</v>
      </c>
      <c r="K108" s="36">
        <v>0</v>
      </c>
      <c r="L108" s="36">
        <v>0</v>
      </c>
      <c r="M108" s="36">
        <v>0</v>
      </c>
      <c r="N108" s="36">
        <v>0</v>
      </c>
      <c r="O108" s="36">
        <v>0</v>
      </c>
      <c r="P108" s="36">
        <v>0</v>
      </c>
      <c r="Q108" s="36">
        <v>0</v>
      </c>
      <c r="R108" s="36">
        <v>0</v>
      </c>
      <c r="S108" s="36">
        <v>0</v>
      </c>
      <c r="T108" s="36">
        <v>0</v>
      </c>
      <c r="U108" s="36">
        <v>0</v>
      </c>
      <c r="V108" s="36">
        <v>0</v>
      </c>
      <c r="W108" s="36">
        <v>0</v>
      </c>
      <c r="X108" s="36">
        <v>0</v>
      </c>
      <c r="Y108" s="36">
        <v>0</v>
      </c>
      <c r="Z108" s="36">
        <v>0</v>
      </c>
      <c r="AA108" s="36">
        <v>0</v>
      </c>
      <c r="AB108" s="36">
        <v>0</v>
      </c>
      <c r="AC108" s="36">
        <v>0</v>
      </c>
      <c r="AD108" s="36">
        <v>0</v>
      </c>
      <c r="AE108" s="36">
        <v>0</v>
      </c>
      <c r="AF108" s="36">
        <v>0</v>
      </c>
      <c r="AG108" s="36">
        <v>0</v>
      </c>
      <c r="AH108" s="36">
        <v>0</v>
      </c>
      <c r="AI108" s="36">
        <v>0</v>
      </c>
      <c r="AJ108" s="36">
        <v>0</v>
      </c>
      <c r="AK108" s="36">
        <v>0</v>
      </c>
      <c r="AL108" s="36">
        <v>0</v>
      </c>
      <c r="AM108" s="36">
        <v>0</v>
      </c>
      <c r="AN108" s="36">
        <v>0</v>
      </c>
      <c r="AO108" s="36">
        <v>0</v>
      </c>
      <c r="AP108" s="36">
        <v>0</v>
      </c>
      <c r="AQ108" s="36">
        <v>0</v>
      </c>
      <c r="AR108" s="36">
        <v>0</v>
      </c>
      <c r="AS108" s="36">
        <v>0</v>
      </c>
      <c r="AT108" s="36">
        <v>0</v>
      </c>
      <c r="AU108" s="36">
        <v>0</v>
      </c>
      <c r="AV108" s="36">
        <v>0</v>
      </c>
      <c r="AW108" s="36">
        <v>0</v>
      </c>
      <c r="AX108" s="36">
        <v>0</v>
      </c>
      <c r="AY108" s="36">
        <v>0</v>
      </c>
      <c r="AZ108" s="36">
        <v>0</v>
      </c>
      <c r="BA108" s="36">
        <v>0</v>
      </c>
      <c r="BB108" s="36">
        <v>0</v>
      </c>
      <c r="BC108" s="36">
        <v>0</v>
      </c>
      <c r="BD108" s="36">
        <v>0</v>
      </c>
      <c r="BE108" s="36">
        <v>0</v>
      </c>
      <c r="BF108" s="36">
        <v>0</v>
      </c>
      <c r="BG108" s="36">
        <v>0</v>
      </c>
      <c r="BH108" s="36">
        <v>0</v>
      </c>
      <c r="BI108" s="36">
        <v>0</v>
      </c>
      <c r="BJ108" s="36">
        <v>0</v>
      </c>
      <c r="BK108" s="36">
        <v>0</v>
      </c>
      <c r="BL108" s="36">
        <v>0</v>
      </c>
      <c r="BM108" s="36">
        <v>0</v>
      </c>
      <c r="BN108" s="36">
        <v>0</v>
      </c>
      <c r="BO108" s="36">
        <v>0</v>
      </c>
      <c r="BP108" s="36">
        <v>0</v>
      </c>
      <c r="BQ108" s="36">
        <v>0</v>
      </c>
      <c r="BR108" s="36">
        <v>0</v>
      </c>
      <c r="BS108" s="36">
        <v>0</v>
      </c>
      <c r="BT108" s="36">
        <v>0</v>
      </c>
      <c r="BU108" s="36">
        <v>0</v>
      </c>
      <c r="BV108" s="36">
        <v>0</v>
      </c>
      <c r="BW108" s="36">
        <v>0</v>
      </c>
      <c r="BX108" s="36">
        <v>-1</v>
      </c>
      <c r="BY108" s="36">
        <v>1</v>
      </c>
      <c r="BZ108" s="36">
        <v>0</v>
      </c>
      <c r="CA108" s="36">
        <v>0</v>
      </c>
      <c r="CB108" s="36">
        <v>0</v>
      </c>
      <c r="CC108" s="36">
        <v>0</v>
      </c>
      <c r="CD108" s="36">
        <v>0</v>
      </c>
      <c r="CE108" s="36">
        <v>0</v>
      </c>
      <c r="CF108" s="36">
        <v>0</v>
      </c>
      <c r="CG108" s="36">
        <v>0</v>
      </c>
      <c r="CH108" s="36">
        <v>0</v>
      </c>
      <c r="CI108" s="36">
        <v>0</v>
      </c>
      <c r="CJ108" s="36">
        <v>0</v>
      </c>
      <c r="CK108" s="36">
        <v>0</v>
      </c>
      <c r="CL108" s="36">
        <v>0</v>
      </c>
      <c r="CM108" s="36">
        <v>0</v>
      </c>
      <c r="CN108" s="36">
        <v>0</v>
      </c>
      <c r="CO108" s="36">
        <v>0</v>
      </c>
      <c r="CP108" s="36">
        <v>0</v>
      </c>
      <c r="CQ108" s="36">
        <v>0</v>
      </c>
      <c r="CR108" s="36">
        <v>0</v>
      </c>
      <c r="CS108" s="36">
        <v>0</v>
      </c>
      <c r="CT108" s="36">
        <v>0</v>
      </c>
      <c r="CU108" s="36">
        <v>0</v>
      </c>
      <c r="CV108" s="36">
        <v>0</v>
      </c>
      <c r="CW108" s="36">
        <v>0</v>
      </c>
      <c r="CX108" s="36">
        <v>0</v>
      </c>
      <c r="CY108" s="36">
        <v>0</v>
      </c>
      <c r="CZ108" s="36">
        <v>0</v>
      </c>
      <c r="DA108" s="36">
        <v>0</v>
      </c>
      <c r="DB108" s="36">
        <v>0</v>
      </c>
      <c r="DC108" s="36">
        <v>0</v>
      </c>
      <c r="DD108" s="36">
        <v>0</v>
      </c>
      <c r="DE108" s="36">
        <v>0</v>
      </c>
      <c r="DF108" s="36">
        <v>0</v>
      </c>
      <c r="DG108" s="36">
        <v>0</v>
      </c>
      <c r="DH108" s="36">
        <v>0</v>
      </c>
      <c r="DI108" s="36">
        <v>0</v>
      </c>
      <c r="DJ108" s="36">
        <v>0</v>
      </c>
      <c r="DK108" s="36">
        <v>0</v>
      </c>
      <c r="DL108" s="36">
        <v>0</v>
      </c>
      <c r="DM108" s="36">
        <v>0</v>
      </c>
      <c r="DN108" s="36">
        <v>0</v>
      </c>
      <c r="DO108" s="36">
        <v>0</v>
      </c>
      <c r="DP108" s="36">
        <v>0</v>
      </c>
      <c r="DQ108" s="36">
        <v>0</v>
      </c>
      <c r="DR108" s="36">
        <v>0</v>
      </c>
      <c r="DS108" s="36">
        <v>0</v>
      </c>
      <c r="DT108" s="36">
        <v>0</v>
      </c>
      <c r="DU108" s="36">
        <v>0</v>
      </c>
      <c r="DV108" s="36">
        <v>0</v>
      </c>
      <c r="DW108" s="36">
        <v>0</v>
      </c>
      <c r="DX108" s="36">
        <v>0</v>
      </c>
      <c r="DY108" s="36">
        <v>0</v>
      </c>
      <c r="DZ108" s="36">
        <v>0</v>
      </c>
      <c r="EA108" s="36">
        <v>0</v>
      </c>
      <c r="EB108" s="36">
        <v>0</v>
      </c>
      <c r="EC108" s="36">
        <v>0</v>
      </c>
      <c r="ED108" s="36">
        <v>0</v>
      </c>
      <c r="EE108" s="36">
        <v>0</v>
      </c>
      <c r="EF108" s="36">
        <v>0</v>
      </c>
      <c r="EG108" s="36">
        <v>0</v>
      </c>
      <c r="EH108" s="36">
        <v>0</v>
      </c>
      <c r="EI108" s="36">
        <v>0</v>
      </c>
      <c r="EJ108" s="36">
        <v>0</v>
      </c>
      <c r="EK108" s="36">
        <v>0</v>
      </c>
      <c r="EL108" s="36">
        <v>0</v>
      </c>
      <c r="EM108" s="36">
        <v>0</v>
      </c>
      <c r="EN108" s="36">
        <v>0</v>
      </c>
      <c r="EO108" s="36">
        <v>0</v>
      </c>
      <c r="EP108" s="36">
        <v>0</v>
      </c>
      <c r="ET108" t="s">
        <v>313</v>
      </c>
      <c r="EU108" t="s">
        <v>775</v>
      </c>
      <c r="EV108" s="36">
        <v>0</v>
      </c>
      <c r="EW108" s="36">
        <v>1</v>
      </c>
      <c r="EX108" s="36">
        <v>4</v>
      </c>
      <c r="EY108" s="36">
        <v>0</v>
      </c>
      <c r="EZ108" s="36">
        <v>1</v>
      </c>
      <c r="FA108" s="36">
        <v>0</v>
      </c>
      <c r="FB108" s="36">
        <v>0</v>
      </c>
      <c r="FC108" s="42">
        <f>(4*EW108)+(EX108)+(-3*EY108)+(-2*EZ108)+(5*FA108)+(-2*FB108)+(-1*EV108)</f>
        <v>6</v>
      </c>
      <c r="FE108">
        <f t="shared" si="30"/>
        <v>6</v>
      </c>
      <c r="FF108">
        <f t="shared" si="31"/>
        <v>6</v>
      </c>
      <c r="FG108">
        <f t="shared" si="32"/>
        <v>6</v>
      </c>
      <c r="FM108" s="43">
        <f t="shared" si="14"/>
        <v>0</v>
      </c>
      <c r="FN108" s="43">
        <f t="shared" si="14"/>
        <v>0</v>
      </c>
      <c r="FO108" s="43">
        <f t="shared" si="14"/>
        <v>0</v>
      </c>
      <c r="FP108" s="43">
        <f t="shared" si="13"/>
        <v>0</v>
      </c>
      <c r="FQ108" s="43">
        <f t="shared" si="13"/>
        <v>0</v>
      </c>
      <c r="FR108" s="43">
        <f t="shared" si="13"/>
        <v>0</v>
      </c>
      <c r="FS108" s="43">
        <f t="shared" si="13"/>
        <v>0</v>
      </c>
      <c r="FV108" t="s">
        <v>776</v>
      </c>
      <c r="FW108" t="s">
        <v>777</v>
      </c>
    </row>
    <row r="109" spans="1:179" ht="19.5" customHeight="1" x14ac:dyDescent="0.35">
      <c r="A109" t="s">
        <v>778</v>
      </c>
      <c r="B109" s="36">
        <v>0</v>
      </c>
      <c r="C109" s="36">
        <v>0</v>
      </c>
      <c r="D109" s="36">
        <v>0</v>
      </c>
      <c r="E109" s="36">
        <v>0</v>
      </c>
      <c r="F109" s="36">
        <v>0</v>
      </c>
      <c r="G109" s="36">
        <v>0</v>
      </c>
      <c r="H109" s="36">
        <v>0</v>
      </c>
      <c r="I109" s="36">
        <v>0</v>
      </c>
      <c r="J109" s="36">
        <v>0</v>
      </c>
      <c r="K109" s="36">
        <v>0</v>
      </c>
      <c r="L109" s="36">
        <v>0</v>
      </c>
      <c r="M109" s="36">
        <v>0</v>
      </c>
      <c r="N109" s="36">
        <v>0</v>
      </c>
      <c r="O109" s="36">
        <v>0</v>
      </c>
      <c r="P109" s="36">
        <v>0</v>
      </c>
      <c r="Q109" s="36">
        <v>0</v>
      </c>
      <c r="R109" s="36">
        <v>0</v>
      </c>
      <c r="S109" s="36">
        <v>0</v>
      </c>
      <c r="T109" s="36">
        <v>0</v>
      </c>
      <c r="U109" s="36">
        <v>0</v>
      </c>
      <c r="V109" s="36">
        <v>0</v>
      </c>
      <c r="W109" s="36">
        <v>0</v>
      </c>
      <c r="X109" s="36">
        <v>0</v>
      </c>
      <c r="Y109" s="36">
        <v>0</v>
      </c>
      <c r="Z109" s="36">
        <v>0</v>
      </c>
      <c r="AA109" s="36">
        <v>0</v>
      </c>
      <c r="AB109" s="36">
        <v>0</v>
      </c>
      <c r="AC109" s="36">
        <v>0</v>
      </c>
      <c r="AD109" s="36">
        <v>0</v>
      </c>
      <c r="AE109" s="36">
        <v>0</v>
      </c>
      <c r="AF109" s="36">
        <v>0</v>
      </c>
      <c r="AG109" s="36">
        <v>0</v>
      </c>
      <c r="AH109" s="36">
        <v>0</v>
      </c>
      <c r="AI109" s="36">
        <v>0</v>
      </c>
      <c r="AJ109" s="36">
        <v>0</v>
      </c>
      <c r="AK109" s="36">
        <v>0</v>
      </c>
      <c r="AL109" s="36">
        <v>1</v>
      </c>
      <c r="AM109" s="36">
        <v>0</v>
      </c>
      <c r="AN109" s="36">
        <v>0</v>
      </c>
      <c r="AO109" s="36">
        <v>0</v>
      </c>
      <c r="AP109" s="36">
        <v>0</v>
      </c>
      <c r="AQ109" s="36">
        <v>0</v>
      </c>
      <c r="AR109" s="36">
        <v>-1</v>
      </c>
      <c r="AS109" s="36">
        <v>0</v>
      </c>
      <c r="AT109" s="36">
        <v>0</v>
      </c>
      <c r="AU109" s="36">
        <v>0</v>
      </c>
      <c r="AV109" s="36">
        <v>0</v>
      </c>
      <c r="AW109" s="36">
        <v>0</v>
      </c>
      <c r="AX109" s="36">
        <v>0</v>
      </c>
      <c r="AY109" s="36">
        <v>0</v>
      </c>
      <c r="AZ109" s="36">
        <v>0</v>
      </c>
      <c r="BA109" s="36">
        <v>0</v>
      </c>
      <c r="BB109" s="36">
        <v>0</v>
      </c>
      <c r="BC109" s="36">
        <v>0</v>
      </c>
      <c r="BD109" s="36">
        <v>0</v>
      </c>
      <c r="BE109" s="36">
        <v>0</v>
      </c>
      <c r="BF109" s="36">
        <v>0</v>
      </c>
      <c r="BG109" s="36">
        <v>0</v>
      </c>
      <c r="BH109" s="36">
        <v>0</v>
      </c>
      <c r="BI109" s="36">
        <v>0</v>
      </c>
      <c r="BJ109" s="36">
        <v>0</v>
      </c>
      <c r="BK109" s="36">
        <v>0</v>
      </c>
      <c r="BL109" s="36">
        <v>0</v>
      </c>
      <c r="BM109" s="36">
        <v>0</v>
      </c>
      <c r="BN109" s="36">
        <v>0</v>
      </c>
      <c r="BO109" s="36">
        <v>0</v>
      </c>
      <c r="BP109" s="36">
        <v>0</v>
      </c>
      <c r="BQ109" s="36">
        <v>0</v>
      </c>
      <c r="BR109" s="36">
        <v>0</v>
      </c>
      <c r="BS109" s="36">
        <v>0</v>
      </c>
      <c r="BT109" s="36">
        <v>0</v>
      </c>
      <c r="BU109" s="36">
        <v>0</v>
      </c>
      <c r="BV109" s="36">
        <v>0</v>
      </c>
      <c r="BW109" s="36">
        <v>0</v>
      </c>
      <c r="BX109" s="36">
        <v>0</v>
      </c>
      <c r="BY109" s="36">
        <v>0</v>
      </c>
      <c r="BZ109" s="36">
        <v>0</v>
      </c>
      <c r="CA109" s="36">
        <v>0</v>
      </c>
      <c r="CB109" s="36">
        <v>0</v>
      </c>
      <c r="CC109" s="36">
        <v>0</v>
      </c>
      <c r="CD109" s="36">
        <v>0</v>
      </c>
      <c r="CE109" s="36">
        <v>0</v>
      </c>
      <c r="CF109" s="36">
        <v>0</v>
      </c>
      <c r="CG109" s="36">
        <v>0</v>
      </c>
      <c r="CH109" s="36">
        <v>0</v>
      </c>
      <c r="CI109" s="36">
        <v>0</v>
      </c>
      <c r="CJ109" s="36">
        <v>0</v>
      </c>
      <c r="CK109" s="36">
        <v>0</v>
      </c>
      <c r="CL109" s="36">
        <v>1</v>
      </c>
      <c r="CM109" s="36">
        <v>0</v>
      </c>
      <c r="CN109" s="36">
        <v>0</v>
      </c>
      <c r="CO109" s="36">
        <v>0</v>
      </c>
      <c r="CP109" s="36">
        <v>-1</v>
      </c>
      <c r="CQ109" s="36">
        <v>0</v>
      </c>
      <c r="CR109" s="36">
        <v>0</v>
      </c>
      <c r="CS109" s="36">
        <v>0</v>
      </c>
      <c r="CT109" s="36">
        <v>0</v>
      </c>
      <c r="CU109" s="36">
        <v>0</v>
      </c>
      <c r="CV109" s="36">
        <v>0</v>
      </c>
      <c r="CW109" s="36">
        <v>0</v>
      </c>
      <c r="CX109" s="36">
        <v>0</v>
      </c>
      <c r="CY109" s="36">
        <v>0</v>
      </c>
      <c r="CZ109" s="36">
        <v>0</v>
      </c>
      <c r="DA109" s="36">
        <v>0</v>
      </c>
      <c r="DB109" s="36">
        <v>0</v>
      </c>
      <c r="DC109" s="36">
        <v>0</v>
      </c>
      <c r="DD109" s="36">
        <v>0</v>
      </c>
      <c r="DE109" s="36">
        <v>0</v>
      </c>
      <c r="DF109" s="36">
        <v>0</v>
      </c>
      <c r="DG109" s="36">
        <v>0</v>
      </c>
      <c r="DH109" s="36">
        <v>0</v>
      </c>
      <c r="DI109" s="36">
        <v>0</v>
      </c>
      <c r="DJ109" s="36">
        <v>0</v>
      </c>
      <c r="DK109" s="36">
        <v>0</v>
      </c>
      <c r="DL109" s="36">
        <v>0</v>
      </c>
      <c r="DM109" s="36">
        <v>0</v>
      </c>
      <c r="DN109" s="36">
        <v>0</v>
      </c>
      <c r="DO109" s="36">
        <v>0</v>
      </c>
      <c r="DP109" s="36">
        <v>0</v>
      </c>
      <c r="DQ109" s="36">
        <v>0</v>
      </c>
      <c r="DR109" s="36">
        <v>0</v>
      </c>
      <c r="DS109" s="36">
        <v>0</v>
      </c>
      <c r="DT109" s="36">
        <v>0</v>
      </c>
      <c r="DU109" s="36">
        <v>0</v>
      </c>
      <c r="DV109" s="36">
        <v>0</v>
      </c>
      <c r="DW109" s="36">
        <v>0</v>
      </c>
      <c r="DX109" s="36">
        <v>2</v>
      </c>
      <c r="DY109" s="36">
        <v>-1</v>
      </c>
      <c r="DZ109" s="36">
        <v>0</v>
      </c>
      <c r="EA109" s="36">
        <v>0</v>
      </c>
      <c r="EB109" s="36">
        <v>0</v>
      </c>
      <c r="EC109" s="36">
        <v>0</v>
      </c>
      <c r="ED109" s="36">
        <v>0</v>
      </c>
      <c r="EE109" s="36">
        <v>0</v>
      </c>
      <c r="EF109" s="36">
        <v>0</v>
      </c>
      <c r="EG109" s="36">
        <v>0</v>
      </c>
      <c r="EH109" s="36">
        <v>0</v>
      </c>
      <c r="EI109" s="36">
        <v>0</v>
      </c>
      <c r="EJ109" s="36">
        <v>0</v>
      </c>
      <c r="EK109" s="36">
        <v>0</v>
      </c>
      <c r="EL109" s="36">
        <v>0</v>
      </c>
      <c r="EM109" s="36">
        <v>0</v>
      </c>
      <c r="EN109" s="36">
        <v>0</v>
      </c>
      <c r="EO109" s="36">
        <v>0</v>
      </c>
      <c r="EP109" s="36">
        <v>0</v>
      </c>
      <c r="ET109" t="s">
        <v>314</v>
      </c>
      <c r="EU109" t="s">
        <v>775</v>
      </c>
      <c r="EV109" s="36">
        <v>0</v>
      </c>
      <c r="EW109" s="36">
        <v>1</v>
      </c>
      <c r="EX109" s="36">
        <v>4</v>
      </c>
      <c r="EY109" s="36">
        <v>0</v>
      </c>
      <c r="EZ109" s="36">
        <v>1</v>
      </c>
      <c r="FA109" s="36">
        <v>0</v>
      </c>
      <c r="FB109" s="36">
        <v>0</v>
      </c>
      <c r="FC109" s="42">
        <f>(4*EW109)+(EX109)+(-3*EY109)+(-2*EZ109)+(5*FA109)+(-2*FB109)+(-1*EV109)</f>
        <v>6</v>
      </c>
      <c r="FE109">
        <f t="shared" si="30"/>
        <v>6</v>
      </c>
      <c r="FF109">
        <f t="shared" si="31"/>
        <v>6</v>
      </c>
      <c r="FG109">
        <f t="shared" si="32"/>
        <v>6</v>
      </c>
      <c r="FM109" s="43">
        <f t="shared" si="14"/>
        <v>0</v>
      </c>
      <c r="FN109" s="43">
        <f t="shared" si="14"/>
        <v>0</v>
      </c>
      <c r="FO109" s="43">
        <f t="shared" si="14"/>
        <v>0</v>
      </c>
      <c r="FP109" s="43">
        <f t="shared" si="13"/>
        <v>0</v>
      </c>
      <c r="FQ109" s="43">
        <f t="shared" si="13"/>
        <v>0</v>
      </c>
      <c r="FR109" s="43">
        <f t="shared" si="13"/>
        <v>0</v>
      </c>
      <c r="FS109" s="43">
        <f t="shared" si="13"/>
        <v>0</v>
      </c>
      <c r="FV109" t="s">
        <v>779</v>
      </c>
      <c r="FW109" t="s">
        <v>780</v>
      </c>
    </row>
    <row r="110" spans="1:179" ht="19.5" customHeight="1" x14ac:dyDescent="0.35">
      <c r="A110" t="s">
        <v>781</v>
      </c>
      <c r="B110" s="36">
        <v>0</v>
      </c>
      <c r="C110" s="36">
        <v>0</v>
      </c>
      <c r="D110" s="36">
        <v>0</v>
      </c>
      <c r="E110" s="36">
        <v>0</v>
      </c>
      <c r="F110" s="36">
        <v>0</v>
      </c>
      <c r="G110" s="36">
        <v>0</v>
      </c>
      <c r="H110" s="36">
        <v>0</v>
      </c>
      <c r="I110" s="36">
        <v>0</v>
      </c>
      <c r="J110" s="36">
        <v>0</v>
      </c>
      <c r="K110" s="36">
        <v>0</v>
      </c>
      <c r="L110" s="36">
        <v>0</v>
      </c>
      <c r="M110" s="36">
        <v>0</v>
      </c>
      <c r="N110" s="36">
        <v>0</v>
      </c>
      <c r="O110" s="36">
        <v>0</v>
      </c>
      <c r="P110" s="36">
        <v>0</v>
      </c>
      <c r="Q110" s="36">
        <v>0</v>
      </c>
      <c r="R110" s="36">
        <v>0</v>
      </c>
      <c r="S110" s="36">
        <v>0</v>
      </c>
      <c r="T110" s="36">
        <v>0</v>
      </c>
      <c r="U110" s="36">
        <v>0</v>
      </c>
      <c r="V110" s="36">
        <v>0</v>
      </c>
      <c r="W110" s="36">
        <v>0</v>
      </c>
      <c r="X110" s="36">
        <v>0</v>
      </c>
      <c r="Y110" s="36">
        <v>0</v>
      </c>
      <c r="Z110" s="36">
        <v>0</v>
      </c>
      <c r="AA110" s="36">
        <v>0</v>
      </c>
      <c r="AB110" s="36">
        <v>0</v>
      </c>
      <c r="AC110" s="36">
        <v>0</v>
      </c>
      <c r="AD110" s="36">
        <v>0</v>
      </c>
      <c r="AE110" s="36">
        <v>0</v>
      </c>
      <c r="AF110" s="36">
        <v>0</v>
      </c>
      <c r="AG110" s="36">
        <v>0</v>
      </c>
      <c r="AH110" s="36">
        <v>0</v>
      </c>
      <c r="AI110" s="36">
        <v>0</v>
      </c>
      <c r="AJ110" s="36">
        <v>0</v>
      </c>
      <c r="AK110" s="36">
        <v>0</v>
      </c>
      <c r="AL110" s="36">
        <v>0</v>
      </c>
      <c r="AM110" s="36">
        <v>0</v>
      </c>
      <c r="AN110" s="36">
        <v>0</v>
      </c>
      <c r="AO110" s="36">
        <v>0</v>
      </c>
      <c r="AP110" s="36">
        <v>0</v>
      </c>
      <c r="AQ110" s="36">
        <v>0</v>
      </c>
      <c r="AR110" s="36">
        <v>0</v>
      </c>
      <c r="AS110" s="36">
        <v>0</v>
      </c>
      <c r="AT110" s="36">
        <v>0</v>
      </c>
      <c r="AU110" s="36">
        <v>0</v>
      </c>
      <c r="AV110" s="36">
        <v>0</v>
      </c>
      <c r="AW110" s="36">
        <v>0</v>
      </c>
      <c r="AX110" s="36">
        <v>0</v>
      </c>
      <c r="AY110" s="36">
        <v>0</v>
      </c>
      <c r="AZ110" s="36">
        <v>0</v>
      </c>
      <c r="BA110" s="36">
        <v>0</v>
      </c>
      <c r="BB110" s="36">
        <v>0</v>
      </c>
      <c r="BC110" s="36">
        <v>0</v>
      </c>
      <c r="BD110" s="36">
        <v>0</v>
      </c>
      <c r="BE110" s="36">
        <v>0</v>
      </c>
      <c r="BF110" s="36">
        <v>0</v>
      </c>
      <c r="BG110" s="36">
        <v>0</v>
      </c>
      <c r="BH110" s="36">
        <v>0</v>
      </c>
      <c r="BI110" s="36">
        <v>0</v>
      </c>
      <c r="BJ110" s="36">
        <v>0</v>
      </c>
      <c r="BK110" s="36">
        <v>0</v>
      </c>
      <c r="BL110" s="36">
        <v>0</v>
      </c>
      <c r="BM110" s="36">
        <v>0</v>
      </c>
      <c r="BN110" s="36">
        <v>0</v>
      </c>
      <c r="BO110" s="36">
        <v>0</v>
      </c>
      <c r="BP110" s="36">
        <v>0</v>
      </c>
      <c r="BQ110" s="36">
        <v>0</v>
      </c>
      <c r="BR110" s="36">
        <v>0</v>
      </c>
      <c r="BS110" s="36">
        <v>0</v>
      </c>
      <c r="BT110" s="36">
        <v>0</v>
      </c>
      <c r="BU110" s="36">
        <v>0</v>
      </c>
      <c r="BV110" s="36">
        <v>0</v>
      </c>
      <c r="BW110" s="36">
        <v>0</v>
      </c>
      <c r="BX110" s="36">
        <v>0</v>
      </c>
      <c r="BY110" s="36">
        <v>0</v>
      </c>
      <c r="BZ110" s="36">
        <v>0</v>
      </c>
      <c r="CA110" s="36">
        <v>0</v>
      </c>
      <c r="CB110" s="36">
        <v>0</v>
      </c>
      <c r="CC110" s="36">
        <v>0</v>
      </c>
      <c r="CD110" s="36">
        <v>0</v>
      </c>
      <c r="CE110" s="36">
        <v>0</v>
      </c>
      <c r="CF110" s="36">
        <v>0</v>
      </c>
      <c r="CG110" s="36">
        <v>0</v>
      </c>
      <c r="CH110" s="36">
        <v>0</v>
      </c>
      <c r="CI110" s="36">
        <v>0</v>
      </c>
      <c r="CJ110" s="36">
        <v>0</v>
      </c>
      <c r="CK110" s="36">
        <v>0</v>
      </c>
      <c r="CL110" s="36">
        <v>0</v>
      </c>
      <c r="CM110" s="36">
        <v>0</v>
      </c>
      <c r="CN110" s="36">
        <v>-1</v>
      </c>
      <c r="CO110" s="36">
        <v>1</v>
      </c>
      <c r="CP110" s="36">
        <v>0</v>
      </c>
      <c r="CQ110" s="36">
        <v>0</v>
      </c>
      <c r="CR110" s="36">
        <v>0</v>
      </c>
      <c r="CS110" s="36">
        <v>0</v>
      </c>
      <c r="CT110" s="36">
        <v>0</v>
      </c>
      <c r="CU110" s="36">
        <v>0</v>
      </c>
      <c r="CV110" s="36">
        <v>0</v>
      </c>
      <c r="CW110" s="36">
        <v>0</v>
      </c>
      <c r="CX110" s="36">
        <v>0</v>
      </c>
      <c r="CY110" s="36">
        <v>0</v>
      </c>
      <c r="CZ110" s="36">
        <v>0</v>
      </c>
      <c r="DA110" s="36">
        <v>0</v>
      </c>
      <c r="DB110" s="36">
        <v>0</v>
      </c>
      <c r="DC110" s="36">
        <v>0</v>
      </c>
      <c r="DD110" s="36">
        <v>0</v>
      </c>
      <c r="DE110" s="36">
        <v>0</v>
      </c>
      <c r="DF110" s="36">
        <v>0</v>
      </c>
      <c r="DG110" s="36">
        <v>0</v>
      </c>
      <c r="DH110" s="36">
        <v>0</v>
      </c>
      <c r="DI110" s="36">
        <v>0</v>
      </c>
      <c r="DJ110" s="36">
        <v>0</v>
      </c>
      <c r="DK110" s="36">
        <v>0</v>
      </c>
      <c r="DL110" s="36">
        <v>0</v>
      </c>
      <c r="DM110" s="36">
        <v>0</v>
      </c>
      <c r="DN110" s="36">
        <v>0</v>
      </c>
      <c r="DO110" s="36">
        <v>0</v>
      </c>
      <c r="DP110" s="36">
        <v>0</v>
      </c>
      <c r="DQ110" s="36">
        <v>0</v>
      </c>
      <c r="DR110" s="36">
        <v>0</v>
      </c>
      <c r="DS110" s="36">
        <v>0</v>
      </c>
      <c r="DT110" s="36">
        <v>0</v>
      </c>
      <c r="DU110" s="36">
        <v>0</v>
      </c>
      <c r="DV110" s="36">
        <v>0</v>
      </c>
      <c r="DW110" s="36">
        <v>0</v>
      </c>
      <c r="DX110" s="36">
        <v>0</v>
      </c>
      <c r="DY110" s="36">
        <v>0</v>
      </c>
      <c r="DZ110" s="36">
        <v>0</v>
      </c>
      <c r="EA110" s="36">
        <v>0</v>
      </c>
      <c r="EB110" s="36">
        <v>0</v>
      </c>
      <c r="EC110" s="36">
        <v>0</v>
      </c>
      <c r="ED110" s="36">
        <v>0</v>
      </c>
      <c r="EE110" s="36">
        <v>0</v>
      </c>
      <c r="EF110" s="36">
        <v>0</v>
      </c>
      <c r="EG110" s="36">
        <v>0</v>
      </c>
      <c r="EH110" s="36">
        <v>0</v>
      </c>
      <c r="EI110" s="36">
        <v>0</v>
      </c>
      <c r="EJ110" s="36">
        <v>0</v>
      </c>
      <c r="EK110" s="36">
        <v>0</v>
      </c>
      <c r="EL110" s="36">
        <v>0</v>
      </c>
      <c r="EM110" s="36">
        <v>0</v>
      </c>
      <c r="EN110" s="36">
        <v>0</v>
      </c>
      <c r="EO110" s="36">
        <v>0</v>
      </c>
      <c r="EP110" s="36">
        <v>0</v>
      </c>
      <c r="ET110" t="s">
        <v>96</v>
      </c>
      <c r="EU110" t="s">
        <v>782</v>
      </c>
      <c r="EV110" s="36">
        <f>1</f>
        <v>1</v>
      </c>
      <c r="EW110" s="36">
        <v>0</v>
      </c>
      <c r="EX110" s="36">
        <v>4</v>
      </c>
      <c r="EY110" s="36">
        <v>1</v>
      </c>
      <c r="EZ110" s="36">
        <v>0</v>
      </c>
      <c r="FA110" s="36">
        <v>0</v>
      </c>
      <c r="FB110" s="36">
        <v>0</v>
      </c>
      <c r="FC110" s="42">
        <f t="shared" ref="FC110:FC119" si="39">(4*EW110)+(EX110)+(-3*EY110)+(-2*EZ110)+(5*FA110)+(-2*FB110)+(-1*EV110)</f>
        <v>0</v>
      </c>
      <c r="FE110">
        <f t="shared" ref="FE110:FE113" si="40">((4*(EW110))+(EX110)+(5*EY110)+(-2*EZ110)+(5*FA110)+(6*FB110)+(-EV110))/1</f>
        <v>8</v>
      </c>
      <c r="FF110">
        <f t="shared" ref="FF110:FF113" si="41">((4*(EW110))+(EX110)+(-3*EY110)+(-2*EZ110)+(5*FA110)+(6*FB110)+(-EV110))/1</f>
        <v>0</v>
      </c>
      <c r="FG110">
        <f t="shared" ref="FG110:FG113" si="42">((4*(EW110))+(EX110)+(0*EY110)+(-2*EZ110)+(5*FA110)+(6*FB110)+(-EV110))/1</f>
        <v>3</v>
      </c>
      <c r="FM110" s="43">
        <f t="shared" si="14"/>
        <v>0</v>
      </c>
      <c r="FN110" s="43">
        <f t="shared" si="14"/>
        <v>0</v>
      </c>
      <c r="FO110" s="43">
        <f t="shared" si="14"/>
        <v>0</v>
      </c>
      <c r="FP110" s="43">
        <f t="shared" si="13"/>
        <v>0</v>
      </c>
      <c r="FQ110" s="43">
        <f t="shared" si="13"/>
        <v>0</v>
      </c>
      <c r="FR110" s="43">
        <f t="shared" si="13"/>
        <v>0</v>
      </c>
      <c r="FS110" s="43">
        <f t="shared" si="13"/>
        <v>0</v>
      </c>
      <c r="FV110" t="s">
        <v>783</v>
      </c>
      <c r="FW110" t="s">
        <v>784</v>
      </c>
    </row>
    <row r="111" spans="1:179" ht="19.5" customHeight="1" x14ac:dyDescent="0.35">
      <c r="A111" t="s">
        <v>785</v>
      </c>
      <c r="B111" s="36">
        <v>0</v>
      </c>
      <c r="C111" s="36">
        <v>0</v>
      </c>
      <c r="D111" s="36">
        <v>0</v>
      </c>
      <c r="E111" s="36">
        <v>0</v>
      </c>
      <c r="F111" s="36">
        <v>0</v>
      </c>
      <c r="G111" s="36">
        <v>0</v>
      </c>
      <c r="H111" s="36">
        <v>0</v>
      </c>
      <c r="I111" s="36">
        <v>0</v>
      </c>
      <c r="J111" s="36">
        <v>0</v>
      </c>
      <c r="K111" s="36">
        <v>0</v>
      </c>
      <c r="L111" s="36">
        <v>0</v>
      </c>
      <c r="M111" s="36">
        <v>0</v>
      </c>
      <c r="N111" s="36">
        <v>0</v>
      </c>
      <c r="O111" s="36">
        <v>0</v>
      </c>
      <c r="P111" s="36">
        <v>0</v>
      </c>
      <c r="Q111" s="36">
        <v>0</v>
      </c>
      <c r="R111" s="36">
        <v>0</v>
      </c>
      <c r="S111" s="36">
        <v>0</v>
      </c>
      <c r="T111" s="36">
        <v>0</v>
      </c>
      <c r="U111" s="36">
        <v>0</v>
      </c>
      <c r="V111" s="36">
        <v>0</v>
      </c>
      <c r="W111" s="36">
        <v>0</v>
      </c>
      <c r="X111" s="36">
        <v>0</v>
      </c>
      <c r="Y111" s="36">
        <v>0</v>
      </c>
      <c r="Z111" s="36">
        <v>0</v>
      </c>
      <c r="AA111" s="36">
        <v>0</v>
      </c>
      <c r="AB111" s="36">
        <v>0</v>
      </c>
      <c r="AC111" s="36">
        <v>0</v>
      </c>
      <c r="AD111" s="36">
        <v>0</v>
      </c>
      <c r="AE111" s="36">
        <v>0</v>
      </c>
      <c r="AF111" s="36">
        <v>0</v>
      </c>
      <c r="AG111" s="36">
        <v>0</v>
      </c>
      <c r="AH111" s="36">
        <v>0</v>
      </c>
      <c r="AI111" s="36">
        <v>0</v>
      </c>
      <c r="AJ111" s="36">
        <v>0</v>
      </c>
      <c r="AK111" s="36">
        <v>0</v>
      </c>
      <c r="AL111" s="36">
        <v>0</v>
      </c>
      <c r="AM111" s="36">
        <v>0</v>
      </c>
      <c r="AN111" s="36">
        <v>0</v>
      </c>
      <c r="AO111" s="36">
        <v>0</v>
      </c>
      <c r="AP111" s="36">
        <v>0</v>
      </c>
      <c r="AQ111" s="36">
        <v>0</v>
      </c>
      <c r="AR111" s="36">
        <v>0</v>
      </c>
      <c r="AS111" s="36">
        <v>0</v>
      </c>
      <c r="AT111" s="36">
        <v>0</v>
      </c>
      <c r="AU111" s="36">
        <v>0</v>
      </c>
      <c r="AV111" s="36">
        <v>0</v>
      </c>
      <c r="AW111" s="36">
        <v>0</v>
      </c>
      <c r="AX111" s="36">
        <v>0</v>
      </c>
      <c r="AY111" s="36">
        <v>0</v>
      </c>
      <c r="AZ111" s="36">
        <v>0</v>
      </c>
      <c r="BA111" s="36">
        <v>0</v>
      </c>
      <c r="BB111" s="36">
        <v>0</v>
      </c>
      <c r="BC111" s="36">
        <v>0</v>
      </c>
      <c r="BD111" s="36">
        <v>0</v>
      </c>
      <c r="BE111" s="36">
        <v>0</v>
      </c>
      <c r="BF111" s="36">
        <v>0</v>
      </c>
      <c r="BG111" s="36">
        <v>0</v>
      </c>
      <c r="BH111" s="36">
        <v>0</v>
      </c>
      <c r="BI111" s="36">
        <v>0</v>
      </c>
      <c r="BJ111" s="36">
        <v>0</v>
      </c>
      <c r="BK111" s="36">
        <v>0</v>
      </c>
      <c r="BL111" s="36">
        <v>0</v>
      </c>
      <c r="BM111" s="36">
        <v>0</v>
      </c>
      <c r="BN111" s="36">
        <v>0</v>
      </c>
      <c r="BO111" s="36">
        <v>0</v>
      </c>
      <c r="BP111" s="36">
        <v>0</v>
      </c>
      <c r="BQ111" s="36">
        <v>0</v>
      </c>
      <c r="BR111" s="36">
        <v>0</v>
      </c>
      <c r="BS111" s="36">
        <v>0</v>
      </c>
      <c r="BT111" s="36">
        <v>0</v>
      </c>
      <c r="BU111" s="36">
        <v>0</v>
      </c>
      <c r="BV111" s="36">
        <v>0</v>
      </c>
      <c r="BW111" s="36">
        <v>0</v>
      </c>
      <c r="BX111" s="36">
        <v>0</v>
      </c>
      <c r="BY111" s="36">
        <v>0</v>
      </c>
      <c r="BZ111" s="36">
        <v>0</v>
      </c>
      <c r="CA111" s="36">
        <v>0</v>
      </c>
      <c r="CB111" s="36">
        <v>0</v>
      </c>
      <c r="CC111" s="36">
        <v>0</v>
      </c>
      <c r="CD111" s="36">
        <v>0</v>
      </c>
      <c r="CE111" s="36">
        <v>0</v>
      </c>
      <c r="CF111" s="36">
        <v>0</v>
      </c>
      <c r="CG111" s="36">
        <v>0</v>
      </c>
      <c r="CH111" s="36">
        <v>0</v>
      </c>
      <c r="CI111" s="36">
        <v>0</v>
      </c>
      <c r="CJ111" s="36">
        <v>0</v>
      </c>
      <c r="CK111" s="36">
        <v>0</v>
      </c>
      <c r="CL111" s="36">
        <v>0</v>
      </c>
      <c r="CM111" s="36">
        <v>0</v>
      </c>
      <c r="CN111" s="36">
        <v>0</v>
      </c>
      <c r="CO111" s="36">
        <v>0</v>
      </c>
      <c r="CP111" s="36">
        <v>0</v>
      </c>
      <c r="CQ111" s="36">
        <v>0</v>
      </c>
      <c r="CR111" s="36">
        <v>0</v>
      </c>
      <c r="CS111" s="36">
        <v>1</v>
      </c>
      <c r="CT111" s="36">
        <v>-1</v>
      </c>
      <c r="CU111" s="36">
        <v>0</v>
      </c>
      <c r="CV111" s="36">
        <v>0</v>
      </c>
      <c r="CW111" s="36">
        <v>0</v>
      </c>
      <c r="CX111" s="36">
        <v>0</v>
      </c>
      <c r="CY111" s="36">
        <v>0</v>
      </c>
      <c r="CZ111" s="36">
        <v>0</v>
      </c>
      <c r="DA111" s="36">
        <v>0</v>
      </c>
      <c r="DB111" s="36">
        <v>0</v>
      </c>
      <c r="DC111" s="36">
        <v>0</v>
      </c>
      <c r="DD111" s="36">
        <v>0</v>
      </c>
      <c r="DE111" s="36">
        <v>0</v>
      </c>
      <c r="DF111" s="36">
        <v>0</v>
      </c>
      <c r="DG111" s="36">
        <v>0</v>
      </c>
      <c r="DH111" s="36">
        <v>0</v>
      </c>
      <c r="DI111" s="36">
        <v>0</v>
      </c>
      <c r="DJ111" s="36">
        <v>0</v>
      </c>
      <c r="DK111" s="36">
        <v>0</v>
      </c>
      <c r="DL111" s="36">
        <v>0</v>
      </c>
      <c r="DM111" s="36">
        <v>0</v>
      </c>
      <c r="DN111" s="36">
        <v>0</v>
      </c>
      <c r="DO111" s="36">
        <v>0</v>
      </c>
      <c r="DP111" s="36">
        <v>0</v>
      </c>
      <c r="DQ111" s="36">
        <v>0</v>
      </c>
      <c r="DR111" s="36">
        <v>0</v>
      </c>
      <c r="DS111" s="36">
        <v>0</v>
      </c>
      <c r="DT111" s="36">
        <v>0</v>
      </c>
      <c r="DU111" s="36">
        <v>0</v>
      </c>
      <c r="DV111" s="36">
        <v>0</v>
      </c>
      <c r="DW111" s="36">
        <v>0</v>
      </c>
      <c r="DX111" s="36">
        <v>0</v>
      </c>
      <c r="DY111" s="36">
        <v>0</v>
      </c>
      <c r="DZ111" s="36">
        <v>0</v>
      </c>
      <c r="EA111" s="36">
        <v>0</v>
      </c>
      <c r="EB111" s="36">
        <v>0</v>
      </c>
      <c r="EC111" s="36">
        <v>0</v>
      </c>
      <c r="ED111" s="36">
        <v>0</v>
      </c>
      <c r="EE111" s="36">
        <v>0</v>
      </c>
      <c r="EF111" s="36">
        <v>0</v>
      </c>
      <c r="EG111" s="36">
        <v>0</v>
      </c>
      <c r="EH111" s="36">
        <v>0</v>
      </c>
      <c r="EI111" s="36">
        <v>0</v>
      </c>
      <c r="EJ111" s="36">
        <v>0</v>
      </c>
      <c r="EK111" s="36">
        <v>0</v>
      </c>
      <c r="EL111" s="36">
        <v>0</v>
      </c>
      <c r="EM111" s="36">
        <v>0</v>
      </c>
      <c r="EN111" s="36">
        <v>0</v>
      </c>
      <c r="EO111" s="36">
        <v>0</v>
      </c>
      <c r="EP111" s="36">
        <v>0</v>
      </c>
      <c r="ET111" t="s">
        <v>97</v>
      </c>
      <c r="EU111" t="s">
        <v>782</v>
      </c>
      <c r="EV111" s="36">
        <f>1</f>
        <v>1</v>
      </c>
      <c r="EW111" s="36">
        <v>0</v>
      </c>
      <c r="EX111" s="36">
        <v>4</v>
      </c>
      <c r="EY111" s="36">
        <v>1</v>
      </c>
      <c r="EZ111" s="36">
        <v>0</v>
      </c>
      <c r="FA111" s="36">
        <v>0</v>
      </c>
      <c r="FB111" s="36">
        <v>0</v>
      </c>
      <c r="FC111" s="42">
        <f t="shared" si="39"/>
        <v>0</v>
      </c>
      <c r="FE111">
        <f t="shared" si="40"/>
        <v>8</v>
      </c>
      <c r="FF111">
        <f t="shared" si="41"/>
        <v>0</v>
      </c>
      <c r="FG111">
        <f t="shared" si="42"/>
        <v>3</v>
      </c>
      <c r="FM111" s="43">
        <f t="shared" si="14"/>
        <v>0</v>
      </c>
      <c r="FN111" s="43">
        <f t="shared" si="14"/>
        <v>0</v>
      </c>
      <c r="FO111" s="43">
        <f t="shared" si="14"/>
        <v>0</v>
      </c>
      <c r="FP111" s="43">
        <f t="shared" si="13"/>
        <v>0</v>
      </c>
      <c r="FQ111" s="43">
        <f t="shared" si="13"/>
        <v>0</v>
      </c>
      <c r="FR111" s="43">
        <f t="shared" si="13"/>
        <v>0</v>
      </c>
      <c r="FS111" s="43">
        <f t="shared" si="13"/>
        <v>0</v>
      </c>
      <c r="FV111" t="s">
        <v>786</v>
      </c>
      <c r="FW111" t="s">
        <v>787</v>
      </c>
    </row>
    <row r="112" spans="1:179" ht="19.5" customHeight="1" x14ac:dyDescent="0.35">
      <c r="A112" t="s">
        <v>788</v>
      </c>
      <c r="B112" s="36">
        <v>0</v>
      </c>
      <c r="C112" s="36">
        <v>0</v>
      </c>
      <c r="D112" s="36">
        <v>0</v>
      </c>
      <c r="E112" s="36">
        <v>0</v>
      </c>
      <c r="F112" s="36">
        <v>0</v>
      </c>
      <c r="G112" s="36">
        <v>0</v>
      </c>
      <c r="H112" s="36">
        <v>0</v>
      </c>
      <c r="I112" s="36">
        <v>0</v>
      </c>
      <c r="J112" s="36">
        <v>0</v>
      </c>
      <c r="K112" s="36">
        <v>0</v>
      </c>
      <c r="L112" s="36">
        <v>0</v>
      </c>
      <c r="M112" s="36">
        <v>0</v>
      </c>
      <c r="N112" s="36">
        <v>0</v>
      </c>
      <c r="O112" s="36">
        <v>0</v>
      </c>
      <c r="P112" s="36">
        <v>0</v>
      </c>
      <c r="Q112" s="36">
        <v>0</v>
      </c>
      <c r="R112" s="36">
        <v>0</v>
      </c>
      <c r="S112" s="36">
        <v>0</v>
      </c>
      <c r="T112" s="36">
        <v>0</v>
      </c>
      <c r="U112" s="36">
        <v>0</v>
      </c>
      <c r="V112" s="36">
        <v>0</v>
      </c>
      <c r="W112" s="36">
        <v>0</v>
      </c>
      <c r="X112" s="36">
        <v>0</v>
      </c>
      <c r="Y112" s="36">
        <v>0</v>
      </c>
      <c r="Z112" s="36">
        <v>0</v>
      </c>
      <c r="AA112" s="36">
        <v>0</v>
      </c>
      <c r="AB112" s="36">
        <v>0</v>
      </c>
      <c r="AC112" s="36">
        <v>0</v>
      </c>
      <c r="AD112" s="36">
        <v>0</v>
      </c>
      <c r="AE112" s="36">
        <v>0</v>
      </c>
      <c r="AF112" s="36">
        <v>0</v>
      </c>
      <c r="AG112" s="36">
        <v>0</v>
      </c>
      <c r="AH112" s="36">
        <v>0</v>
      </c>
      <c r="AI112" s="36">
        <v>0</v>
      </c>
      <c r="AJ112" s="36">
        <v>0</v>
      </c>
      <c r="AK112" s="36">
        <v>0</v>
      </c>
      <c r="AL112" s="36">
        <v>1</v>
      </c>
      <c r="AM112" s="36">
        <v>0</v>
      </c>
      <c r="AN112" s="36">
        <v>0</v>
      </c>
      <c r="AO112" s="36">
        <v>0</v>
      </c>
      <c r="AP112" s="36">
        <v>0</v>
      </c>
      <c r="AQ112" s="36">
        <v>0</v>
      </c>
      <c r="AR112" s="36">
        <v>-1</v>
      </c>
      <c r="AS112" s="36">
        <v>0</v>
      </c>
      <c r="AT112" s="36">
        <v>0</v>
      </c>
      <c r="AU112" s="36">
        <v>0</v>
      </c>
      <c r="AV112" s="36">
        <v>0</v>
      </c>
      <c r="AW112" s="36">
        <v>0</v>
      </c>
      <c r="AX112" s="36">
        <v>0</v>
      </c>
      <c r="AY112" s="36">
        <v>0</v>
      </c>
      <c r="AZ112" s="36">
        <v>0</v>
      </c>
      <c r="BA112" s="36">
        <v>0</v>
      </c>
      <c r="BB112" s="36">
        <v>0</v>
      </c>
      <c r="BC112" s="36">
        <v>0</v>
      </c>
      <c r="BD112" s="36">
        <v>0</v>
      </c>
      <c r="BE112" s="36">
        <v>0</v>
      </c>
      <c r="BF112" s="36">
        <v>0</v>
      </c>
      <c r="BG112" s="36">
        <v>0</v>
      </c>
      <c r="BH112" s="36">
        <v>0</v>
      </c>
      <c r="BI112" s="36">
        <v>0</v>
      </c>
      <c r="BJ112" s="36">
        <v>0</v>
      </c>
      <c r="BK112" s="36">
        <v>0</v>
      </c>
      <c r="BL112" s="36">
        <v>0</v>
      </c>
      <c r="BM112" s="36">
        <v>0</v>
      </c>
      <c r="BN112" s="36">
        <v>0</v>
      </c>
      <c r="BO112" s="36">
        <v>0</v>
      </c>
      <c r="BP112" s="36">
        <v>0</v>
      </c>
      <c r="BQ112" s="36">
        <v>0</v>
      </c>
      <c r="BR112" s="36">
        <v>0</v>
      </c>
      <c r="BS112" s="36">
        <v>0</v>
      </c>
      <c r="BT112" s="36">
        <v>0</v>
      </c>
      <c r="BU112" s="36">
        <v>0</v>
      </c>
      <c r="BV112" s="36">
        <v>0</v>
      </c>
      <c r="BW112" s="36">
        <v>0</v>
      </c>
      <c r="BX112" s="36">
        <v>0</v>
      </c>
      <c r="BY112" s="36">
        <v>0</v>
      </c>
      <c r="BZ112" s="36">
        <v>0</v>
      </c>
      <c r="CA112" s="36">
        <v>0</v>
      </c>
      <c r="CB112" s="36">
        <v>0</v>
      </c>
      <c r="CC112" s="36">
        <v>0</v>
      </c>
      <c r="CD112" s="36">
        <v>0</v>
      </c>
      <c r="CE112" s="36">
        <v>0</v>
      </c>
      <c r="CF112" s="36">
        <v>0</v>
      </c>
      <c r="CG112" s="36">
        <v>0</v>
      </c>
      <c r="CH112" s="36">
        <v>0</v>
      </c>
      <c r="CI112" s="36">
        <v>0</v>
      </c>
      <c r="CJ112" s="36">
        <v>0</v>
      </c>
      <c r="CK112" s="36">
        <v>0</v>
      </c>
      <c r="CL112" s="36">
        <v>1</v>
      </c>
      <c r="CM112" s="36">
        <v>0</v>
      </c>
      <c r="CN112" s="36">
        <v>0</v>
      </c>
      <c r="CO112" s="36">
        <v>0</v>
      </c>
      <c r="CP112" s="36">
        <v>-1</v>
      </c>
      <c r="CQ112" s="36">
        <v>0</v>
      </c>
      <c r="CR112" s="36">
        <v>0</v>
      </c>
      <c r="CS112" s="36">
        <v>0</v>
      </c>
      <c r="CT112" s="36">
        <v>0</v>
      </c>
      <c r="CU112" s="36">
        <v>0</v>
      </c>
      <c r="CV112" s="36">
        <v>0</v>
      </c>
      <c r="CW112" s="36">
        <v>0</v>
      </c>
      <c r="CX112" s="36">
        <v>0</v>
      </c>
      <c r="CY112" s="36">
        <v>0</v>
      </c>
      <c r="CZ112" s="36">
        <v>0</v>
      </c>
      <c r="DA112" s="36">
        <v>0</v>
      </c>
      <c r="DB112" s="36">
        <v>0</v>
      </c>
      <c r="DC112" s="36">
        <v>0</v>
      </c>
      <c r="DD112" s="36">
        <v>0</v>
      </c>
      <c r="DE112" s="36">
        <v>0</v>
      </c>
      <c r="DF112" s="36">
        <v>0</v>
      </c>
      <c r="DG112" s="36">
        <v>0</v>
      </c>
      <c r="DH112" s="36">
        <v>0</v>
      </c>
      <c r="DI112" s="36">
        <v>0</v>
      </c>
      <c r="DJ112" s="36">
        <v>0</v>
      </c>
      <c r="DK112" s="36">
        <v>0</v>
      </c>
      <c r="DL112" s="36">
        <v>0</v>
      </c>
      <c r="DM112" s="36">
        <v>0</v>
      </c>
      <c r="DN112" s="36">
        <v>0</v>
      </c>
      <c r="DO112" s="36">
        <v>1</v>
      </c>
      <c r="DP112" s="36">
        <v>-1</v>
      </c>
      <c r="DQ112" s="36">
        <v>0</v>
      </c>
      <c r="DR112" s="36">
        <v>0</v>
      </c>
      <c r="DS112" s="36">
        <v>0</v>
      </c>
      <c r="DT112" s="36">
        <v>0</v>
      </c>
      <c r="DU112" s="36">
        <v>0</v>
      </c>
      <c r="DV112" s="36">
        <v>0</v>
      </c>
      <c r="DW112" s="36">
        <v>0</v>
      </c>
      <c r="DX112" s="36">
        <v>1</v>
      </c>
      <c r="DY112" s="36">
        <v>0</v>
      </c>
      <c r="DZ112" s="36">
        <v>0</v>
      </c>
      <c r="EA112" s="36">
        <v>0</v>
      </c>
      <c r="EB112" s="36">
        <v>0</v>
      </c>
      <c r="EC112" s="36">
        <v>0</v>
      </c>
      <c r="ED112" s="36">
        <v>0</v>
      </c>
      <c r="EE112" s="36">
        <v>0</v>
      </c>
      <c r="EF112" s="36">
        <v>0</v>
      </c>
      <c r="EG112" s="36">
        <v>0</v>
      </c>
      <c r="EH112" s="36">
        <v>0</v>
      </c>
      <c r="EI112" s="36">
        <v>0</v>
      </c>
      <c r="EJ112" s="36">
        <v>0</v>
      </c>
      <c r="EK112" s="36">
        <v>0</v>
      </c>
      <c r="EL112" s="36">
        <v>0</v>
      </c>
      <c r="EM112" s="36">
        <v>0</v>
      </c>
      <c r="EN112" s="36">
        <v>0</v>
      </c>
      <c r="EO112" s="36">
        <v>0</v>
      </c>
      <c r="EP112" s="36">
        <v>0</v>
      </c>
      <c r="ET112" t="s">
        <v>315</v>
      </c>
      <c r="EU112" t="s">
        <v>789</v>
      </c>
      <c r="EV112" s="36">
        <v>0</v>
      </c>
      <c r="EW112" s="36">
        <v>0</v>
      </c>
      <c r="EX112" s="36">
        <v>0</v>
      </c>
      <c r="EY112" s="36">
        <v>2</v>
      </c>
      <c r="EZ112" s="36">
        <v>0</v>
      </c>
      <c r="FA112" s="36">
        <v>0</v>
      </c>
      <c r="FB112" s="36">
        <v>0</v>
      </c>
      <c r="FC112" s="42">
        <f t="shared" si="39"/>
        <v>-6</v>
      </c>
      <c r="FE112">
        <f t="shared" si="40"/>
        <v>10</v>
      </c>
      <c r="FF112">
        <f t="shared" si="41"/>
        <v>-6</v>
      </c>
      <c r="FG112">
        <f t="shared" si="42"/>
        <v>0</v>
      </c>
      <c r="FM112" s="43">
        <f t="shared" si="14"/>
        <v>0</v>
      </c>
      <c r="FN112" s="43">
        <f t="shared" si="14"/>
        <v>0</v>
      </c>
      <c r="FO112" s="43">
        <f t="shared" si="14"/>
        <v>0</v>
      </c>
      <c r="FP112" s="43">
        <f t="shared" si="13"/>
        <v>0</v>
      </c>
      <c r="FQ112" s="43">
        <f t="shared" si="13"/>
        <v>0</v>
      </c>
      <c r="FR112" s="43">
        <f t="shared" si="13"/>
        <v>0</v>
      </c>
      <c r="FS112" s="43">
        <f t="shared" si="13"/>
        <v>0</v>
      </c>
      <c r="FV112" t="s">
        <v>790</v>
      </c>
      <c r="FW112" t="s">
        <v>791</v>
      </c>
    </row>
    <row r="113" spans="1:179" ht="19.5" customHeight="1" x14ac:dyDescent="0.35">
      <c r="A113" t="s">
        <v>792</v>
      </c>
      <c r="B113" s="36">
        <v>0</v>
      </c>
      <c r="C113" s="36">
        <v>0</v>
      </c>
      <c r="D113" s="36">
        <v>0</v>
      </c>
      <c r="E113" s="36">
        <v>0</v>
      </c>
      <c r="F113" s="36">
        <v>0</v>
      </c>
      <c r="G113" s="36">
        <v>0</v>
      </c>
      <c r="H113" s="36">
        <v>0</v>
      </c>
      <c r="I113" s="36">
        <v>0</v>
      </c>
      <c r="J113" s="36">
        <v>0</v>
      </c>
      <c r="K113" s="36">
        <v>0</v>
      </c>
      <c r="L113" s="36">
        <v>0</v>
      </c>
      <c r="M113" s="36">
        <v>0</v>
      </c>
      <c r="N113" s="36">
        <v>0</v>
      </c>
      <c r="O113" s="36">
        <v>0</v>
      </c>
      <c r="P113" s="36">
        <v>0</v>
      </c>
      <c r="Q113" s="36">
        <v>0</v>
      </c>
      <c r="R113" s="36">
        <v>0</v>
      </c>
      <c r="S113" s="36">
        <v>0</v>
      </c>
      <c r="T113" s="36">
        <v>0</v>
      </c>
      <c r="U113" s="36">
        <v>0</v>
      </c>
      <c r="V113" s="36">
        <v>0</v>
      </c>
      <c r="W113" s="36">
        <v>0</v>
      </c>
      <c r="X113" s="36">
        <v>0</v>
      </c>
      <c r="Y113" s="36">
        <v>0</v>
      </c>
      <c r="Z113" s="36">
        <v>0</v>
      </c>
      <c r="AA113" s="36">
        <v>0</v>
      </c>
      <c r="AB113" s="36">
        <v>0</v>
      </c>
      <c r="AC113" s="36">
        <v>0</v>
      </c>
      <c r="AD113" s="36">
        <v>0</v>
      </c>
      <c r="AE113" s="36">
        <v>0</v>
      </c>
      <c r="AF113" s="36">
        <v>0</v>
      </c>
      <c r="AG113" s="36">
        <v>0</v>
      </c>
      <c r="AH113" s="36">
        <v>0</v>
      </c>
      <c r="AI113" s="36">
        <v>0</v>
      </c>
      <c r="AJ113" s="36">
        <v>0</v>
      </c>
      <c r="AK113" s="36">
        <v>0</v>
      </c>
      <c r="AL113" s="36">
        <v>0</v>
      </c>
      <c r="AM113" s="36">
        <v>0</v>
      </c>
      <c r="AN113" s="36">
        <v>0</v>
      </c>
      <c r="AO113" s="36">
        <v>0</v>
      </c>
      <c r="AP113" s="36">
        <v>0</v>
      </c>
      <c r="AQ113" s="36">
        <v>0</v>
      </c>
      <c r="AR113" s="36">
        <v>0</v>
      </c>
      <c r="AS113" s="36">
        <v>0</v>
      </c>
      <c r="AT113" s="36">
        <v>0</v>
      </c>
      <c r="AU113" s="36">
        <v>0</v>
      </c>
      <c r="AV113" s="36">
        <v>0</v>
      </c>
      <c r="AW113" s="36">
        <v>0</v>
      </c>
      <c r="AX113" s="36">
        <v>0</v>
      </c>
      <c r="AY113" s="36">
        <v>0</v>
      </c>
      <c r="AZ113" s="36">
        <v>0</v>
      </c>
      <c r="BA113" s="36">
        <v>0</v>
      </c>
      <c r="BB113" s="36">
        <v>0</v>
      </c>
      <c r="BC113" s="36">
        <v>0</v>
      </c>
      <c r="BD113" s="36">
        <v>0</v>
      </c>
      <c r="BE113" s="36">
        <v>0</v>
      </c>
      <c r="BF113" s="36">
        <v>0</v>
      </c>
      <c r="BG113" s="36">
        <v>0</v>
      </c>
      <c r="BH113" s="36">
        <v>0</v>
      </c>
      <c r="BI113" s="36">
        <v>0</v>
      </c>
      <c r="BJ113" s="36">
        <v>0</v>
      </c>
      <c r="BK113" s="36">
        <v>0</v>
      </c>
      <c r="BL113" s="36">
        <v>0</v>
      </c>
      <c r="BM113" s="36">
        <v>0</v>
      </c>
      <c r="BN113" s="36">
        <v>0</v>
      </c>
      <c r="BO113" s="36">
        <v>0</v>
      </c>
      <c r="BP113" s="36">
        <v>0</v>
      </c>
      <c r="BQ113" s="36">
        <v>0</v>
      </c>
      <c r="BR113" s="36">
        <v>0</v>
      </c>
      <c r="BS113" s="36">
        <v>0</v>
      </c>
      <c r="BT113" s="36">
        <v>0</v>
      </c>
      <c r="BU113" s="36">
        <v>0</v>
      </c>
      <c r="BV113" s="36">
        <v>0</v>
      </c>
      <c r="BW113" s="36">
        <v>0</v>
      </c>
      <c r="BX113" s="36">
        <v>0</v>
      </c>
      <c r="BY113" s="36">
        <v>0</v>
      </c>
      <c r="BZ113" s="36">
        <v>0</v>
      </c>
      <c r="CA113" s="36">
        <v>0</v>
      </c>
      <c r="CB113" s="36">
        <v>0</v>
      </c>
      <c r="CC113" s="36">
        <v>0</v>
      </c>
      <c r="CD113" s="36">
        <v>0</v>
      </c>
      <c r="CE113" s="36">
        <v>0</v>
      </c>
      <c r="CF113" s="36">
        <v>0</v>
      </c>
      <c r="CG113" s="36">
        <v>0</v>
      </c>
      <c r="CH113" s="36">
        <v>0</v>
      </c>
      <c r="CI113" s="36">
        <v>0</v>
      </c>
      <c r="CJ113" s="36">
        <v>0</v>
      </c>
      <c r="CK113" s="36">
        <v>0</v>
      </c>
      <c r="CL113" s="36">
        <v>0</v>
      </c>
      <c r="CM113" s="36">
        <v>0</v>
      </c>
      <c r="CN113" s="36">
        <v>0</v>
      </c>
      <c r="CO113" s="36">
        <v>0</v>
      </c>
      <c r="CP113" s="36">
        <v>0</v>
      </c>
      <c r="CQ113" s="36">
        <v>0</v>
      </c>
      <c r="CR113" s="36">
        <v>0</v>
      </c>
      <c r="CS113" s="36">
        <v>0</v>
      </c>
      <c r="CT113" s="36">
        <v>0</v>
      </c>
      <c r="CU113" s="36">
        <v>0</v>
      </c>
      <c r="CV113" s="36">
        <v>0</v>
      </c>
      <c r="CW113" s="36">
        <v>0</v>
      </c>
      <c r="CX113" s="36">
        <v>0</v>
      </c>
      <c r="CY113" s="36">
        <v>0</v>
      </c>
      <c r="CZ113" s="36">
        <v>0</v>
      </c>
      <c r="DA113" s="36">
        <v>0</v>
      </c>
      <c r="DB113" s="36">
        <v>0</v>
      </c>
      <c r="DC113" s="36">
        <v>0</v>
      </c>
      <c r="DD113" s="36">
        <v>0</v>
      </c>
      <c r="DE113" s="36">
        <v>0</v>
      </c>
      <c r="DF113" s="36">
        <v>0</v>
      </c>
      <c r="DG113" s="36">
        <v>0</v>
      </c>
      <c r="DH113" s="36">
        <v>0</v>
      </c>
      <c r="DI113" s="36">
        <v>1</v>
      </c>
      <c r="DJ113" s="36">
        <v>-1</v>
      </c>
      <c r="DK113" s="36">
        <v>0</v>
      </c>
      <c r="DL113" s="36">
        <v>0</v>
      </c>
      <c r="DM113" s="36">
        <v>0</v>
      </c>
      <c r="DN113" s="36">
        <v>0</v>
      </c>
      <c r="DO113" s="36">
        <v>0</v>
      </c>
      <c r="DP113" s="36">
        <v>0</v>
      </c>
      <c r="DQ113" s="36">
        <v>0</v>
      </c>
      <c r="DR113" s="36">
        <v>0</v>
      </c>
      <c r="DS113" s="36">
        <v>0</v>
      </c>
      <c r="DT113" s="36">
        <v>0</v>
      </c>
      <c r="DU113" s="36">
        <v>0</v>
      </c>
      <c r="DV113" s="36">
        <v>0</v>
      </c>
      <c r="DW113" s="36">
        <v>0</v>
      </c>
      <c r="DX113" s="36">
        <v>0</v>
      </c>
      <c r="DY113" s="36">
        <v>0</v>
      </c>
      <c r="DZ113" s="36">
        <v>0</v>
      </c>
      <c r="EA113" s="36">
        <v>0</v>
      </c>
      <c r="EB113" s="36">
        <v>0</v>
      </c>
      <c r="EC113" s="36">
        <v>0</v>
      </c>
      <c r="ED113" s="36">
        <v>0</v>
      </c>
      <c r="EE113" s="36">
        <v>0</v>
      </c>
      <c r="EF113" s="36">
        <v>0</v>
      </c>
      <c r="EG113" s="36">
        <v>0</v>
      </c>
      <c r="EH113" s="36">
        <v>0</v>
      </c>
      <c r="EI113" s="36">
        <v>0</v>
      </c>
      <c r="EJ113" s="36">
        <v>0</v>
      </c>
      <c r="EK113" s="36">
        <v>0</v>
      </c>
      <c r="EL113" s="36">
        <v>0</v>
      </c>
      <c r="EM113" s="36">
        <v>0</v>
      </c>
      <c r="EN113" s="36">
        <v>0</v>
      </c>
      <c r="EO113" s="36">
        <v>0</v>
      </c>
      <c r="EP113" s="36">
        <v>0</v>
      </c>
      <c r="ET113" t="s">
        <v>316</v>
      </c>
      <c r="EU113" t="s">
        <v>789</v>
      </c>
      <c r="EV113" s="36">
        <v>0</v>
      </c>
      <c r="EW113" s="36">
        <v>0</v>
      </c>
      <c r="EX113" s="36">
        <v>0</v>
      </c>
      <c r="EY113" s="36">
        <v>2</v>
      </c>
      <c r="EZ113" s="36">
        <v>0</v>
      </c>
      <c r="FA113" s="36">
        <v>0</v>
      </c>
      <c r="FB113" s="36">
        <v>0</v>
      </c>
      <c r="FC113" s="42">
        <f t="shared" si="39"/>
        <v>-6</v>
      </c>
      <c r="FE113">
        <f t="shared" si="40"/>
        <v>10</v>
      </c>
      <c r="FF113">
        <f t="shared" si="41"/>
        <v>-6</v>
      </c>
      <c r="FG113">
        <f t="shared" si="42"/>
        <v>0</v>
      </c>
      <c r="FM113" s="43">
        <f t="shared" si="14"/>
        <v>0</v>
      </c>
      <c r="FN113" s="43">
        <f t="shared" si="14"/>
        <v>0</v>
      </c>
      <c r="FO113" s="43">
        <f t="shared" si="14"/>
        <v>0</v>
      </c>
      <c r="FP113" s="43">
        <f t="shared" si="13"/>
        <v>0</v>
      </c>
      <c r="FQ113" s="43">
        <f t="shared" si="13"/>
        <v>0</v>
      </c>
      <c r="FR113" s="43">
        <f t="shared" si="13"/>
        <v>0</v>
      </c>
      <c r="FS113" s="43">
        <f t="shared" si="13"/>
        <v>0</v>
      </c>
      <c r="FV113" t="s">
        <v>793</v>
      </c>
      <c r="FW113" t="s">
        <v>794</v>
      </c>
    </row>
    <row r="114" spans="1:179" ht="19.5" customHeight="1" x14ac:dyDescent="0.35">
      <c r="A114" t="s">
        <v>795</v>
      </c>
      <c r="B114" s="36">
        <v>0</v>
      </c>
      <c r="C114" s="36">
        <v>0</v>
      </c>
      <c r="D114" s="36">
        <v>0</v>
      </c>
      <c r="E114" s="36">
        <v>0</v>
      </c>
      <c r="F114" s="36">
        <v>0</v>
      </c>
      <c r="G114" s="36">
        <v>0</v>
      </c>
      <c r="H114" s="36">
        <v>0</v>
      </c>
      <c r="I114" s="36">
        <v>0</v>
      </c>
      <c r="J114" s="36">
        <v>0</v>
      </c>
      <c r="K114" s="36">
        <v>0</v>
      </c>
      <c r="L114" s="36">
        <v>0</v>
      </c>
      <c r="M114" s="36">
        <v>0</v>
      </c>
      <c r="N114" s="36">
        <v>0</v>
      </c>
      <c r="O114" s="36">
        <v>0</v>
      </c>
      <c r="P114" s="36">
        <v>0</v>
      </c>
      <c r="Q114" s="36">
        <v>0</v>
      </c>
      <c r="R114" s="36">
        <v>0</v>
      </c>
      <c r="S114" s="36">
        <v>0</v>
      </c>
      <c r="T114" s="36">
        <v>0</v>
      </c>
      <c r="U114" s="36">
        <v>0</v>
      </c>
      <c r="V114" s="36">
        <v>0</v>
      </c>
      <c r="W114" s="36">
        <v>0</v>
      </c>
      <c r="X114" s="36">
        <v>0</v>
      </c>
      <c r="Y114" s="36">
        <v>0</v>
      </c>
      <c r="Z114" s="36">
        <v>0</v>
      </c>
      <c r="AA114" s="36">
        <v>0</v>
      </c>
      <c r="AB114" s="36">
        <v>0</v>
      </c>
      <c r="AC114" s="36">
        <v>0</v>
      </c>
      <c r="AD114" s="36">
        <v>0</v>
      </c>
      <c r="AE114" s="36">
        <v>0</v>
      </c>
      <c r="AF114" s="36">
        <v>0</v>
      </c>
      <c r="AG114" s="36">
        <v>0</v>
      </c>
      <c r="AH114" s="36">
        <v>0</v>
      </c>
      <c r="AI114" s="36">
        <v>0</v>
      </c>
      <c r="AJ114" s="36">
        <v>0</v>
      </c>
      <c r="AK114" s="36">
        <v>0</v>
      </c>
      <c r="AL114" s="36">
        <v>0</v>
      </c>
      <c r="AM114" s="36">
        <v>0</v>
      </c>
      <c r="AN114" s="36">
        <v>0</v>
      </c>
      <c r="AO114" s="36">
        <v>1</v>
      </c>
      <c r="AP114" s="36">
        <v>-1</v>
      </c>
      <c r="AQ114" s="36">
        <v>0</v>
      </c>
      <c r="AR114" s="36">
        <v>0</v>
      </c>
      <c r="AS114" s="36">
        <v>0</v>
      </c>
      <c r="AT114" s="36">
        <v>0</v>
      </c>
      <c r="AU114" s="36">
        <v>0</v>
      </c>
      <c r="AV114" s="36">
        <v>0</v>
      </c>
      <c r="AW114" s="36">
        <v>0</v>
      </c>
      <c r="AX114" s="36">
        <v>0</v>
      </c>
      <c r="AY114" s="36">
        <v>0</v>
      </c>
      <c r="AZ114" s="36">
        <v>0</v>
      </c>
      <c r="BA114" s="36">
        <v>0</v>
      </c>
      <c r="BB114" s="36">
        <v>0</v>
      </c>
      <c r="BC114" s="36">
        <v>0</v>
      </c>
      <c r="BD114" s="36">
        <v>0</v>
      </c>
      <c r="BE114" s="36">
        <v>0</v>
      </c>
      <c r="BF114" s="36">
        <v>0</v>
      </c>
      <c r="BG114" s="36">
        <v>0</v>
      </c>
      <c r="BH114" s="36">
        <v>0</v>
      </c>
      <c r="BI114" s="36">
        <v>0</v>
      </c>
      <c r="BJ114" s="36">
        <v>0</v>
      </c>
      <c r="BK114" s="36">
        <v>0</v>
      </c>
      <c r="BL114" s="36">
        <v>0</v>
      </c>
      <c r="BM114" s="36">
        <v>0</v>
      </c>
      <c r="BN114" s="36">
        <v>0</v>
      </c>
      <c r="BO114" s="36">
        <v>0</v>
      </c>
      <c r="BP114" s="36">
        <v>0</v>
      </c>
      <c r="BQ114" s="36">
        <v>0</v>
      </c>
      <c r="BR114" s="36">
        <v>0</v>
      </c>
      <c r="BS114" s="36">
        <v>0</v>
      </c>
      <c r="BT114" s="36">
        <v>0</v>
      </c>
      <c r="BU114" s="36">
        <v>0</v>
      </c>
      <c r="BV114" s="36">
        <v>0</v>
      </c>
      <c r="BW114" s="36">
        <v>0</v>
      </c>
      <c r="BX114" s="36">
        <v>0</v>
      </c>
      <c r="BY114" s="36">
        <v>0</v>
      </c>
      <c r="BZ114" s="36">
        <v>0</v>
      </c>
      <c r="CA114" s="36">
        <v>0</v>
      </c>
      <c r="CB114" s="36">
        <v>0</v>
      </c>
      <c r="CC114" s="36">
        <v>0</v>
      </c>
      <c r="CD114" s="36">
        <v>0</v>
      </c>
      <c r="CE114" s="36">
        <v>0</v>
      </c>
      <c r="CF114" s="36">
        <v>0</v>
      </c>
      <c r="CG114" s="36">
        <v>0</v>
      </c>
      <c r="CH114" s="36">
        <v>0</v>
      </c>
      <c r="CI114" s="36">
        <v>0</v>
      </c>
      <c r="CJ114" s="36">
        <v>0</v>
      </c>
      <c r="CK114" s="36">
        <v>0</v>
      </c>
      <c r="CL114" s="36">
        <v>0</v>
      </c>
      <c r="CM114" s="36">
        <v>0</v>
      </c>
      <c r="CN114" s="36">
        <v>0</v>
      </c>
      <c r="CO114" s="36">
        <v>0</v>
      </c>
      <c r="CP114" s="36">
        <v>0</v>
      </c>
      <c r="CQ114" s="36">
        <v>0</v>
      </c>
      <c r="CR114" s="36">
        <v>0</v>
      </c>
      <c r="CS114" s="36">
        <v>0</v>
      </c>
      <c r="CT114" s="36">
        <v>0</v>
      </c>
      <c r="CU114" s="36">
        <v>0</v>
      </c>
      <c r="CV114" s="36">
        <v>0</v>
      </c>
      <c r="CW114" s="36">
        <v>0</v>
      </c>
      <c r="CX114" s="36">
        <v>0</v>
      </c>
      <c r="CY114" s="36">
        <v>0</v>
      </c>
      <c r="CZ114" s="36">
        <v>0</v>
      </c>
      <c r="DA114" s="36">
        <v>0</v>
      </c>
      <c r="DB114" s="36">
        <v>0</v>
      </c>
      <c r="DC114" s="36">
        <v>0</v>
      </c>
      <c r="DD114" s="36">
        <v>0</v>
      </c>
      <c r="DE114" s="36">
        <v>0</v>
      </c>
      <c r="DF114" s="36">
        <v>0</v>
      </c>
      <c r="DG114" s="36">
        <v>0</v>
      </c>
      <c r="DH114" s="36">
        <v>0</v>
      </c>
      <c r="DI114" s="36">
        <v>0</v>
      </c>
      <c r="DJ114" s="36">
        <v>0</v>
      </c>
      <c r="DK114" s="36">
        <v>0</v>
      </c>
      <c r="DL114" s="36">
        <v>0</v>
      </c>
      <c r="DM114" s="36">
        <v>0</v>
      </c>
      <c r="DN114" s="36">
        <v>0</v>
      </c>
      <c r="DO114" s="36">
        <v>0</v>
      </c>
      <c r="DP114" s="36">
        <v>0</v>
      </c>
      <c r="DQ114" s="36">
        <v>0</v>
      </c>
      <c r="DR114" s="36">
        <v>0</v>
      </c>
      <c r="DS114" s="36">
        <v>0</v>
      </c>
      <c r="DT114" s="36">
        <v>0</v>
      </c>
      <c r="DU114" s="36">
        <v>0</v>
      </c>
      <c r="DV114" s="36">
        <v>0</v>
      </c>
      <c r="DW114" s="36">
        <v>0</v>
      </c>
      <c r="DX114" s="36">
        <v>0</v>
      </c>
      <c r="DY114" s="36">
        <v>0</v>
      </c>
      <c r="DZ114" s="36">
        <v>0</v>
      </c>
      <c r="EA114" s="36">
        <v>0</v>
      </c>
      <c r="EB114" s="36">
        <v>0</v>
      </c>
      <c r="EC114" s="36">
        <v>0</v>
      </c>
      <c r="ED114" s="36">
        <v>0</v>
      </c>
      <c r="EE114" s="36">
        <v>0</v>
      </c>
      <c r="EF114" s="36">
        <v>0</v>
      </c>
      <c r="EG114" s="36">
        <v>0</v>
      </c>
      <c r="EH114" s="36">
        <v>0</v>
      </c>
      <c r="EI114" s="36">
        <v>0</v>
      </c>
      <c r="EJ114" s="36">
        <v>0</v>
      </c>
      <c r="EK114" s="36">
        <v>0</v>
      </c>
      <c r="EL114" s="36">
        <v>0</v>
      </c>
      <c r="EM114" s="36">
        <v>0</v>
      </c>
      <c r="EN114" s="36">
        <v>0</v>
      </c>
      <c r="EO114" s="36">
        <v>0</v>
      </c>
      <c r="EP114" s="36">
        <v>0</v>
      </c>
      <c r="ET114" t="s">
        <v>133</v>
      </c>
      <c r="EU114" s="4" t="s">
        <v>140</v>
      </c>
      <c r="EV114" s="36">
        <v>-1</v>
      </c>
      <c r="EW114" s="36">
        <v>21</v>
      </c>
      <c r="EX114" s="36">
        <v>26</v>
      </c>
      <c r="EY114" s="36">
        <v>7</v>
      </c>
      <c r="EZ114" s="36">
        <v>14</v>
      </c>
      <c r="FA114" s="36">
        <v>2</v>
      </c>
      <c r="FB114" s="36">
        <v>0</v>
      </c>
      <c r="FC114" s="42">
        <f t="shared" si="39"/>
        <v>72</v>
      </c>
      <c r="FE114">
        <f t="shared" si="30"/>
        <v>6.0952380952380949</v>
      </c>
      <c r="FF114">
        <f t="shared" si="31"/>
        <v>3.4285714285714284</v>
      </c>
      <c r="FG114">
        <f t="shared" si="32"/>
        <v>4.4285714285714288</v>
      </c>
      <c r="FM114" s="43">
        <f t="shared" si="14"/>
        <v>0</v>
      </c>
      <c r="FN114" s="43">
        <f t="shared" si="14"/>
        <v>0</v>
      </c>
      <c r="FO114" s="43">
        <f t="shared" si="14"/>
        <v>0</v>
      </c>
      <c r="FP114" s="43">
        <f t="shared" si="13"/>
        <v>0</v>
      </c>
      <c r="FQ114" s="43">
        <f t="shared" si="13"/>
        <v>0</v>
      </c>
      <c r="FR114" s="43">
        <f t="shared" si="13"/>
        <v>0</v>
      </c>
      <c r="FS114" s="43">
        <f t="shared" si="13"/>
        <v>0</v>
      </c>
      <c r="FV114" t="s">
        <v>796</v>
      </c>
      <c r="FW114" t="s">
        <v>797</v>
      </c>
    </row>
    <row r="115" spans="1:179" ht="19.5" customHeight="1" x14ac:dyDescent="0.25">
      <c r="A115" t="s">
        <v>798</v>
      </c>
      <c r="B115" s="36">
        <v>0</v>
      </c>
      <c r="C115" s="36">
        <v>0</v>
      </c>
      <c r="D115" s="36">
        <v>0</v>
      </c>
      <c r="E115" s="36">
        <v>0</v>
      </c>
      <c r="F115" s="36">
        <v>0</v>
      </c>
      <c r="G115" s="36">
        <v>0</v>
      </c>
      <c r="H115" s="36">
        <v>0</v>
      </c>
      <c r="I115" s="36">
        <v>0</v>
      </c>
      <c r="J115" s="36">
        <v>0</v>
      </c>
      <c r="K115" s="36">
        <v>0</v>
      </c>
      <c r="L115" s="36">
        <v>0</v>
      </c>
      <c r="M115" s="36">
        <v>0</v>
      </c>
      <c r="N115" s="36">
        <v>0</v>
      </c>
      <c r="O115" s="36">
        <v>0</v>
      </c>
      <c r="P115" s="36">
        <v>0</v>
      </c>
      <c r="Q115" s="36">
        <v>0</v>
      </c>
      <c r="R115" s="36">
        <v>0</v>
      </c>
      <c r="S115" s="36">
        <v>0</v>
      </c>
      <c r="T115" s="36">
        <v>0</v>
      </c>
      <c r="U115" s="36">
        <v>0</v>
      </c>
      <c r="V115" s="36">
        <v>0</v>
      </c>
      <c r="W115" s="36">
        <v>0</v>
      </c>
      <c r="X115" s="36">
        <v>0</v>
      </c>
      <c r="Y115" s="36">
        <v>0</v>
      </c>
      <c r="Z115" s="36">
        <v>0</v>
      </c>
      <c r="AA115" s="36">
        <v>0</v>
      </c>
      <c r="AB115" s="36">
        <v>0</v>
      </c>
      <c r="AC115" s="36">
        <v>0</v>
      </c>
      <c r="AD115" s="36">
        <v>0</v>
      </c>
      <c r="AE115" s="36">
        <v>0</v>
      </c>
      <c r="AF115" s="36">
        <v>0</v>
      </c>
      <c r="AG115" s="36">
        <v>0</v>
      </c>
      <c r="AH115" s="36">
        <v>0</v>
      </c>
      <c r="AI115" s="36">
        <v>0</v>
      </c>
      <c r="AJ115" s="36">
        <v>0</v>
      </c>
      <c r="AK115" s="36">
        <v>0</v>
      </c>
      <c r="AL115" s="36">
        <v>0</v>
      </c>
      <c r="AM115" s="36">
        <v>0</v>
      </c>
      <c r="AN115" s="36">
        <v>0</v>
      </c>
      <c r="AO115" s="36">
        <v>0</v>
      </c>
      <c r="AP115" s="36">
        <v>0</v>
      </c>
      <c r="AQ115" s="36">
        <v>0</v>
      </c>
      <c r="AR115" s="36">
        <v>0</v>
      </c>
      <c r="AS115" s="36">
        <v>0</v>
      </c>
      <c r="AT115" s="36">
        <v>0</v>
      </c>
      <c r="AU115" s="36">
        <v>0</v>
      </c>
      <c r="AV115" s="36">
        <v>0</v>
      </c>
      <c r="AW115" s="36">
        <v>0</v>
      </c>
      <c r="AX115" s="36">
        <v>0</v>
      </c>
      <c r="AY115" s="36">
        <v>0</v>
      </c>
      <c r="AZ115" s="36">
        <v>0</v>
      </c>
      <c r="BA115" s="36">
        <v>0</v>
      </c>
      <c r="BB115" s="36">
        <v>0</v>
      </c>
      <c r="BC115" s="36">
        <v>0</v>
      </c>
      <c r="BD115" s="36">
        <v>0</v>
      </c>
      <c r="BE115" s="36">
        <v>0</v>
      </c>
      <c r="BF115" s="36">
        <v>0</v>
      </c>
      <c r="BG115" s="36">
        <v>0</v>
      </c>
      <c r="BH115" s="36">
        <v>0</v>
      </c>
      <c r="BI115" s="36">
        <v>0</v>
      </c>
      <c r="BJ115" s="36">
        <v>0</v>
      </c>
      <c r="BK115" s="36">
        <v>0</v>
      </c>
      <c r="BL115" s="36">
        <v>0</v>
      </c>
      <c r="BM115" s="36">
        <v>0</v>
      </c>
      <c r="BN115" s="36">
        <v>0</v>
      </c>
      <c r="BO115" s="36">
        <v>0</v>
      </c>
      <c r="BP115" s="36">
        <v>0</v>
      </c>
      <c r="BQ115" s="36">
        <v>0</v>
      </c>
      <c r="BR115" s="36">
        <v>0</v>
      </c>
      <c r="BS115" s="36">
        <v>0</v>
      </c>
      <c r="BT115" s="36">
        <v>0</v>
      </c>
      <c r="BU115" s="36">
        <v>0</v>
      </c>
      <c r="BV115" s="36">
        <v>0</v>
      </c>
      <c r="BW115" s="36">
        <v>0</v>
      </c>
      <c r="BX115" s="36">
        <v>0</v>
      </c>
      <c r="BY115" s="36">
        <v>0</v>
      </c>
      <c r="BZ115" s="36">
        <v>0</v>
      </c>
      <c r="CA115" s="36">
        <v>0</v>
      </c>
      <c r="CB115" s="36">
        <v>0</v>
      </c>
      <c r="CC115" s="36">
        <v>0</v>
      </c>
      <c r="CD115" s="36">
        <v>0</v>
      </c>
      <c r="CE115" s="36">
        <v>0</v>
      </c>
      <c r="CF115" s="36">
        <v>0</v>
      </c>
      <c r="CG115" s="36">
        <v>0</v>
      </c>
      <c r="CH115" s="36">
        <v>0</v>
      </c>
      <c r="CI115" s="36">
        <v>0</v>
      </c>
      <c r="CJ115" s="36">
        <v>0</v>
      </c>
      <c r="CK115" s="36">
        <v>1</v>
      </c>
      <c r="CL115" s="36">
        <v>-1</v>
      </c>
      <c r="CM115" s="36">
        <v>0</v>
      </c>
      <c r="CN115" s="36">
        <v>0</v>
      </c>
      <c r="CO115" s="36">
        <v>0</v>
      </c>
      <c r="CP115" s="36">
        <v>0</v>
      </c>
      <c r="CQ115" s="36">
        <v>0</v>
      </c>
      <c r="CR115" s="36">
        <v>0</v>
      </c>
      <c r="CS115" s="36">
        <v>0</v>
      </c>
      <c r="CT115" s="36">
        <v>0</v>
      </c>
      <c r="CU115" s="36">
        <v>0</v>
      </c>
      <c r="CV115" s="36">
        <v>0</v>
      </c>
      <c r="CW115" s="36">
        <v>0</v>
      </c>
      <c r="CX115" s="36">
        <v>0</v>
      </c>
      <c r="CY115" s="36">
        <v>0</v>
      </c>
      <c r="CZ115" s="36">
        <v>0</v>
      </c>
      <c r="DA115" s="36">
        <v>0</v>
      </c>
      <c r="DB115" s="36">
        <v>0</v>
      </c>
      <c r="DC115" s="36">
        <v>0</v>
      </c>
      <c r="DD115" s="36">
        <v>0</v>
      </c>
      <c r="DE115" s="36">
        <v>0</v>
      </c>
      <c r="DF115" s="36">
        <v>0</v>
      </c>
      <c r="DG115" s="36">
        <v>0</v>
      </c>
      <c r="DH115" s="36">
        <v>0</v>
      </c>
      <c r="DI115" s="36">
        <v>0</v>
      </c>
      <c r="DJ115" s="36">
        <v>0</v>
      </c>
      <c r="DK115" s="36">
        <v>0</v>
      </c>
      <c r="DL115" s="36">
        <v>0</v>
      </c>
      <c r="DM115" s="36">
        <v>0</v>
      </c>
      <c r="DN115" s="36">
        <v>0</v>
      </c>
      <c r="DO115" s="36">
        <v>0</v>
      </c>
      <c r="DP115" s="36">
        <v>0</v>
      </c>
      <c r="DQ115" s="36">
        <v>0</v>
      </c>
      <c r="DR115" s="36">
        <v>0</v>
      </c>
      <c r="DS115" s="36">
        <v>0</v>
      </c>
      <c r="DT115" s="36">
        <v>0</v>
      </c>
      <c r="DU115" s="36">
        <v>0</v>
      </c>
      <c r="DV115" s="36">
        <v>0</v>
      </c>
      <c r="DW115" s="36">
        <v>0</v>
      </c>
      <c r="DX115" s="36">
        <v>0</v>
      </c>
      <c r="DY115" s="36">
        <v>0</v>
      </c>
      <c r="DZ115" s="36">
        <v>0</v>
      </c>
      <c r="EA115" s="36">
        <v>0</v>
      </c>
      <c r="EB115" s="36">
        <v>0</v>
      </c>
      <c r="EC115" s="36">
        <v>0</v>
      </c>
      <c r="ED115" s="36">
        <v>0</v>
      </c>
      <c r="EE115" s="36">
        <v>0</v>
      </c>
      <c r="EF115" s="36">
        <v>-1</v>
      </c>
      <c r="EG115" s="36">
        <v>1</v>
      </c>
      <c r="EH115" s="36">
        <v>0</v>
      </c>
      <c r="EI115" s="36">
        <v>0</v>
      </c>
      <c r="EJ115" s="36">
        <v>0</v>
      </c>
      <c r="EK115" s="36">
        <v>0</v>
      </c>
      <c r="EL115" s="36">
        <v>0</v>
      </c>
      <c r="EM115" s="36">
        <v>0</v>
      </c>
      <c r="EN115" s="36">
        <v>0</v>
      </c>
      <c r="EO115" s="36">
        <v>0</v>
      </c>
      <c r="EP115" s="36">
        <v>0</v>
      </c>
      <c r="ET115" t="s">
        <v>166</v>
      </c>
      <c r="EU115" s="47" t="s">
        <v>799</v>
      </c>
      <c r="EV115" s="36">
        <v>-2</v>
      </c>
      <c r="EW115" s="36">
        <v>21</v>
      </c>
      <c r="EX115" s="36">
        <v>27</v>
      </c>
      <c r="EY115" s="36">
        <v>7</v>
      </c>
      <c r="EZ115" s="36">
        <v>14</v>
      </c>
      <c r="FA115" s="36">
        <v>2</v>
      </c>
      <c r="FB115" s="36">
        <v>0</v>
      </c>
      <c r="FC115" s="42">
        <f t="shared" si="39"/>
        <v>74</v>
      </c>
      <c r="FE115">
        <f t="shared" si="30"/>
        <v>6.1904761904761907</v>
      </c>
      <c r="FF115">
        <f t="shared" si="31"/>
        <v>3.5238095238095237</v>
      </c>
      <c r="FG115">
        <f t="shared" si="32"/>
        <v>4.5238095238095237</v>
      </c>
      <c r="FM115" s="43">
        <f t="shared" si="14"/>
        <v>0</v>
      </c>
      <c r="FN115" s="43">
        <f t="shared" si="14"/>
        <v>0</v>
      </c>
      <c r="FO115" s="43">
        <f t="shared" si="14"/>
        <v>0</v>
      </c>
      <c r="FP115" s="43">
        <f t="shared" si="13"/>
        <v>0</v>
      </c>
      <c r="FQ115" s="43">
        <f t="shared" si="13"/>
        <v>0</v>
      </c>
      <c r="FR115" s="43">
        <f t="shared" si="13"/>
        <v>0</v>
      </c>
      <c r="FS115" s="43">
        <f t="shared" si="13"/>
        <v>0</v>
      </c>
      <c r="FV115" t="s">
        <v>800</v>
      </c>
      <c r="FW115" t="s">
        <v>801</v>
      </c>
    </row>
    <row r="116" spans="1:179" ht="19.5" customHeight="1" x14ac:dyDescent="0.35">
      <c r="A116" t="s">
        <v>802</v>
      </c>
      <c r="B116" s="36">
        <v>0</v>
      </c>
      <c r="C116" s="36">
        <v>0</v>
      </c>
      <c r="D116" s="36">
        <v>0</v>
      </c>
      <c r="E116" s="36">
        <v>0</v>
      </c>
      <c r="F116" s="36">
        <v>0</v>
      </c>
      <c r="G116" s="36">
        <v>0</v>
      </c>
      <c r="H116" s="36">
        <v>0</v>
      </c>
      <c r="I116" s="36">
        <v>0</v>
      </c>
      <c r="J116" s="36">
        <v>0</v>
      </c>
      <c r="K116" s="36">
        <v>0</v>
      </c>
      <c r="L116" s="36">
        <v>0</v>
      </c>
      <c r="M116" s="36">
        <v>0</v>
      </c>
      <c r="N116" s="36">
        <v>0</v>
      </c>
      <c r="O116" s="36">
        <v>0</v>
      </c>
      <c r="P116" s="36">
        <v>0</v>
      </c>
      <c r="Q116" s="36">
        <v>0</v>
      </c>
      <c r="R116" s="36">
        <v>0</v>
      </c>
      <c r="S116" s="36">
        <v>0</v>
      </c>
      <c r="T116" s="36">
        <v>0</v>
      </c>
      <c r="U116" s="36">
        <v>0</v>
      </c>
      <c r="V116" s="36">
        <v>0</v>
      </c>
      <c r="W116" s="36">
        <v>0</v>
      </c>
      <c r="X116" s="36">
        <v>0</v>
      </c>
      <c r="Y116" s="36">
        <v>0</v>
      </c>
      <c r="Z116" s="36">
        <v>0</v>
      </c>
      <c r="AA116" s="36">
        <v>0</v>
      </c>
      <c r="AB116" s="36">
        <v>0</v>
      </c>
      <c r="AC116" s="36">
        <v>0</v>
      </c>
      <c r="AD116" s="36">
        <v>0</v>
      </c>
      <c r="AE116" s="36">
        <v>0</v>
      </c>
      <c r="AF116" s="36">
        <v>0</v>
      </c>
      <c r="AG116" s="36">
        <v>0</v>
      </c>
      <c r="AH116" s="36">
        <v>0</v>
      </c>
      <c r="AI116" s="36">
        <v>0</v>
      </c>
      <c r="AJ116" s="36">
        <v>0</v>
      </c>
      <c r="AK116" s="36">
        <v>0</v>
      </c>
      <c r="AL116" s="36">
        <v>0</v>
      </c>
      <c r="AM116" s="36">
        <v>0</v>
      </c>
      <c r="AN116" s="36">
        <v>0</v>
      </c>
      <c r="AO116" s="36">
        <v>0</v>
      </c>
      <c r="AP116" s="36">
        <v>0</v>
      </c>
      <c r="AQ116" s="36">
        <v>0</v>
      </c>
      <c r="AR116" s="36">
        <v>0</v>
      </c>
      <c r="AS116" s="36">
        <v>0</v>
      </c>
      <c r="AT116" s="36">
        <v>0</v>
      </c>
      <c r="AU116" s="36">
        <v>0</v>
      </c>
      <c r="AV116" s="36">
        <v>0</v>
      </c>
      <c r="AW116" s="36">
        <v>0</v>
      </c>
      <c r="AX116" s="36">
        <v>0</v>
      </c>
      <c r="AY116" s="36">
        <v>0</v>
      </c>
      <c r="AZ116" s="36">
        <v>0</v>
      </c>
      <c r="BA116" s="36">
        <v>0</v>
      </c>
      <c r="BB116" s="36">
        <v>0</v>
      </c>
      <c r="BC116" s="36">
        <v>0</v>
      </c>
      <c r="BD116" s="36">
        <v>0</v>
      </c>
      <c r="BE116" s="36">
        <v>0</v>
      </c>
      <c r="BF116" s="36">
        <v>0</v>
      </c>
      <c r="BG116" s="36">
        <v>0</v>
      </c>
      <c r="BH116" s="36">
        <v>0</v>
      </c>
      <c r="BI116" s="36">
        <v>0</v>
      </c>
      <c r="BJ116" s="36">
        <v>0</v>
      </c>
      <c r="BK116" s="36">
        <v>0</v>
      </c>
      <c r="BL116" s="36">
        <v>0</v>
      </c>
      <c r="BM116" s="36">
        <v>0</v>
      </c>
      <c r="BN116" s="36">
        <v>0</v>
      </c>
      <c r="BO116" s="36">
        <v>0</v>
      </c>
      <c r="BP116" s="36">
        <v>0</v>
      </c>
      <c r="BQ116" s="36">
        <v>0</v>
      </c>
      <c r="BR116" s="36">
        <v>0</v>
      </c>
      <c r="BS116" s="36">
        <v>0</v>
      </c>
      <c r="BT116" s="36">
        <v>0</v>
      </c>
      <c r="BU116" s="36">
        <v>0</v>
      </c>
      <c r="BV116" s="36">
        <v>-1</v>
      </c>
      <c r="BW116" s="36">
        <v>1</v>
      </c>
      <c r="BX116" s="36">
        <v>0</v>
      </c>
      <c r="BY116" s="36">
        <v>0</v>
      </c>
      <c r="BZ116" s="36">
        <v>0</v>
      </c>
      <c r="CA116" s="36">
        <v>0</v>
      </c>
      <c r="CB116" s="36">
        <v>0</v>
      </c>
      <c r="CC116" s="36">
        <v>0</v>
      </c>
      <c r="CD116" s="36">
        <v>0</v>
      </c>
      <c r="CE116" s="36">
        <v>0</v>
      </c>
      <c r="CF116" s="36">
        <v>0</v>
      </c>
      <c r="CG116" s="36">
        <v>0</v>
      </c>
      <c r="CH116" s="36">
        <v>0</v>
      </c>
      <c r="CI116" s="36">
        <v>0</v>
      </c>
      <c r="CJ116" s="36">
        <v>0</v>
      </c>
      <c r="CK116" s="36">
        <v>0</v>
      </c>
      <c r="CL116" s="36">
        <v>0</v>
      </c>
      <c r="CM116" s="36">
        <v>0</v>
      </c>
      <c r="CN116" s="36">
        <v>0</v>
      </c>
      <c r="CO116" s="36">
        <v>0</v>
      </c>
      <c r="CP116" s="36">
        <v>0</v>
      </c>
      <c r="CQ116" s="36">
        <v>0</v>
      </c>
      <c r="CR116" s="36">
        <v>0</v>
      </c>
      <c r="CS116" s="36">
        <v>0</v>
      </c>
      <c r="CT116" s="36">
        <v>0</v>
      </c>
      <c r="CU116" s="36">
        <v>0</v>
      </c>
      <c r="CV116" s="36">
        <v>0</v>
      </c>
      <c r="CW116" s="36">
        <v>0</v>
      </c>
      <c r="CX116" s="36">
        <v>0</v>
      </c>
      <c r="CY116" s="36">
        <v>0</v>
      </c>
      <c r="CZ116" s="36">
        <v>0</v>
      </c>
      <c r="DA116" s="36">
        <v>0</v>
      </c>
      <c r="DB116" s="36">
        <v>0</v>
      </c>
      <c r="DC116" s="36">
        <v>0</v>
      </c>
      <c r="DD116" s="36">
        <v>0</v>
      </c>
      <c r="DE116" s="36">
        <v>0</v>
      </c>
      <c r="DF116" s="36">
        <v>0</v>
      </c>
      <c r="DG116" s="36">
        <v>0</v>
      </c>
      <c r="DH116" s="36">
        <v>0</v>
      </c>
      <c r="DI116" s="36">
        <v>0</v>
      </c>
      <c r="DJ116" s="36">
        <v>0</v>
      </c>
      <c r="DK116" s="36">
        <v>0</v>
      </c>
      <c r="DL116" s="36">
        <v>0</v>
      </c>
      <c r="DM116" s="36">
        <v>0</v>
      </c>
      <c r="DN116" s="36">
        <v>0</v>
      </c>
      <c r="DO116" s="36">
        <v>0</v>
      </c>
      <c r="DP116" s="36">
        <v>0</v>
      </c>
      <c r="DQ116" s="36">
        <v>0</v>
      </c>
      <c r="DR116" s="36">
        <v>0</v>
      </c>
      <c r="DS116" s="36">
        <v>0</v>
      </c>
      <c r="DT116" s="36">
        <v>0</v>
      </c>
      <c r="DU116" s="36">
        <v>0</v>
      </c>
      <c r="DV116" s="36">
        <v>0</v>
      </c>
      <c r="DW116" s="36">
        <v>0</v>
      </c>
      <c r="DX116" s="36">
        <v>0</v>
      </c>
      <c r="DY116" s="36">
        <v>0</v>
      </c>
      <c r="DZ116" s="36">
        <v>0</v>
      </c>
      <c r="EA116" s="36">
        <v>0</v>
      </c>
      <c r="EB116" s="36">
        <v>0</v>
      </c>
      <c r="EC116" s="36">
        <v>0</v>
      </c>
      <c r="ED116" s="36">
        <v>0</v>
      </c>
      <c r="EE116" s="36">
        <v>0</v>
      </c>
      <c r="EF116" s="36">
        <v>0</v>
      </c>
      <c r="EG116" s="36">
        <v>0</v>
      </c>
      <c r="EH116" s="36">
        <v>0</v>
      </c>
      <c r="EI116" s="36">
        <v>0</v>
      </c>
      <c r="EJ116" s="36">
        <v>0</v>
      </c>
      <c r="EK116" s="36">
        <v>0</v>
      </c>
      <c r="EL116" s="36">
        <v>0</v>
      </c>
      <c r="EM116" s="36">
        <v>0</v>
      </c>
      <c r="EN116" s="36">
        <v>0</v>
      </c>
      <c r="EO116" s="36">
        <v>0</v>
      </c>
      <c r="EP116" s="36">
        <v>0</v>
      </c>
      <c r="ET116" t="s">
        <v>134</v>
      </c>
      <c r="EU116" t="s">
        <v>138</v>
      </c>
      <c r="EV116" s="36">
        <v>-3</v>
      </c>
      <c r="EW116" s="36">
        <v>21</v>
      </c>
      <c r="EX116" s="36">
        <v>25</v>
      </c>
      <c r="EY116" s="36">
        <v>7</v>
      </c>
      <c r="EZ116" s="36">
        <v>17</v>
      </c>
      <c r="FA116" s="36">
        <v>3</v>
      </c>
      <c r="FB116" s="36">
        <v>0</v>
      </c>
      <c r="FC116" s="42">
        <f t="shared" si="39"/>
        <v>72</v>
      </c>
      <c r="FE116">
        <f t="shared" si="30"/>
        <v>6.0952380952380949</v>
      </c>
      <c r="FF116">
        <f t="shared" si="31"/>
        <v>3.4285714285714284</v>
      </c>
      <c r="FG116">
        <f t="shared" si="32"/>
        <v>4.4285714285714288</v>
      </c>
      <c r="FM116" s="43">
        <f t="shared" si="14"/>
        <v>0</v>
      </c>
      <c r="FN116" s="43">
        <f t="shared" si="14"/>
        <v>0</v>
      </c>
      <c r="FO116" s="43">
        <f t="shared" si="14"/>
        <v>0</v>
      </c>
      <c r="FP116" s="43">
        <f t="shared" si="13"/>
        <v>0</v>
      </c>
      <c r="FQ116" s="43">
        <f t="shared" si="13"/>
        <v>0</v>
      </c>
      <c r="FR116" s="43">
        <f t="shared" si="13"/>
        <v>0</v>
      </c>
      <c r="FS116" s="43">
        <f t="shared" si="13"/>
        <v>0</v>
      </c>
      <c r="FV116" t="s">
        <v>803</v>
      </c>
      <c r="FW116" t="s">
        <v>804</v>
      </c>
    </row>
    <row r="117" spans="1:179" ht="19.5" customHeight="1" x14ac:dyDescent="0.35">
      <c r="A117" t="s">
        <v>805</v>
      </c>
      <c r="B117" s="36">
        <v>0</v>
      </c>
      <c r="C117" s="36">
        <v>0</v>
      </c>
      <c r="D117" s="36">
        <v>0</v>
      </c>
      <c r="E117" s="36">
        <v>0</v>
      </c>
      <c r="F117" s="36">
        <v>0</v>
      </c>
      <c r="G117" s="36">
        <v>0</v>
      </c>
      <c r="H117" s="36">
        <v>0</v>
      </c>
      <c r="I117" s="36">
        <v>0</v>
      </c>
      <c r="J117" s="36">
        <v>0</v>
      </c>
      <c r="K117" s="36">
        <v>0</v>
      </c>
      <c r="L117" s="36">
        <v>0</v>
      </c>
      <c r="M117" s="36">
        <v>0</v>
      </c>
      <c r="N117" s="36">
        <v>0</v>
      </c>
      <c r="O117" s="36">
        <v>0</v>
      </c>
      <c r="P117" s="36">
        <v>0</v>
      </c>
      <c r="Q117" s="36">
        <v>0</v>
      </c>
      <c r="R117" s="36">
        <v>0</v>
      </c>
      <c r="S117" s="36">
        <v>0</v>
      </c>
      <c r="T117" s="36">
        <v>0</v>
      </c>
      <c r="U117" s="36">
        <v>0</v>
      </c>
      <c r="V117" s="36">
        <v>0</v>
      </c>
      <c r="W117" s="36">
        <v>0</v>
      </c>
      <c r="X117" s="36">
        <v>0</v>
      </c>
      <c r="Y117" s="36">
        <v>0</v>
      </c>
      <c r="Z117" s="36">
        <v>0</v>
      </c>
      <c r="AA117" s="36">
        <v>0</v>
      </c>
      <c r="AB117" s="36">
        <v>0</v>
      </c>
      <c r="AC117" s="36">
        <v>-1</v>
      </c>
      <c r="AD117" s="36">
        <v>1</v>
      </c>
      <c r="AE117" s="36">
        <v>0</v>
      </c>
      <c r="AF117" s="36">
        <v>0</v>
      </c>
      <c r="AG117" s="36">
        <v>0</v>
      </c>
      <c r="AH117" s="36">
        <v>0</v>
      </c>
      <c r="AI117" s="36">
        <v>0</v>
      </c>
      <c r="AJ117" s="36">
        <v>0</v>
      </c>
      <c r="AK117" s="36">
        <v>0</v>
      </c>
      <c r="AL117" s="36">
        <v>0</v>
      </c>
      <c r="AM117" s="36">
        <v>0</v>
      </c>
      <c r="AN117" s="36">
        <v>0</v>
      </c>
      <c r="AO117" s="36">
        <v>0</v>
      </c>
      <c r="AP117" s="36">
        <v>0</v>
      </c>
      <c r="AQ117" s="36">
        <v>0</v>
      </c>
      <c r="AR117" s="36">
        <v>0</v>
      </c>
      <c r="AS117" s="36">
        <v>0</v>
      </c>
      <c r="AT117" s="36">
        <v>0</v>
      </c>
      <c r="AU117" s="36">
        <v>0</v>
      </c>
      <c r="AV117" s="36">
        <v>0</v>
      </c>
      <c r="AW117" s="36">
        <v>0</v>
      </c>
      <c r="AX117" s="36">
        <v>0</v>
      </c>
      <c r="AY117" s="36">
        <v>0</v>
      </c>
      <c r="AZ117" s="36">
        <v>0</v>
      </c>
      <c r="BA117" s="36">
        <v>0</v>
      </c>
      <c r="BB117" s="36">
        <v>0</v>
      </c>
      <c r="BC117" s="36">
        <v>0</v>
      </c>
      <c r="BD117" s="36">
        <v>0</v>
      </c>
      <c r="BE117" s="36">
        <v>0</v>
      </c>
      <c r="BF117" s="36">
        <v>0</v>
      </c>
      <c r="BG117" s="36">
        <v>0</v>
      </c>
      <c r="BH117" s="36">
        <v>0</v>
      </c>
      <c r="BI117" s="36">
        <v>0</v>
      </c>
      <c r="BJ117" s="36">
        <v>0</v>
      </c>
      <c r="BK117" s="36">
        <v>0</v>
      </c>
      <c r="BL117" s="36">
        <v>0</v>
      </c>
      <c r="BM117" s="36">
        <v>0</v>
      </c>
      <c r="BN117" s="36">
        <v>0</v>
      </c>
      <c r="BO117" s="36">
        <v>0</v>
      </c>
      <c r="BP117" s="36">
        <v>0</v>
      </c>
      <c r="BQ117" s="36">
        <v>0</v>
      </c>
      <c r="BR117" s="36">
        <v>0</v>
      </c>
      <c r="BS117" s="36">
        <v>0</v>
      </c>
      <c r="BT117" s="36">
        <v>0</v>
      </c>
      <c r="BU117" s="36">
        <v>0</v>
      </c>
      <c r="BV117" s="36">
        <v>0</v>
      </c>
      <c r="BW117" s="36">
        <v>0</v>
      </c>
      <c r="BX117" s="36">
        <v>0</v>
      </c>
      <c r="BY117" s="36">
        <v>0</v>
      </c>
      <c r="BZ117" s="36">
        <v>0</v>
      </c>
      <c r="CA117" s="36">
        <v>0</v>
      </c>
      <c r="CB117" s="36">
        <v>0</v>
      </c>
      <c r="CC117" s="36">
        <v>0</v>
      </c>
      <c r="CD117" s="36">
        <v>0</v>
      </c>
      <c r="CE117" s="36">
        <v>0</v>
      </c>
      <c r="CF117" s="36">
        <v>0</v>
      </c>
      <c r="CG117" s="36">
        <v>0</v>
      </c>
      <c r="CH117" s="36">
        <v>0</v>
      </c>
      <c r="CI117" s="36">
        <v>0</v>
      </c>
      <c r="CJ117" s="36">
        <v>0</v>
      </c>
      <c r="CK117" s="36">
        <v>1</v>
      </c>
      <c r="CL117" s="36">
        <v>-1</v>
      </c>
      <c r="CM117" s="36">
        <v>0</v>
      </c>
      <c r="CN117" s="36">
        <v>0</v>
      </c>
      <c r="CO117" s="36">
        <v>0</v>
      </c>
      <c r="CP117" s="36">
        <v>0</v>
      </c>
      <c r="CQ117" s="36">
        <v>0</v>
      </c>
      <c r="CR117" s="36">
        <v>0</v>
      </c>
      <c r="CS117" s="36">
        <v>0</v>
      </c>
      <c r="CT117" s="36">
        <v>0</v>
      </c>
      <c r="CU117" s="36">
        <v>0</v>
      </c>
      <c r="CV117" s="36">
        <v>0</v>
      </c>
      <c r="CW117" s="36">
        <v>0</v>
      </c>
      <c r="CX117" s="36">
        <v>0</v>
      </c>
      <c r="CY117" s="36">
        <v>0</v>
      </c>
      <c r="CZ117" s="36">
        <v>0</v>
      </c>
      <c r="DA117" s="36">
        <v>0</v>
      </c>
      <c r="DB117" s="36">
        <v>0</v>
      </c>
      <c r="DC117" s="36">
        <v>0</v>
      </c>
      <c r="DD117" s="36">
        <v>0</v>
      </c>
      <c r="DE117" s="36">
        <v>0</v>
      </c>
      <c r="DF117" s="36">
        <v>0</v>
      </c>
      <c r="DG117" s="36">
        <v>0</v>
      </c>
      <c r="DH117" s="36">
        <v>0</v>
      </c>
      <c r="DI117" s="36">
        <v>0</v>
      </c>
      <c r="DJ117" s="36">
        <v>0</v>
      </c>
      <c r="DK117" s="36">
        <v>0</v>
      </c>
      <c r="DL117" s="36">
        <v>0</v>
      </c>
      <c r="DM117" s="36">
        <v>0</v>
      </c>
      <c r="DN117" s="36">
        <v>0</v>
      </c>
      <c r="DO117" s="36">
        <v>0</v>
      </c>
      <c r="DP117" s="36">
        <v>0</v>
      </c>
      <c r="DQ117" s="36">
        <v>0</v>
      </c>
      <c r="DR117" s="36">
        <v>0</v>
      </c>
      <c r="DS117" s="36">
        <v>0</v>
      </c>
      <c r="DT117" s="36">
        <v>0</v>
      </c>
      <c r="DU117" s="36">
        <v>0</v>
      </c>
      <c r="DV117" s="36">
        <v>0</v>
      </c>
      <c r="DW117" s="36">
        <v>0</v>
      </c>
      <c r="DX117" s="36">
        <v>0</v>
      </c>
      <c r="DY117" s="36">
        <v>0</v>
      </c>
      <c r="DZ117" s="36">
        <v>0</v>
      </c>
      <c r="EA117" s="36">
        <v>0</v>
      </c>
      <c r="EB117" s="36">
        <v>0</v>
      </c>
      <c r="EC117" s="36">
        <v>0</v>
      </c>
      <c r="ED117" s="36">
        <v>0</v>
      </c>
      <c r="EE117" s="36">
        <v>0</v>
      </c>
      <c r="EF117" s="36">
        <v>0</v>
      </c>
      <c r="EG117" s="36">
        <v>0</v>
      </c>
      <c r="EH117" s="36">
        <v>0</v>
      </c>
      <c r="EI117" s="36">
        <v>0</v>
      </c>
      <c r="EJ117" s="36">
        <v>0</v>
      </c>
      <c r="EK117" s="36">
        <v>0</v>
      </c>
      <c r="EL117" s="36">
        <v>0</v>
      </c>
      <c r="EM117" s="36">
        <v>0</v>
      </c>
      <c r="EN117" s="36">
        <v>0</v>
      </c>
      <c r="EO117" s="36">
        <v>0</v>
      </c>
      <c r="EP117" s="36">
        <v>0</v>
      </c>
      <c r="ET117" t="s">
        <v>165</v>
      </c>
      <c r="EU117" t="s">
        <v>806</v>
      </c>
      <c r="EV117" s="36">
        <v>-4</v>
      </c>
      <c r="EW117" s="36">
        <v>21</v>
      </c>
      <c r="EX117" s="36">
        <v>26</v>
      </c>
      <c r="EY117" s="36">
        <v>7</v>
      </c>
      <c r="EZ117" s="36">
        <v>17</v>
      </c>
      <c r="FA117" s="36">
        <v>3</v>
      </c>
      <c r="FB117" s="36">
        <v>0</v>
      </c>
      <c r="FC117" s="42">
        <f t="shared" si="39"/>
        <v>74</v>
      </c>
      <c r="FE117">
        <f t="shared" si="30"/>
        <v>6.1904761904761907</v>
      </c>
      <c r="FF117">
        <f t="shared" si="31"/>
        <v>3.5238095238095237</v>
      </c>
      <c r="FG117">
        <f t="shared" si="32"/>
        <v>4.5238095238095237</v>
      </c>
      <c r="FM117" s="43">
        <f t="shared" si="14"/>
        <v>0</v>
      </c>
      <c r="FN117" s="43">
        <f t="shared" si="14"/>
        <v>0</v>
      </c>
      <c r="FO117" s="43">
        <f t="shared" si="14"/>
        <v>0</v>
      </c>
      <c r="FP117" s="43">
        <f t="shared" si="13"/>
        <v>0</v>
      </c>
      <c r="FQ117" s="43">
        <f t="shared" si="13"/>
        <v>0</v>
      </c>
      <c r="FR117" s="43">
        <f t="shared" si="13"/>
        <v>0</v>
      </c>
      <c r="FS117" s="43">
        <f t="shared" ref="FS117:FS130" si="43">MMULT($C117:$EP117,FC$2:FC$145)</f>
        <v>0</v>
      </c>
      <c r="FV117" t="s">
        <v>807</v>
      </c>
      <c r="FW117" t="s">
        <v>808</v>
      </c>
    </row>
    <row r="118" spans="1:179" ht="19.5" customHeight="1" x14ac:dyDescent="0.35">
      <c r="A118" t="s">
        <v>809</v>
      </c>
      <c r="B118" s="36">
        <v>0</v>
      </c>
      <c r="C118" s="36">
        <v>0</v>
      </c>
      <c r="D118" s="36">
        <v>0</v>
      </c>
      <c r="E118" s="36">
        <v>0</v>
      </c>
      <c r="F118" s="36">
        <v>0</v>
      </c>
      <c r="G118" s="36">
        <v>0</v>
      </c>
      <c r="H118" s="36">
        <v>-1</v>
      </c>
      <c r="I118" s="36">
        <v>1</v>
      </c>
      <c r="J118" s="36">
        <v>0</v>
      </c>
      <c r="K118" s="36">
        <v>0</v>
      </c>
      <c r="L118" s="36">
        <v>0</v>
      </c>
      <c r="M118" s="36">
        <v>0</v>
      </c>
      <c r="N118" s="36">
        <v>0</v>
      </c>
      <c r="O118" s="36">
        <v>0</v>
      </c>
      <c r="P118" s="36">
        <v>0</v>
      </c>
      <c r="Q118" s="36">
        <v>0</v>
      </c>
      <c r="R118" s="36">
        <v>0</v>
      </c>
      <c r="S118" s="36">
        <v>0</v>
      </c>
      <c r="T118" s="36">
        <v>0</v>
      </c>
      <c r="U118" s="36">
        <v>0</v>
      </c>
      <c r="V118" s="36">
        <v>0</v>
      </c>
      <c r="W118" s="36">
        <v>0</v>
      </c>
      <c r="X118" s="36">
        <v>0</v>
      </c>
      <c r="Y118" s="36">
        <v>0</v>
      </c>
      <c r="Z118" s="36">
        <v>0</v>
      </c>
      <c r="AA118" s="36">
        <v>0</v>
      </c>
      <c r="AB118" s="36">
        <v>0</v>
      </c>
      <c r="AC118" s="36">
        <v>0</v>
      </c>
      <c r="AD118" s="36">
        <v>0</v>
      </c>
      <c r="AE118" s="36">
        <v>0</v>
      </c>
      <c r="AF118" s="36">
        <v>0</v>
      </c>
      <c r="AG118" s="36">
        <v>0</v>
      </c>
      <c r="AH118" s="36">
        <v>0</v>
      </c>
      <c r="AI118" s="36">
        <v>0</v>
      </c>
      <c r="AJ118" s="36">
        <v>0</v>
      </c>
      <c r="AK118" s="36">
        <v>0</v>
      </c>
      <c r="AL118" s="36">
        <v>0</v>
      </c>
      <c r="AM118" s="36">
        <v>0</v>
      </c>
      <c r="AN118" s="36">
        <v>0</v>
      </c>
      <c r="AO118" s="36">
        <v>0</v>
      </c>
      <c r="AP118" s="36">
        <v>0</v>
      </c>
      <c r="AQ118" s="36">
        <v>0</v>
      </c>
      <c r="AR118" s="36">
        <v>0</v>
      </c>
      <c r="AS118" s="36">
        <v>0</v>
      </c>
      <c r="AT118" s="36">
        <v>0</v>
      </c>
      <c r="AU118" s="36">
        <v>0</v>
      </c>
      <c r="AV118" s="36">
        <v>0</v>
      </c>
      <c r="AW118" s="36">
        <v>0</v>
      </c>
      <c r="AX118" s="36">
        <v>0</v>
      </c>
      <c r="AY118" s="36">
        <v>0</v>
      </c>
      <c r="AZ118" s="36">
        <v>0</v>
      </c>
      <c r="BA118" s="36">
        <v>0</v>
      </c>
      <c r="BB118" s="36">
        <v>0</v>
      </c>
      <c r="BC118" s="36">
        <v>0</v>
      </c>
      <c r="BD118" s="36">
        <v>0</v>
      </c>
      <c r="BE118" s="36">
        <v>0</v>
      </c>
      <c r="BF118" s="36">
        <v>0</v>
      </c>
      <c r="BG118" s="36">
        <v>0</v>
      </c>
      <c r="BH118" s="36">
        <v>0</v>
      </c>
      <c r="BI118" s="36">
        <v>0</v>
      </c>
      <c r="BJ118" s="36">
        <v>0</v>
      </c>
      <c r="BK118" s="36">
        <v>0</v>
      </c>
      <c r="BL118" s="36">
        <v>0</v>
      </c>
      <c r="BM118" s="36">
        <v>0</v>
      </c>
      <c r="BN118" s="36">
        <v>0</v>
      </c>
      <c r="BO118" s="36">
        <v>0</v>
      </c>
      <c r="BP118" s="36">
        <v>0</v>
      </c>
      <c r="BQ118" s="36">
        <v>0</v>
      </c>
      <c r="BR118" s="36">
        <v>0</v>
      </c>
      <c r="BS118" s="36">
        <v>0</v>
      </c>
      <c r="BT118" s="36">
        <v>0</v>
      </c>
      <c r="BU118" s="36">
        <v>0</v>
      </c>
      <c r="BV118" s="36">
        <v>0</v>
      </c>
      <c r="BW118" s="36">
        <v>0</v>
      </c>
      <c r="BX118" s="36">
        <v>0</v>
      </c>
      <c r="BY118" s="36">
        <v>0</v>
      </c>
      <c r="BZ118" s="36">
        <v>0</v>
      </c>
      <c r="CA118" s="36">
        <v>0</v>
      </c>
      <c r="CB118" s="36">
        <v>0</v>
      </c>
      <c r="CC118" s="36">
        <v>0</v>
      </c>
      <c r="CD118" s="36">
        <v>0</v>
      </c>
      <c r="CE118" s="36">
        <v>0</v>
      </c>
      <c r="CF118" s="36">
        <v>0</v>
      </c>
      <c r="CG118" s="36">
        <v>0</v>
      </c>
      <c r="CH118" s="36">
        <v>0</v>
      </c>
      <c r="CI118" s="36">
        <v>0</v>
      </c>
      <c r="CJ118" s="36">
        <v>0</v>
      </c>
      <c r="CK118" s="36">
        <v>1</v>
      </c>
      <c r="CL118" s="36">
        <v>-1</v>
      </c>
      <c r="CM118" s="36">
        <v>0</v>
      </c>
      <c r="CN118" s="36">
        <v>0</v>
      </c>
      <c r="CO118" s="36">
        <v>0</v>
      </c>
      <c r="CP118" s="36">
        <v>0</v>
      </c>
      <c r="CQ118" s="36">
        <v>0</v>
      </c>
      <c r="CR118" s="36">
        <v>0</v>
      </c>
      <c r="CS118" s="36">
        <v>0</v>
      </c>
      <c r="CT118" s="36">
        <v>0</v>
      </c>
      <c r="CU118" s="36">
        <v>0</v>
      </c>
      <c r="CV118" s="36">
        <v>0</v>
      </c>
      <c r="CW118" s="36">
        <v>0</v>
      </c>
      <c r="CX118" s="36">
        <v>0</v>
      </c>
      <c r="CY118" s="36">
        <v>0</v>
      </c>
      <c r="CZ118" s="36">
        <v>0</v>
      </c>
      <c r="DA118" s="36">
        <v>0</v>
      </c>
      <c r="DB118" s="36">
        <v>0</v>
      </c>
      <c r="DC118" s="36">
        <v>0</v>
      </c>
      <c r="DD118" s="36">
        <v>0</v>
      </c>
      <c r="DE118" s="36">
        <v>0</v>
      </c>
      <c r="DF118" s="36">
        <v>0</v>
      </c>
      <c r="DG118" s="36">
        <v>0</v>
      </c>
      <c r="DH118" s="36">
        <v>0</v>
      </c>
      <c r="DI118" s="36">
        <v>0</v>
      </c>
      <c r="DJ118" s="36">
        <v>0</v>
      </c>
      <c r="DK118" s="36">
        <v>0</v>
      </c>
      <c r="DL118" s="36">
        <v>0</v>
      </c>
      <c r="DM118" s="36">
        <v>0</v>
      </c>
      <c r="DN118" s="36">
        <v>0</v>
      </c>
      <c r="DO118" s="36">
        <v>0</v>
      </c>
      <c r="DP118" s="36">
        <v>0</v>
      </c>
      <c r="DQ118" s="36">
        <v>0</v>
      </c>
      <c r="DR118" s="36">
        <v>0</v>
      </c>
      <c r="DS118" s="36">
        <v>0</v>
      </c>
      <c r="DT118" s="36">
        <v>0</v>
      </c>
      <c r="DU118" s="36">
        <v>0</v>
      </c>
      <c r="DV118" s="36">
        <v>0</v>
      </c>
      <c r="DW118" s="36">
        <v>0</v>
      </c>
      <c r="DX118" s="36">
        <v>0</v>
      </c>
      <c r="DY118" s="36">
        <v>0</v>
      </c>
      <c r="DZ118" s="36">
        <v>0</v>
      </c>
      <c r="EA118" s="36">
        <v>0</v>
      </c>
      <c r="EB118" s="36">
        <v>0</v>
      </c>
      <c r="EC118" s="36">
        <v>0</v>
      </c>
      <c r="ED118" s="36">
        <v>0</v>
      </c>
      <c r="EE118" s="36">
        <v>0</v>
      </c>
      <c r="EF118" s="36">
        <v>0</v>
      </c>
      <c r="EG118" s="36">
        <v>0</v>
      </c>
      <c r="EH118" s="36">
        <v>0</v>
      </c>
      <c r="EI118" s="36">
        <v>0</v>
      </c>
      <c r="EJ118" s="36">
        <v>0</v>
      </c>
      <c r="EK118" s="36">
        <v>0</v>
      </c>
      <c r="EL118" s="36">
        <v>0</v>
      </c>
      <c r="EM118" s="36">
        <v>0</v>
      </c>
      <c r="EN118" s="36">
        <v>0</v>
      </c>
      <c r="EO118" s="36">
        <v>0</v>
      </c>
      <c r="EP118" s="36">
        <v>0</v>
      </c>
      <c r="ET118" t="s">
        <v>319</v>
      </c>
      <c r="EU118" t="s">
        <v>810</v>
      </c>
      <c r="EV118" s="36">
        <v>-1</v>
      </c>
      <c r="EW118" s="36">
        <v>0</v>
      </c>
      <c r="EX118" s="36">
        <v>0</v>
      </c>
      <c r="EY118" s="36">
        <v>1</v>
      </c>
      <c r="EZ118" s="36">
        <v>3</v>
      </c>
      <c r="FA118" s="36">
        <v>0</v>
      </c>
      <c r="FB118" s="36">
        <v>0</v>
      </c>
      <c r="FC118" s="42">
        <f t="shared" si="39"/>
        <v>-8</v>
      </c>
      <c r="FE118">
        <f>((4*(EW118))+(EX118)+(5*EY118)+(-2*EZ118)+(5*FA118)+(6*FB118)+(-EV118))/1</f>
        <v>0</v>
      </c>
      <c r="FF118">
        <f>((4*(EW118))+(EX118)+(-3*EY118)+(-2*EZ118)+(5*FA118)+(6*FB118)+(-EV118))/1</f>
        <v>-8</v>
      </c>
      <c r="FG118">
        <f>((4*(EW118))+(EX118)+(0*EY118)+(-2*EZ118)+(5*FA118)+(6*FB118)+(-EV118))/1</f>
        <v>-5</v>
      </c>
      <c r="FM118" s="43">
        <f t="shared" si="14"/>
        <v>0</v>
      </c>
      <c r="FN118" s="43">
        <f t="shared" si="14"/>
        <v>0</v>
      </c>
      <c r="FO118" s="43">
        <f t="shared" si="14"/>
        <v>0</v>
      </c>
      <c r="FP118" s="43">
        <f t="shared" si="14"/>
        <v>0</v>
      </c>
      <c r="FQ118" s="43">
        <f t="shared" si="14"/>
        <v>0</v>
      </c>
      <c r="FR118" s="43">
        <f t="shared" si="14"/>
        <v>0</v>
      </c>
      <c r="FS118" s="43">
        <f t="shared" si="43"/>
        <v>0</v>
      </c>
      <c r="FV118" t="s">
        <v>811</v>
      </c>
      <c r="FW118" t="s">
        <v>812</v>
      </c>
    </row>
    <row r="119" spans="1:179" ht="19.5" customHeight="1" x14ac:dyDescent="0.35">
      <c r="A119" t="s">
        <v>813</v>
      </c>
      <c r="B119" s="36">
        <v>0</v>
      </c>
      <c r="C119" s="36">
        <v>0</v>
      </c>
      <c r="D119" s="36">
        <v>0</v>
      </c>
      <c r="E119" s="36">
        <v>0</v>
      </c>
      <c r="F119" s="36">
        <v>0</v>
      </c>
      <c r="G119" s="36">
        <v>0</v>
      </c>
      <c r="H119" s="36">
        <v>0</v>
      </c>
      <c r="I119" s="36">
        <v>0</v>
      </c>
      <c r="J119" s="36">
        <v>0</v>
      </c>
      <c r="K119" s="36">
        <v>0</v>
      </c>
      <c r="L119" s="36">
        <v>0</v>
      </c>
      <c r="M119" s="36">
        <v>0</v>
      </c>
      <c r="N119" s="36">
        <v>0</v>
      </c>
      <c r="O119" s="36">
        <v>0</v>
      </c>
      <c r="P119" s="36">
        <v>0</v>
      </c>
      <c r="Q119" s="36">
        <v>0</v>
      </c>
      <c r="R119" s="36">
        <v>0</v>
      </c>
      <c r="S119" s="36">
        <v>0</v>
      </c>
      <c r="T119" s="36">
        <v>0</v>
      </c>
      <c r="U119" s="36">
        <v>0</v>
      </c>
      <c r="V119" s="36">
        <v>0</v>
      </c>
      <c r="W119" s="36">
        <v>0</v>
      </c>
      <c r="X119" s="36">
        <v>0</v>
      </c>
      <c r="Y119" s="36">
        <v>0</v>
      </c>
      <c r="Z119" s="36">
        <v>0</v>
      </c>
      <c r="AA119" s="36">
        <v>0</v>
      </c>
      <c r="AB119" s="36">
        <v>0</v>
      </c>
      <c r="AC119" s="36">
        <v>0</v>
      </c>
      <c r="AD119" s="36">
        <v>0</v>
      </c>
      <c r="AE119" s="36">
        <v>0</v>
      </c>
      <c r="AF119" s="36">
        <v>0</v>
      </c>
      <c r="AG119" s="36">
        <v>-1</v>
      </c>
      <c r="AH119" s="36">
        <v>1</v>
      </c>
      <c r="AI119" s="36">
        <v>0</v>
      </c>
      <c r="AJ119" s="36">
        <v>0</v>
      </c>
      <c r="AK119" s="36">
        <v>0</v>
      </c>
      <c r="AL119" s="36">
        <v>0</v>
      </c>
      <c r="AM119" s="36">
        <v>0</v>
      </c>
      <c r="AN119" s="36">
        <v>0</v>
      </c>
      <c r="AO119" s="36">
        <v>0</v>
      </c>
      <c r="AP119" s="36">
        <v>0</v>
      </c>
      <c r="AQ119" s="36">
        <v>0</v>
      </c>
      <c r="AR119" s="36">
        <v>0</v>
      </c>
      <c r="AS119" s="36">
        <v>0</v>
      </c>
      <c r="AT119" s="36">
        <v>0</v>
      </c>
      <c r="AU119" s="36">
        <v>0</v>
      </c>
      <c r="AV119" s="36">
        <v>0</v>
      </c>
      <c r="AW119" s="36">
        <v>0</v>
      </c>
      <c r="AX119" s="36">
        <v>0</v>
      </c>
      <c r="AY119" s="36">
        <v>0</v>
      </c>
      <c r="AZ119" s="36">
        <v>0</v>
      </c>
      <c r="BA119" s="36">
        <v>0</v>
      </c>
      <c r="BB119" s="36">
        <v>0</v>
      </c>
      <c r="BC119" s="36">
        <v>0</v>
      </c>
      <c r="BD119" s="36">
        <v>0</v>
      </c>
      <c r="BE119" s="36">
        <v>0</v>
      </c>
      <c r="BF119" s="36">
        <v>0</v>
      </c>
      <c r="BG119" s="36">
        <v>0</v>
      </c>
      <c r="BH119" s="36">
        <v>0</v>
      </c>
      <c r="BI119" s="36">
        <v>0</v>
      </c>
      <c r="BJ119" s="36">
        <v>0</v>
      </c>
      <c r="BK119" s="36">
        <v>0</v>
      </c>
      <c r="BL119" s="36">
        <v>0</v>
      </c>
      <c r="BM119" s="36">
        <v>0</v>
      </c>
      <c r="BN119" s="36">
        <v>0</v>
      </c>
      <c r="BO119" s="36">
        <v>0</v>
      </c>
      <c r="BP119" s="36">
        <v>0</v>
      </c>
      <c r="BQ119" s="36">
        <v>0</v>
      </c>
      <c r="BR119" s="36">
        <v>0</v>
      </c>
      <c r="BS119" s="36">
        <v>0</v>
      </c>
      <c r="BT119" s="36">
        <v>0</v>
      </c>
      <c r="BU119" s="36">
        <v>0</v>
      </c>
      <c r="BV119" s="36">
        <v>0</v>
      </c>
      <c r="BW119" s="36">
        <v>0</v>
      </c>
      <c r="BX119" s="36">
        <v>0</v>
      </c>
      <c r="BY119" s="36">
        <v>0</v>
      </c>
      <c r="BZ119" s="36">
        <v>0</v>
      </c>
      <c r="CA119" s="36">
        <v>0</v>
      </c>
      <c r="CB119" s="36">
        <v>0</v>
      </c>
      <c r="CC119" s="36">
        <v>0</v>
      </c>
      <c r="CD119" s="36">
        <v>0</v>
      </c>
      <c r="CE119" s="36">
        <v>0</v>
      </c>
      <c r="CF119" s="36">
        <v>0</v>
      </c>
      <c r="CG119" s="36">
        <v>0</v>
      </c>
      <c r="CH119" s="36">
        <v>0</v>
      </c>
      <c r="CI119" s="36">
        <v>0</v>
      </c>
      <c r="CJ119" s="36">
        <v>0</v>
      </c>
      <c r="CK119" s="36">
        <v>0</v>
      </c>
      <c r="CL119" s="36">
        <v>0</v>
      </c>
      <c r="CM119" s="36">
        <v>0</v>
      </c>
      <c r="CN119" s="36">
        <v>0</v>
      </c>
      <c r="CO119" s="36">
        <v>0</v>
      </c>
      <c r="CP119" s="36">
        <v>0</v>
      </c>
      <c r="CQ119" s="36">
        <v>0</v>
      </c>
      <c r="CR119" s="36">
        <v>0</v>
      </c>
      <c r="CS119" s="36">
        <v>0</v>
      </c>
      <c r="CT119" s="36">
        <v>0</v>
      </c>
      <c r="CU119" s="36">
        <v>0</v>
      </c>
      <c r="CV119" s="36">
        <v>0</v>
      </c>
      <c r="CW119" s="36">
        <v>0</v>
      </c>
      <c r="CX119" s="36">
        <v>0</v>
      </c>
      <c r="CY119" s="36">
        <v>0</v>
      </c>
      <c r="CZ119" s="36">
        <v>0</v>
      </c>
      <c r="DA119" s="36">
        <v>0</v>
      </c>
      <c r="DB119" s="36">
        <v>0</v>
      </c>
      <c r="DC119" s="36">
        <v>0</v>
      </c>
      <c r="DD119" s="36">
        <v>0</v>
      </c>
      <c r="DE119" s="36">
        <v>0</v>
      </c>
      <c r="DF119" s="36">
        <v>0</v>
      </c>
      <c r="DG119" s="36">
        <v>0</v>
      </c>
      <c r="DH119" s="36">
        <v>0</v>
      </c>
      <c r="DI119" s="36">
        <v>0</v>
      </c>
      <c r="DJ119" s="36">
        <v>0</v>
      </c>
      <c r="DK119" s="36">
        <v>0</v>
      </c>
      <c r="DL119" s="36">
        <v>0</v>
      </c>
      <c r="DM119" s="36">
        <v>0</v>
      </c>
      <c r="DN119" s="36">
        <v>0</v>
      </c>
      <c r="DO119" s="36">
        <v>0</v>
      </c>
      <c r="DP119" s="36">
        <v>0</v>
      </c>
      <c r="DQ119" s="36">
        <v>0</v>
      </c>
      <c r="DR119" s="36">
        <v>0</v>
      </c>
      <c r="DS119" s="36">
        <v>0</v>
      </c>
      <c r="DT119" s="36">
        <v>0</v>
      </c>
      <c r="DU119" s="36">
        <v>0</v>
      </c>
      <c r="DV119" s="36">
        <v>0</v>
      </c>
      <c r="DW119" s="36">
        <v>0</v>
      </c>
      <c r="DX119" s="36">
        <v>0</v>
      </c>
      <c r="DY119" s="36">
        <v>0</v>
      </c>
      <c r="DZ119" s="36">
        <v>0</v>
      </c>
      <c r="EA119" s="36">
        <v>0</v>
      </c>
      <c r="EB119" s="36">
        <v>0</v>
      </c>
      <c r="EC119" s="36">
        <v>0</v>
      </c>
      <c r="ED119" s="36">
        <v>0</v>
      </c>
      <c r="EE119" s="36">
        <v>0</v>
      </c>
      <c r="EF119" s="36">
        <v>0</v>
      </c>
      <c r="EG119" s="36">
        <v>0</v>
      </c>
      <c r="EH119" s="36">
        <v>0</v>
      </c>
      <c r="EI119" s="36">
        <v>0</v>
      </c>
      <c r="EJ119" s="36">
        <v>0</v>
      </c>
      <c r="EK119" s="36">
        <v>0</v>
      </c>
      <c r="EL119" s="36">
        <v>0</v>
      </c>
      <c r="EM119" s="36">
        <v>0</v>
      </c>
      <c r="EN119" s="36">
        <v>0</v>
      </c>
      <c r="EO119" s="36">
        <v>0</v>
      </c>
      <c r="EP119" s="36">
        <v>0</v>
      </c>
      <c r="ET119" t="s">
        <v>320</v>
      </c>
      <c r="EU119" t="s">
        <v>810</v>
      </c>
      <c r="EV119" s="36">
        <v>-1</v>
      </c>
      <c r="EW119" s="36">
        <v>0</v>
      </c>
      <c r="EX119" s="36">
        <v>0</v>
      </c>
      <c r="EY119" s="36">
        <v>1</v>
      </c>
      <c r="EZ119" s="36">
        <v>3</v>
      </c>
      <c r="FA119" s="36">
        <v>0</v>
      </c>
      <c r="FB119" s="36">
        <v>0</v>
      </c>
      <c r="FC119" s="42">
        <f t="shared" si="39"/>
        <v>-8</v>
      </c>
      <c r="FE119">
        <f t="shared" ref="FE119:FE125" si="44">((4*(EW119))+(EX119)+(5*EY119)+(-2*EZ119)+(5*FA119)+(6*FB119)+(-EV119))/1</f>
        <v>0</v>
      </c>
      <c r="FF119">
        <f t="shared" ref="FF119:FF125" si="45">((4*(EW119))+(EX119)+(-3*EY119)+(-2*EZ119)+(5*FA119)+(6*FB119)+(-EV119))/1</f>
        <v>-8</v>
      </c>
      <c r="FG119">
        <f t="shared" ref="FG119:FG125" si="46">((4*(EW119))+(EX119)+(0*EY119)+(-2*EZ119)+(5*FA119)+(6*FB119)+(-EV119))/1</f>
        <v>-5</v>
      </c>
      <c r="FM119" s="43">
        <f t="shared" ref="FM119:FS131" si="47">MMULT($C119:$EP119,EW$2:EW$145)</f>
        <v>0</v>
      </c>
      <c r="FN119" s="43">
        <f t="shared" si="47"/>
        <v>0</v>
      </c>
      <c r="FO119" s="43">
        <f t="shared" si="47"/>
        <v>0</v>
      </c>
      <c r="FP119" s="43">
        <f t="shared" si="47"/>
        <v>0</v>
      </c>
      <c r="FQ119" s="43">
        <f t="shared" si="47"/>
        <v>0</v>
      </c>
      <c r="FR119" s="43">
        <f t="shared" si="47"/>
        <v>0</v>
      </c>
      <c r="FS119" s="43">
        <f t="shared" si="43"/>
        <v>0</v>
      </c>
      <c r="FV119" t="s">
        <v>814</v>
      </c>
      <c r="FW119" t="s">
        <v>815</v>
      </c>
    </row>
    <row r="120" spans="1:179" ht="19.5" customHeight="1" x14ac:dyDescent="0.25">
      <c r="A120" t="s">
        <v>816</v>
      </c>
      <c r="B120" s="36">
        <v>0</v>
      </c>
      <c r="C120" s="36">
        <v>0</v>
      </c>
      <c r="D120" s="36">
        <v>0</v>
      </c>
      <c r="E120" s="36">
        <v>0</v>
      </c>
      <c r="F120" s="36">
        <v>0</v>
      </c>
      <c r="G120" s="36">
        <v>0</v>
      </c>
      <c r="H120" s="36">
        <v>0</v>
      </c>
      <c r="I120" s="36">
        <v>0</v>
      </c>
      <c r="J120" s="36">
        <v>0</v>
      </c>
      <c r="K120" s="36">
        <v>0</v>
      </c>
      <c r="L120" s="36">
        <v>0</v>
      </c>
      <c r="M120" s="36">
        <v>0</v>
      </c>
      <c r="N120" s="36">
        <v>0</v>
      </c>
      <c r="O120" s="36">
        <v>0</v>
      </c>
      <c r="P120" s="36">
        <v>0</v>
      </c>
      <c r="Q120" s="36">
        <v>0</v>
      </c>
      <c r="R120" s="36">
        <v>0</v>
      </c>
      <c r="S120" s="36">
        <v>0</v>
      </c>
      <c r="T120" s="36">
        <v>0</v>
      </c>
      <c r="U120" s="36">
        <v>0</v>
      </c>
      <c r="V120" s="36">
        <v>0</v>
      </c>
      <c r="W120" s="36">
        <v>0</v>
      </c>
      <c r="X120" s="36">
        <v>0</v>
      </c>
      <c r="Y120" s="36">
        <v>0</v>
      </c>
      <c r="Z120" s="36">
        <v>0</v>
      </c>
      <c r="AA120" s="36">
        <v>0</v>
      </c>
      <c r="AB120" s="36">
        <v>0</v>
      </c>
      <c r="AC120" s="36">
        <v>0</v>
      </c>
      <c r="AD120" s="36">
        <v>0</v>
      </c>
      <c r="AE120" s="36">
        <v>0</v>
      </c>
      <c r="AF120" s="36">
        <v>0</v>
      </c>
      <c r="AG120" s="36">
        <v>0</v>
      </c>
      <c r="AH120" s="36">
        <v>0</v>
      </c>
      <c r="AI120" s="36">
        <v>0</v>
      </c>
      <c r="AJ120" s="36">
        <v>0</v>
      </c>
      <c r="AK120" s="36">
        <v>0</v>
      </c>
      <c r="AL120" s="36">
        <v>0</v>
      </c>
      <c r="AM120" s="36">
        <v>0</v>
      </c>
      <c r="AN120" s="36">
        <v>0</v>
      </c>
      <c r="AO120" s="36">
        <v>0</v>
      </c>
      <c r="AP120" s="36">
        <v>0</v>
      </c>
      <c r="AQ120" s="36">
        <v>0</v>
      </c>
      <c r="AR120" s="36">
        <v>0</v>
      </c>
      <c r="AS120" s="36">
        <v>0</v>
      </c>
      <c r="AT120" s="36">
        <v>0</v>
      </c>
      <c r="AU120" s="36">
        <v>0</v>
      </c>
      <c r="AV120" s="36">
        <v>0</v>
      </c>
      <c r="AW120" s="36">
        <v>0</v>
      </c>
      <c r="AX120" s="36">
        <v>0</v>
      </c>
      <c r="AY120" s="36">
        <v>0</v>
      </c>
      <c r="AZ120" s="36">
        <v>0</v>
      </c>
      <c r="BA120" s="36">
        <v>0</v>
      </c>
      <c r="BB120" s="36">
        <v>0</v>
      </c>
      <c r="BC120" s="36">
        <v>0</v>
      </c>
      <c r="BD120" s="36">
        <v>0</v>
      </c>
      <c r="BE120" s="36">
        <v>0</v>
      </c>
      <c r="BF120" s="36">
        <v>0</v>
      </c>
      <c r="BG120" s="36">
        <v>0</v>
      </c>
      <c r="BH120" s="36">
        <v>0</v>
      </c>
      <c r="BI120" s="36">
        <v>0</v>
      </c>
      <c r="BJ120" s="36">
        <v>0</v>
      </c>
      <c r="BK120" s="36">
        <v>0</v>
      </c>
      <c r="BL120" s="36">
        <v>0</v>
      </c>
      <c r="BM120" s="36">
        <v>0</v>
      </c>
      <c r="BN120" s="36">
        <v>0</v>
      </c>
      <c r="BO120" s="36">
        <v>0</v>
      </c>
      <c r="BP120" s="36">
        <v>0</v>
      </c>
      <c r="BQ120" s="36">
        <v>0</v>
      </c>
      <c r="BR120" s="36">
        <v>-1</v>
      </c>
      <c r="BS120" s="36">
        <v>1</v>
      </c>
      <c r="BT120" s="36">
        <v>0</v>
      </c>
      <c r="BU120" s="36">
        <v>0</v>
      </c>
      <c r="BV120" s="36">
        <v>0</v>
      </c>
      <c r="BW120" s="36">
        <v>0</v>
      </c>
      <c r="BX120" s="36">
        <v>0</v>
      </c>
      <c r="BY120" s="36">
        <v>0</v>
      </c>
      <c r="BZ120" s="36">
        <v>0</v>
      </c>
      <c r="CA120" s="36">
        <v>0</v>
      </c>
      <c r="CB120" s="36">
        <v>0</v>
      </c>
      <c r="CC120" s="36">
        <v>0</v>
      </c>
      <c r="CD120" s="36">
        <v>0</v>
      </c>
      <c r="CE120" s="36">
        <v>0</v>
      </c>
      <c r="CF120" s="36">
        <v>0</v>
      </c>
      <c r="CG120" s="36">
        <v>0</v>
      </c>
      <c r="CH120" s="36">
        <v>0</v>
      </c>
      <c r="CI120" s="36">
        <v>0</v>
      </c>
      <c r="CJ120" s="36">
        <v>0</v>
      </c>
      <c r="CK120" s="36">
        <v>0</v>
      </c>
      <c r="CL120" s="36">
        <v>0</v>
      </c>
      <c r="CM120" s="36">
        <v>0</v>
      </c>
      <c r="CN120" s="36">
        <v>0</v>
      </c>
      <c r="CO120" s="36">
        <v>0</v>
      </c>
      <c r="CP120" s="36">
        <v>0</v>
      </c>
      <c r="CQ120" s="36">
        <v>0</v>
      </c>
      <c r="CR120" s="36">
        <v>0</v>
      </c>
      <c r="CS120" s="36">
        <v>0</v>
      </c>
      <c r="CT120" s="36">
        <v>0</v>
      </c>
      <c r="CU120" s="36">
        <v>0</v>
      </c>
      <c r="CV120" s="36">
        <v>0</v>
      </c>
      <c r="CW120" s="36">
        <v>0</v>
      </c>
      <c r="CX120" s="36">
        <v>0</v>
      </c>
      <c r="CY120" s="36">
        <v>0</v>
      </c>
      <c r="CZ120" s="36">
        <v>0</v>
      </c>
      <c r="DA120" s="36">
        <v>0</v>
      </c>
      <c r="DB120" s="36">
        <v>0</v>
      </c>
      <c r="DC120" s="36">
        <v>0</v>
      </c>
      <c r="DD120" s="36">
        <v>0</v>
      </c>
      <c r="DE120" s="36">
        <v>0</v>
      </c>
      <c r="DF120" s="36">
        <v>0</v>
      </c>
      <c r="DG120" s="36">
        <v>0</v>
      </c>
      <c r="DH120" s="36">
        <v>0</v>
      </c>
      <c r="DI120" s="36">
        <v>0</v>
      </c>
      <c r="DJ120" s="36">
        <v>0</v>
      </c>
      <c r="DK120" s="36">
        <v>0</v>
      </c>
      <c r="DL120" s="36">
        <v>0</v>
      </c>
      <c r="DM120" s="36">
        <v>0</v>
      </c>
      <c r="DN120" s="36">
        <v>0</v>
      </c>
      <c r="DO120" s="36">
        <v>0</v>
      </c>
      <c r="DP120" s="36">
        <v>0</v>
      </c>
      <c r="DQ120" s="36">
        <v>0</v>
      </c>
      <c r="DR120" s="36">
        <v>0</v>
      </c>
      <c r="DS120" s="36">
        <v>0</v>
      </c>
      <c r="DT120" s="36">
        <v>0</v>
      </c>
      <c r="DU120" s="36">
        <v>0</v>
      </c>
      <c r="DV120" s="36">
        <v>0</v>
      </c>
      <c r="DW120" s="36">
        <v>0</v>
      </c>
      <c r="DX120" s="36">
        <v>0</v>
      </c>
      <c r="DY120" s="36">
        <v>0</v>
      </c>
      <c r="DZ120" s="36">
        <v>0</v>
      </c>
      <c r="EA120" s="36">
        <v>0</v>
      </c>
      <c r="EB120" s="36">
        <v>0</v>
      </c>
      <c r="EC120" s="36">
        <v>0</v>
      </c>
      <c r="ED120" s="36">
        <v>0</v>
      </c>
      <c r="EE120" s="36">
        <v>0</v>
      </c>
      <c r="EF120" s="36">
        <v>0</v>
      </c>
      <c r="EG120" s="36">
        <v>0</v>
      </c>
      <c r="EH120" s="36">
        <v>0</v>
      </c>
      <c r="EI120" s="36">
        <v>0</v>
      </c>
      <c r="EJ120" s="36">
        <v>0</v>
      </c>
      <c r="EK120" s="36">
        <v>0</v>
      </c>
      <c r="EL120" s="36">
        <v>0</v>
      </c>
      <c r="EM120" s="36">
        <v>0</v>
      </c>
      <c r="EN120" s="36">
        <v>0</v>
      </c>
      <c r="EO120" s="36">
        <v>0</v>
      </c>
      <c r="EP120" s="36">
        <v>0</v>
      </c>
      <c r="ET120" t="s">
        <v>321</v>
      </c>
      <c r="EU120" t="s">
        <v>817</v>
      </c>
      <c r="EV120" s="36">
        <v>0</v>
      </c>
      <c r="EW120" s="36">
        <v>0</v>
      </c>
      <c r="EX120" s="36">
        <v>0</v>
      </c>
      <c r="EY120" s="36">
        <v>1</v>
      </c>
      <c r="EZ120" s="36">
        <v>1</v>
      </c>
      <c r="FA120" s="36">
        <v>0</v>
      </c>
      <c r="FB120" s="36">
        <v>0</v>
      </c>
      <c r="FC120" s="42">
        <v>-5</v>
      </c>
      <c r="FE120">
        <f t="shared" si="44"/>
        <v>3</v>
      </c>
      <c r="FF120">
        <f t="shared" si="45"/>
        <v>-5</v>
      </c>
      <c r="FG120">
        <f t="shared" si="46"/>
        <v>-2</v>
      </c>
      <c r="FM120" s="43">
        <f t="shared" si="47"/>
        <v>0</v>
      </c>
      <c r="FN120" s="43">
        <f t="shared" si="47"/>
        <v>0</v>
      </c>
      <c r="FO120" s="43">
        <f t="shared" si="47"/>
        <v>0</v>
      </c>
      <c r="FP120" s="43">
        <f t="shared" si="47"/>
        <v>0</v>
      </c>
      <c r="FQ120" s="43">
        <f t="shared" si="47"/>
        <v>0</v>
      </c>
      <c r="FR120" s="43">
        <f t="shared" si="47"/>
        <v>0</v>
      </c>
      <c r="FS120" s="43">
        <f t="shared" si="43"/>
        <v>0</v>
      </c>
      <c r="FV120" t="s">
        <v>818</v>
      </c>
      <c r="FW120" t="s">
        <v>819</v>
      </c>
    </row>
    <row r="121" spans="1:179" ht="19.5" customHeight="1" x14ac:dyDescent="0.35">
      <c r="A121" t="s">
        <v>820</v>
      </c>
      <c r="B121" s="36">
        <v>0</v>
      </c>
      <c r="C121" s="36">
        <v>0</v>
      </c>
      <c r="D121" s="36">
        <v>0</v>
      </c>
      <c r="E121" s="36">
        <v>0</v>
      </c>
      <c r="F121" s="36">
        <v>0</v>
      </c>
      <c r="G121" s="36">
        <v>0</v>
      </c>
      <c r="H121" s="36">
        <v>0</v>
      </c>
      <c r="I121" s="36">
        <v>0</v>
      </c>
      <c r="J121" s="36">
        <v>0</v>
      </c>
      <c r="K121" s="36">
        <v>0</v>
      </c>
      <c r="L121" s="36">
        <v>0</v>
      </c>
      <c r="M121" s="36">
        <v>0</v>
      </c>
      <c r="N121" s="36">
        <v>0</v>
      </c>
      <c r="O121" s="36">
        <v>0</v>
      </c>
      <c r="P121" s="36">
        <v>0</v>
      </c>
      <c r="Q121" s="36">
        <v>0</v>
      </c>
      <c r="R121" s="36">
        <v>0</v>
      </c>
      <c r="S121" s="36">
        <v>0</v>
      </c>
      <c r="T121" s="36">
        <v>0</v>
      </c>
      <c r="U121" s="36">
        <v>0</v>
      </c>
      <c r="V121" s="36">
        <v>0</v>
      </c>
      <c r="W121" s="36">
        <v>0</v>
      </c>
      <c r="X121" s="36">
        <v>0</v>
      </c>
      <c r="Y121" s="36">
        <v>0</v>
      </c>
      <c r="Z121" s="36">
        <v>0</v>
      </c>
      <c r="AA121" s="36">
        <v>0</v>
      </c>
      <c r="AB121" s="36">
        <v>0</v>
      </c>
      <c r="AC121" s="36">
        <v>0</v>
      </c>
      <c r="AD121" s="36">
        <v>0</v>
      </c>
      <c r="AE121" s="36">
        <v>0</v>
      </c>
      <c r="AF121" s="36">
        <v>0</v>
      </c>
      <c r="AG121" s="36">
        <v>0</v>
      </c>
      <c r="AH121" s="36">
        <v>0</v>
      </c>
      <c r="AI121" s="36">
        <v>0</v>
      </c>
      <c r="AJ121" s="36">
        <v>0</v>
      </c>
      <c r="AK121" s="36">
        <v>0</v>
      </c>
      <c r="AL121" s="36">
        <v>0</v>
      </c>
      <c r="AM121" s="36">
        <v>0</v>
      </c>
      <c r="AN121" s="36">
        <v>0</v>
      </c>
      <c r="AO121" s="36">
        <v>0</v>
      </c>
      <c r="AP121" s="36">
        <v>0</v>
      </c>
      <c r="AQ121" s="36">
        <v>0</v>
      </c>
      <c r="AR121" s="36">
        <v>0</v>
      </c>
      <c r="AS121" s="36">
        <v>0</v>
      </c>
      <c r="AT121" s="36">
        <v>0</v>
      </c>
      <c r="AU121" s="36">
        <v>0</v>
      </c>
      <c r="AV121" s="36">
        <v>0</v>
      </c>
      <c r="AW121" s="36">
        <v>0</v>
      </c>
      <c r="AX121" s="36">
        <v>0</v>
      </c>
      <c r="AY121" s="36">
        <v>0</v>
      </c>
      <c r="AZ121" s="36">
        <v>0</v>
      </c>
      <c r="BA121" s="36">
        <v>0</v>
      </c>
      <c r="BB121" s="36">
        <v>0</v>
      </c>
      <c r="BC121" s="36">
        <v>0</v>
      </c>
      <c r="BD121" s="36">
        <v>0</v>
      </c>
      <c r="BE121" s="36">
        <v>0</v>
      </c>
      <c r="BF121" s="36">
        <v>0</v>
      </c>
      <c r="BG121" s="36">
        <v>0</v>
      </c>
      <c r="BH121" s="36">
        <v>0</v>
      </c>
      <c r="BI121" s="36">
        <v>0</v>
      </c>
      <c r="BJ121" s="36">
        <v>0</v>
      </c>
      <c r="BK121" s="36">
        <v>0</v>
      </c>
      <c r="BL121" s="36">
        <v>0</v>
      </c>
      <c r="BM121" s="36">
        <v>0</v>
      </c>
      <c r="BN121" s="36">
        <v>0</v>
      </c>
      <c r="BO121" s="36">
        <v>0</v>
      </c>
      <c r="BP121" s="36">
        <v>0</v>
      </c>
      <c r="BQ121" s="36">
        <v>0</v>
      </c>
      <c r="BR121" s="36">
        <v>0</v>
      </c>
      <c r="BS121" s="36">
        <v>0</v>
      </c>
      <c r="BT121" s="36">
        <v>0</v>
      </c>
      <c r="BU121" s="36">
        <v>0</v>
      </c>
      <c r="BV121" s="36">
        <v>0</v>
      </c>
      <c r="BW121" s="36">
        <v>0</v>
      </c>
      <c r="BX121" s="36">
        <v>0</v>
      </c>
      <c r="BY121" s="36">
        <v>0</v>
      </c>
      <c r="BZ121" s="36">
        <v>0</v>
      </c>
      <c r="CA121" s="36">
        <v>0</v>
      </c>
      <c r="CB121" s="36">
        <v>0</v>
      </c>
      <c r="CC121" s="36">
        <v>0</v>
      </c>
      <c r="CD121" s="36">
        <v>0</v>
      </c>
      <c r="CE121" s="36">
        <v>0</v>
      </c>
      <c r="CF121" s="36">
        <v>0</v>
      </c>
      <c r="CG121" s="36">
        <v>0</v>
      </c>
      <c r="CH121" s="36">
        <v>0</v>
      </c>
      <c r="CI121" s="36">
        <v>0</v>
      </c>
      <c r="CJ121" s="36">
        <v>0</v>
      </c>
      <c r="CK121" s="36">
        <v>0</v>
      </c>
      <c r="CL121" s="36">
        <v>0</v>
      </c>
      <c r="CM121" s="36">
        <v>0</v>
      </c>
      <c r="CN121" s="36">
        <v>0</v>
      </c>
      <c r="CO121" s="36">
        <v>0</v>
      </c>
      <c r="CP121" s="36">
        <v>0</v>
      </c>
      <c r="CQ121" s="36">
        <v>0</v>
      </c>
      <c r="CR121" s="36">
        <v>0</v>
      </c>
      <c r="CS121" s="36">
        <v>0</v>
      </c>
      <c r="CT121" s="36">
        <v>0</v>
      </c>
      <c r="CU121" s="36">
        <v>0</v>
      </c>
      <c r="CV121" s="36">
        <v>0</v>
      </c>
      <c r="CW121" s="36">
        <v>0</v>
      </c>
      <c r="CX121" s="36">
        <v>0</v>
      </c>
      <c r="CY121" s="36">
        <v>0</v>
      </c>
      <c r="CZ121" s="36">
        <v>0</v>
      </c>
      <c r="DA121" s="36">
        <v>0</v>
      </c>
      <c r="DB121" s="36">
        <v>0</v>
      </c>
      <c r="DC121" s="36">
        <v>0</v>
      </c>
      <c r="DD121" s="36">
        <v>0</v>
      </c>
      <c r="DE121" s="36">
        <v>0</v>
      </c>
      <c r="DF121" s="36">
        <v>0</v>
      </c>
      <c r="DG121" s="36">
        <v>0</v>
      </c>
      <c r="DH121" s="36">
        <v>0</v>
      </c>
      <c r="DI121" s="36">
        <v>0</v>
      </c>
      <c r="DJ121" s="36">
        <v>0</v>
      </c>
      <c r="DK121" s="36">
        <v>0</v>
      </c>
      <c r="DL121" s="36">
        <v>0</v>
      </c>
      <c r="DM121" s="36">
        <v>0</v>
      </c>
      <c r="DN121" s="36">
        <v>0</v>
      </c>
      <c r="DO121" s="36">
        <v>0</v>
      </c>
      <c r="DP121" s="36">
        <v>0</v>
      </c>
      <c r="DQ121" s="36">
        <v>0</v>
      </c>
      <c r="DR121" s="36">
        <v>0</v>
      </c>
      <c r="DS121" s="36">
        <v>0</v>
      </c>
      <c r="DT121" s="36">
        <v>0</v>
      </c>
      <c r="DU121" s="36">
        <v>0</v>
      </c>
      <c r="DV121" s="36">
        <v>0</v>
      </c>
      <c r="DW121" s="36">
        <v>0</v>
      </c>
      <c r="DX121" s="36">
        <v>0</v>
      </c>
      <c r="DY121" s="36">
        <v>0</v>
      </c>
      <c r="DZ121" s="36">
        <v>0</v>
      </c>
      <c r="EA121" s="36">
        <v>0</v>
      </c>
      <c r="EB121" s="36">
        <v>0</v>
      </c>
      <c r="EC121" s="36">
        <v>0</v>
      </c>
      <c r="ED121" s="36">
        <v>0</v>
      </c>
      <c r="EE121" s="36">
        <v>0</v>
      </c>
      <c r="EF121" s="36">
        <v>0</v>
      </c>
      <c r="EG121" s="36">
        <v>0</v>
      </c>
      <c r="EH121" s="36">
        <v>-1</v>
      </c>
      <c r="EI121" s="36">
        <v>1</v>
      </c>
      <c r="EJ121" s="36">
        <v>0</v>
      </c>
      <c r="EK121" s="36">
        <v>0</v>
      </c>
      <c r="EL121" s="36">
        <v>0</v>
      </c>
      <c r="EM121" s="36">
        <v>0</v>
      </c>
      <c r="EN121" s="36">
        <v>0</v>
      </c>
      <c r="EO121" s="36">
        <v>0</v>
      </c>
      <c r="EP121" s="36">
        <v>0</v>
      </c>
      <c r="ET121" t="s">
        <v>821</v>
      </c>
      <c r="EU121" t="s">
        <v>822</v>
      </c>
      <c r="EV121" s="36">
        <v>-1</v>
      </c>
      <c r="EW121" s="36">
        <v>0</v>
      </c>
      <c r="EX121" s="36">
        <v>0</v>
      </c>
      <c r="EY121" s="36">
        <v>1</v>
      </c>
      <c r="EZ121" s="36">
        <v>2</v>
      </c>
      <c r="FA121" s="36">
        <v>0</v>
      </c>
      <c r="FB121" s="36">
        <v>0</v>
      </c>
      <c r="FC121" s="42">
        <f>(4*EW121)+(EX121)+(-3*EY121)+(-2*EZ121)+(5*FA121)+(-2*FB121)+(-1*EV121)</f>
        <v>-6</v>
      </c>
      <c r="FE121">
        <f t="shared" si="44"/>
        <v>2</v>
      </c>
      <c r="FF121">
        <f t="shared" si="45"/>
        <v>-6</v>
      </c>
      <c r="FG121">
        <f t="shared" si="46"/>
        <v>-3</v>
      </c>
      <c r="FM121" s="43">
        <f t="shared" si="47"/>
        <v>0</v>
      </c>
      <c r="FN121" s="43">
        <f t="shared" si="47"/>
        <v>0</v>
      </c>
      <c r="FO121" s="43">
        <f t="shared" si="47"/>
        <v>0</v>
      </c>
      <c r="FP121" s="43">
        <f t="shared" si="47"/>
        <v>0</v>
      </c>
      <c r="FQ121" s="43">
        <f t="shared" si="47"/>
        <v>0</v>
      </c>
      <c r="FR121" s="43">
        <f t="shared" si="47"/>
        <v>0</v>
      </c>
      <c r="FS121" s="43">
        <f t="shared" si="43"/>
        <v>0</v>
      </c>
      <c r="FV121" t="s">
        <v>823</v>
      </c>
      <c r="FW121" t="s">
        <v>824</v>
      </c>
    </row>
    <row r="122" spans="1:179" ht="19.5" customHeight="1" x14ac:dyDescent="0.35">
      <c r="A122" t="s">
        <v>825</v>
      </c>
      <c r="B122" s="36">
        <v>0</v>
      </c>
      <c r="C122" s="36">
        <v>0</v>
      </c>
      <c r="D122" s="36">
        <v>0</v>
      </c>
      <c r="E122" s="36">
        <v>0</v>
      </c>
      <c r="F122" s="36">
        <v>0</v>
      </c>
      <c r="G122" s="36">
        <v>0</v>
      </c>
      <c r="H122" s="36">
        <v>0</v>
      </c>
      <c r="I122" s="36">
        <v>0</v>
      </c>
      <c r="J122" s="36">
        <v>0</v>
      </c>
      <c r="K122" s="36">
        <v>0</v>
      </c>
      <c r="L122" s="36">
        <v>0</v>
      </c>
      <c r="M122" s="36">
        <v>0</v>
      </c>
      <c r="N122" s="36">
        <v>0</v>
      </c>
      <c r="O122" s="36">
        <v>0</v>
      </c>
      <c r="P122" s="36">
        <v>0</v>
      </c>
      <c r="Q122" s="36">
        <v>0</v>
      </c>
      <c r="R122" s="36">
        <v>0</v>
      </c>
      <c r="S122" s="36">
        <v>0</v>
      </c>
      <c r="T122" s="36">
        <v>0</v>
      </c>
      <c r="U122" s="36">
        <v>0</v>
      </c>
      <c r="V122" s="36">
        <v>0</v>
      </c>
      <c r="W122" s="36">
        <v>0</v>
      </c>
      <c r="X122" s="36">
        <v>0</v>
      </c>
      <c r="Y122" s="36">
        <v>0</v>
      </c>
      <c r="Z122" s="36">
        <v>0</v>
      </c>
      <c r="AA122" s="36">
        <v>0</v>
      </c>
      <c r="AB122" s="36">
        <v>0</v>
      </c>
      <c r="AC122" s="36">
        <v>0</v>
      </c>
      <c r="AD122" s="36">
        <v>0</v>
      </c>
      <c r="AE122" s="36">
        <v>0</v>
      </c>
      <c r="AF122" s="36">
        <v>0</v>
      </c>
      <c r="AG122" s="36">
        <v>0</v>
      </c>
      <c r="AH122" s="36">
        <v>0</v>
      </c>
      <c r="AI122" s="36">
        <v>0</v>
      </c>
      <c r="AJ122" s="36">
        <v>0</v>
      </c>
      <c r="AK122" s="36">
        <v>0</v>
      </c>
      <c r="AL122" s="36">
        <v>0</v>
      </c>
      <c r="AM122" s="36">
        <v>0</v>
      </c>
      <c r="AN122" s="36">
        <v>0</v>
      </c>
      <c r="AO122" s="36">
        <v>0</v>
      </c>
      <c r="AP122" s="36">
        <v>0</v>
      </c>
      <c r="AQ122" s="36">
        <v>0</v>
      </c>
      <c r="AR122" s="36">
        <v>0</v>
      </c>
      <c r="AS122" s="36">
        <v>0</v>
      </c>
      <c r="AT122" s="36">
        <v>0</v>
      </c>
      <c r="AU122" s="36">
        <v>0</v>
      </c>
      <c r="AV122" s="36">
        <v>0</v>
      </c>
      <c r="AW122" s="36">
        <v>0</v>
      </c>
      <c r="AX122" s="36">
        <v>0</v>
      </c>
      <c r="AY122" s="36">
        <v>0</v>
      </c>
      <c r="AZ122" s="36">
        <v>0</v>
      </c>
      <c r="BA122" s="36">
        <v>0</v>
      </c>
      <c r="BB122" s="36">
        <v>0</v>
      </c>
      <c r="BC122" s="36">
        <v>0</v>
      </c>
      <c r="BD122" s="36">
        <v>0</v>
      </c>
      <c r="BE122" s="36">
        <v>0</v>
      </c>
      <c r="BF122" s="36">
        <v>0</v>
      </c>
      <c r="BG122" s="36">
        <v>0</v>
      </c>
      <c r="BH122" s="36">
        <v>0</v>
      </c>
      <c r="BI122" s="36">
        <v>0</v>
      </c>
      <c r="BJ122" s="36">
        <v>0</v>
      </c>
      <c r="BK122" s="36">
        <v>0</v>
      </c>
      <c r="BL122" s="36">
        <v>0</v>
      </c>
      <c r="BM122" s="36">
        <v>0</v>
      </c>
      <c r="BN122" s="36">
        <v>0</v>
      </c>
      <c r="BO122" s="36">
        <v>0</v>
      </c>
      <c r="BP122" s="36">
        <v>0</v>
      </c>
      <c r="BQ122" s="36">
        <v>0</v>
      </c>
      <c r="BR122" s="36">
        <v>0</v>
      </c>
      <c r="BS122" s="36">
        <v>0</v>
      </c>
      <c r="BT122" s="36">
        <v>0</v>
      </c>
      <c r="BU122" s="36">
        <v>0</v>
      </c>
      <c r="BV122" s="36">
        <v>0</v>
      </c>
      <c r="BW122" s="36">
        <v>0</v>
      </c>
      <c r="BX122" s="36">
        <v>0</v>
      </c>
      <c r="BY122" s="36">
        <v>0</v>
      </c>
      <c r="BZ122" s="36">
        <v>0</v>
      </c>
      <c r="CA122" s="36">
        <v>0</v>
      </c>
      <c r="CB122" s="36">
        <v>0</v>
      </c>
      <c r="CC122" s="36">
        <v>0</v>
      </c>
      <c r="CD122" s="36">
        <v>0</v>
      </c>
      <c r="CE122" s="36">
        <v>0</v>
      </c>
      <c r="CF122" s="36">
        <v>0</v>
      </c>
      <c r="CG122" s="36">
        <v>0</v>
      </c>
      <c r="CH122" s="36">
        <v>0</v>
      </c>
      <c r="CI122" s="36">
        <v>0</v>
      </c>
      <c r="CJ122" s="36">
        <v>0</v>
      </c>
      <c r="CK122" s="36">
        <v>2</v>
      </c>
      <c r="CL122" s="36">
        <v>-2</v>
      </c>
      <c r="CM122" s="36">
        <v>0</v>
      </c>
      <c r="CN122" s="36">
        <v>0</v>
      </c>
      <c r="CO122" s="36">
        <v>0</v>
      </c>
      <c r="CP122" s="36">
        <v>0</v>
      </c>
      <c r="CQ122" s="36">
        <v>0</v>
      </c>
      <c r="CR122" s="36">
        <v>0</v>
      </c>
      <c r="CS122" s="36">
        <v>0</v>
      </c>
      <c r="CT122" s="36">
        <v>0</v>
      </c>
      <c r="CU122" s="36">
        <v>0</v>
      </c>
      <c r="CV122" s="36">
        <v>0</v>
      </c>
      <c r="CW122" s="36">
        <v>0</v>
      </c>
      <c r="CX122" s="36">
        <v>0</v>
      </c>
      <c r="CY122" s="36">
        <v>0</v>
      </c>
      <c r="CZ122" s="36">
        <v>0</v>
      </c>
      <c r="DA122" s="36">
        <v>0</v>
      </c>
      <c r="DB122" s="36">
        <v>0</v>
      </c>
      <c r="DC122" s="36">
        <v>0</v>
      </c>
      <c r="DD122" s="36">
        <v>0</v>
      </c>
      <c r="DE122" s="36">
        <v>0</v>
      </c>
      <c r="DF122" s="36">
        <v>0</v>
      </c>
      <c r="DG122" s="36">
        <v>0</v>
      </c>
      <c r="DH122" s="36">
        <v>0</v>
      </c>
      <c r="DI122" s="36">
        <v>0</v>
      </c>
      <c r="DJ122" s="36">
        <v>0</v>
      </c>
      <c r="DK122" s="36">
        <v>0</v>
      </c>
      <c r="DL122" s="36">
        <v>0</v>
      </c>
      <c r="DM122" s="36">
        <v>0</v>
      </c>
      <c r="DN122" s="36">
        <v>0</v>
      </c>
      <c r="DO122" s="36">
        <v>0</v>
      </c>
      <c r="DP122" s="36">
        <v>0</v>
      </c>
      <c r="DQ122" s="36">
        <v>0</v>
      </c>
      <c r="DR122" s="36">
        <v>0</v>
      </c>
      <c r="DS122" s="36">
        <v>0</v>
      </c>
      <c r="DT122" s="36">
        <v>0</v>
      </c>
      <c r="DU122" s="36">
        <v>0</v>
      </c>
      <c r="DV122" s="36">
        <v>0</v>
      </c>
      <c r="DW122" s="36">
        <v>0</v>
      </c>
      <c r="DX122" s="36">
        <v>0</v>
      </c>
      <c r="DY122" s="36">
        <v>0</v>
      </c>
      <c r="DZ122" s="36">
        <v>0</v>
      </c>
      <c r="EA122" s="36">
        <v>0</v>
      </c>
      <c r="EB122" s="36">
        <v>0</v>
      </c>
      <c r="EC122" s="36">
        <v>0</v>
      </c>
      <c r="ED122" s="36">
        <v>0</v>
      </c>
      <c r="EE122" s="36">
        <v>0</v>
      </c>
      <c r="EF122" s="36">
        <v>0</v>
      </c>
      <c r="EG122" s="36">
        <v>0</v>
      </c>
      <c r="EH122" s="36">
        <v>0</v>
      </c>
      <c r="EI122" s="36">
        <v>0</v>
      </c>
      <c r="EJ122" s="36">
        <v>0</v>
      </c>
      <c r="EK122" s="36">
        <v>0</v>
      </c>
      <c r="EL122" s="36">
        <v>-1</v>
      </c>
      <c r="EM122" s="36">
        <v>1</v>
      </c>
      <c r="EN122" s="36">
        <v>0</v>
      </c>
      <c r="EO122" s="36">
        <v>0</v>
      </c>
      <c r="EP122" s="36">
        <v>0</v>
      </c>
      <c r="ET122" t="s">
        <v>323</v>
      </c>
      <c r="EU122" t="s">
        <v>826</v>
      </c>
      <c r="EV122" s="36">
        <v>0</v>
      </c>
      <c r="EW122" s="36">
        <v>0</v>
      </c>
      <c r="EX122" s="36">
        <v>0</v>
      </c>
      <c r="EY122" s="36">
        <v>2</v>
      </c>
      <c r="EZ122" s="36">
        <v>1</v>
      </c>
      <c r="FA122" s="36">
        <v>0</v>
      </c>
      <c r="FB122" s="36">
        <v>0</v>
      </c>
      <c r="FC122" s="42">
        <f>(4*EW122)+(EX122)+(-3*EY122)+(-2*EZ122)+(5*FA122)+(-2*FB122)+(-1*EV122)</f>
        <v>-8</v>
      </c>
      <c r="FE122">
        <f t="shared" si="44"/>
        <v>8</v>
      </c>
      <c r="FF122">
        <f t="shared" si="45"/>
        <v>-8</v>
      </c>
      <c r="FG122">
        <f t="shared" si="46"/>
        <v>-2</v>
      </c>
      <c r="FM122" s="43">
        <f t="shared" si="47"/>
        <v>0</v>
      </c>
      <c r="FN122" s="43">
        <f t="shared" si="47"/>
        <v>0</v>
      </c>
      <c r="FO122" s="43">
        <f t="shared" si="47"/>
        <v>0</v>
      </c>
      <c r="FP122" s="43">
        <f t="shared" si="47"/>
        <v>0</v>
      </c>
      <c r="FQ122" s="43">
        <f t="shared" si="47"/>
        <v>0</v>
      </c>
      <c r="FR122" s="43">
        <f t="shared" si="47"/>
        <v>0</v>
      </c>
      <c r="FS122" s="43">
        <f t="shared" si="43"/>
        <v>0</v>
      </c>
      <c r="FV122" t="s">
        <v>827</v>
      </c>
      <c r="FW122" t="s">
        <v>828</v>
      </c>
    </row>
    <row r="123" spans="1:179" ht="19.5" customHeight="1" x14ac:dyDescent="0.35">
      <c r="A123" t="s">
        <v>829</v>
      </c>
      <c r="B123" s="36">
        <v>0</v>
      </c>
      <c r="C123" s="36">
        <v>0</v>
      </c>
      <c r="D123" s="36">
        <v>0</v>
      </c>
      <c r="E123" s="36">
        <v>0</v>
      </c>
      <c r="F123" s="36">
        <v>0</v>
      </c>
      <c r="G123" s="36">
        <v>0</v>
      </c>
      <c r="H123" s="36">
        <v>0</v>
      </c>
      <c r="I123" s="36">
        <v>0</v>
      </c>
      <c r="J123" s="36">
        <v>0</v>
      </c>
      <c r="K123" s="36">
        <v>0</v>
      </c>
      <c r="L123" s="36">
        <v>0</v>
      </c>
      <c r="M123" s="36">
        <v>0</v>
      </c>
      <c r="N123" s="36">
        <v>0</v>
      </c>
      <c r="O123" s="36">
        <v>0</v>
      </c>
      <c r="P123" s="36">
        <v>0</v>
      </c>
      <c r="Q123" s="36">
        <v>0</v>
      </c>
      <c r="R123" s="36">
        <v>0</v>
      </c>
      <c r="S123" s="36">
        <v>0</v>
      </c>
      <c r="T123" s="36">
        <v>0</v>
      </c>
      <c r="U123" s="36">
        <v>0</v>
      </c>
      <c r="V123" s="36">
        <v>0</v>
      </c>
      <c r="W123" s="36">
        <v>0</v>
      </c>
      <c r="X123" s="36">
        <v>0</v>
      </c>
      <c r="Y123" s="36">
        <v>0</v>
      </c>
      <c r="Z123" s="36">
        <v>0</v>
      </c>
      <c r="AA123" s="36">
        <v>0</v>
      </c>
      <c r="AB123" s="36">
        <v>0</v>
      </c>
      <c r="AC123" s="36">
        <v>0</v>
      </c>
      <c r="AD123" s="36">
        <v>0</v>
      </c>
      <c r="AE123" s="36">
        <v>0</v>
      </c>
      <c r="AF123" s="36">
        <v>0</v>
      </c>
      <c r="AG123" s="36">
        <v>0</v>
      </c>
      <c r="AH123" s="36">
        <v>0</v>
      </c>
      <c r="AI123" s="36">
        <v>0</v>
      </c>
      <c r="AJ123" s="36">
        <v>0</v>
      </c>
      <c r="AK123" s="36">
        <v>0</v>
      </c>
      <c r="AL123" s="36">
        <v>0</v>
      </c>
      <c r="AM123" s="36">
        <v>0</v>
      </c>
      <c r="AN123" s="36">
        <v>0</v>
      </c>
      <c r="AO123" s="36">
        <v>0</v>
      </c>
      <c r="AP123" s="36">
        <v>0</v>
      </c>
      <c r="AQ123" s="36">
        <v>0</v>
      </c>
      <c r="AR123" s="36">
        <v>0</v>
      </c>
      <c r="AS123" s="36">
        <v>0</v>
      </c>
      <c r="AT123" s="36">
        <v>0</v>
      </c>
      <c r="AU123" s="36">
        <v>0</v>
      </c>
      <c r="AV123" s="36">
        <v>0</v>
      </c>
      <c r="AW123" s="36">
        <v>0</v>
      </c>
      <c r="AX123" s="36">
        <v>0</v>
      </c>
      <c r="AY123" s="36">
        <v>0</v>
      </c>
      <c r="AZ123" s="36">
        <v>0</v>
      </c>
      <c r="BA123" s="36">
        <v>0</v>
      </c>
      <c r="BB123" s="36">
        <v>0</v>
      </c>
      <c r="BC123" s="36">
        <v>0</v>
      </c>
      <c r="BD123" s="36">
        <v>0</v>
      </c>
      <c r="BE123" s="36">
        <v>0</v>
      </c>
      <c r="BF123" s="36">
        <v>0</v>
      </c>
      <c r="BG123" s="36">
        <v>0</v>
      </c>
      <c r="BH123" s="36">
        <v>0</v>
      </c>
      <c r="BI123" s="36">
        <v>0</v>
      </c>
      <c r="BJ123" s="36">
        <v>0</v>
      </c>
      <c r="BK123" s="36">
        <v>0</v>
      </c>
      <c r="BL123" s="36">
        <v>0</v>
      </c>
      <c r="BM123" s="36">
        <v>0</v>
      </c>
      <c r="BN123" s="36">
        <v>0</v>
      </c>
      <c r="BO123" s="36">
        <v>0</v>
      </c>
      <c r="BP123" s="36">
        <v>0</v>
      </c>
      <c r="BQ123" s="36">
        <v>0</v>
      </c>
      <c r="BR123" s="36">
        <v>0</v>
      </c>
      <c r="BS123" s="36">
        <v>0</v>
      </c>
      <c r="BT123" s="36">
        <v>0</v>
      </c>
      <c r="BU123" s="36">
        <v>0</v>
      </c>
      <c r="BV123" s="36">
        <v>0</v>
      </c>
      <c r="BW123" s="36">
        <v>0</v>
      </c>
      <c r="BX123" s="36">
        <v>0</v>
      </c>
      <c r="BY123" s="36">
        <v>0</v>
      </c>
      <c r="BZ123" s="36">
        <v>0</v>
      </c>
      <c r="CA123" s="36">
        <v>0</v>
      </c>
      <c r="CB123" s="36">
        <v>0</v>
      </c>
      <c r="CC123" s="36">
        <v>0</v>
      </c>
      <c r="CD123" s="36">
        <v>0</v>
      </c>
      <c r="CE123" s="36">
        <v>0</v>
      </c>
      <c r="CF123" s="36">
        <v>0</v>
      </c>
      <c r="CG123" s="36">
        <v>0</v>
      </c>
      <c r="CH123" s="36">
        <v>0</v>
      </c>
      <c r="CI123" s="36">
        <v>0</v>
      </c>
      <c r="CJ123" s="36">
        <v>0</v>
      </c>
      <c r="CK123" s="36">
        <v>0</v>
      </c>
      <c r="CL123" s="36">
        <v>0</v>
      </c>
      <c r="CM123" s="36">
        <v>0</v>
      </c>
      <c r="CN123" s="36">
        <v>0</v>
      </c>
      <c r="CO123" s="36">
        <v>0</v>
      </c>
      <c r="CP123" s="36">
        <v>0</v>
      </c>
      <c r="CQ123" s="36">
        <v>0</v>
      </c>
      <c r="CR123" s="36">
        <v>0</v>
      </c>
      <c r="CS123" s="36">
        <v>0</v>
      </c>
      <c r="CT123" s="36">
        <v>0</v>
      </c>
      <c r="CU123" s="36">
        <v>0</v>
      </c>
      <c r="CV123" s="36">
        <v>0</v>
      </c>
      <c r="CW123" s="36">
        <v>0</v>
      </c>
      <c r="CX123" s="36">
        <v>0</v>
      </c>
      <c r="CY123" s="36">
        <v>0</v>
      </c>
      <c r="CZ123" s="36">
        <v>0</v>
      </c>
      <c r="DA123" s="36">
        <v>0</v>
      </c>
      <c r="DB123" s="36">
        <v>0</v>
      </c>
      <c r="DC123" s="36">
        <v>0</v>
      </c>
      <c r="DD123" s="36">
        <v>0</v>
      </c>
      <c r="DE123" s="36">
        <v>0</v>
      </c>
      <c r="DF123" s="36">
        <v>0</v>
      </c>
      <c r="DG123" s="36">
        <v>0</v>
      </c>
      <c r="DH123" s="36">
        <v>0</v>
      </c>
      <c r="DI123" s="36">
        <v>0</v>
      </c>
      <c r="DJ123" s="36">
        <v>0</v>
      </c>
      <c r="DK123" s="36">
        <v>0</v>
      </c>
      <c r="DL123" s="36">
        <v>0</v>
      </c>
      <c r="DM123" s="36">
        <v>0</v>
      </c>
      <c r="DN123" s="36">
        <v>0</v>
      </c>
      <c r="DO123" s="36">
        <v>0</v>
      </c>
      <c r="DP123" s="36">
        <v>0</v>
      </c>
      <c r="DQ123" s="36">
        <v>0</v>
      </c>
      <c r="DR123" s="36">
        <v>0</v>
      </c>
      <c r="DS123" s="36">
        <v>0</v>
      </c>
      <c r="DT123" s="36">
        <v>0</v>
      </c>
      <c r="DU123" s="36">
        <v>0</v>
      </c>
      <c r="DV123" s="36">
        <v>0</v>
      </c>
      <c r="DW123" s="36">
        <v>0</v>
      </c>
      <c r="DX123" s="36">
        <v>0</v>
      </c>
      <c r="DY123" s="36">
        <v>0</v>
      </c>
      <c r="DZ123" s="36">
        <v>0</v>
      </c>
      <c r="EA123" s="36">
        <v>0</v>
      </c>
      <c r="EB123" s="36">
        <v>0</v>
      </c>
      <c r="EC123" s="36">
        <v>-1</v>
      </c>
      <c r="ED123" s="36">
        <v>1</v>
      </c>
      <c r="EE123" s="36">
        <v>0</v>
      </c>
      <c r="EF123" s="36">
        <v>0</v>
      </c>
      <c r="EG123" s="36">
        <v>0</v>
      </c>
      <c r="EH123" s="36">
        <v>0</v>
      </c>
      <c r="EI123" s="36">
        <v>0</v>
      </c>
      <c r="EJ123" s="36">
        <v>0</v>
      </c>
      <c r="EK123" s="36">
        <v>0</v>
      </c>
      <c r="EL123" s="36">
        <v>0</v>
      </c>
      <c r="EM123" s="36">
        <v>0</v>
      </c>
      <c r="EN123" s="36">
        <v>0</v>
      </c>
      <c r="EO123" s="36">
        <v>0</v>
      </c>
      <c r="EP123" s="36">
        <v>0</v>
      </c>
      <c r="ET123" t="s">
        <v>324</v>
      </c>
      <c r="EU123" t="s">
        <v>826</v>
      </c>
      <c r="EV123" s="36">
        <v>0</v>
      </c>
      <c r="EW123" s="36">
        <v>0</v>
      </c>
      <c r="EX123" s="36">
        <v>0</v>
      </c>
      <c r="EY123" s="36">
        <v>2</v>
      </c>
      <c r="EZ123" s="36">
        <v>1</v>
      </c>
      <c r="FA123" s="36">
        <v>0</v>
      </c>
      <c r="FB123" s="36">
        <v>0</v>
      </c>
      <c r="FC123" s="42">
        <f>(4*EW123)+(EX123)+(-3*EY123)+(-2*EZ123)+(5*FA123)+(-2*FB123)+(-1*EV123)</f>
        <v>-8</v>
      </c>
      <c r="FE123">
        <f t="shared" si="44"/>
        <v>8</v>
      </c>
      <c r="FF123">
        <f t="shared" si="45"/>
        <v>-8</v>
      </c>
      <c r="FG123">
        <f t="shared" si="46"/>
        <v>-2</v>
      </c>
      <c r="FM123" s="43">
        <f t="shared" si="47"/>
        <v>0</v>
      </c>
      <c r="FN123" s="43">
        <f t="shared" si="47"/>
        <v>0</v>
      </c>
      <c r="FO123" s="43">
        <f t="shared" si="47"/>
        <v>0</v>
      </c>
      <c r="FP123" s="43">
        <f t="shared" si="47"/>
        <v>0</v>
      </c>
      <c r="FQ123" s="43">
        <f t="shared" si="47"/>
        <v>0</v>
      </c>
      <c r="FR123" s="43">
        <f t="shared" si="47"/>
        <v>0</v>
      </c>
      <c r="FS123" s="43">
        <f t="shared" si="43"/>
        <v>0</v>
      </c>
      <c r="FV123" t="s">
        <v>830</v>
      </c>
      <c r="FW123" t="s">
        <v>831</v>
      </c>
    </row>
    <row r="124" spans="1:179" ht="19.5" customHeight="1" x14ac:dyDescent="0.35">
      <c r="A124" t="s">
        <v>832</v>
      </c>
      <c r="B124" s="36">
        <v>0</v>
      </c>
      <c r="C124" s="36">
        <v>0</v>
      </c>
      <c r="D124" s="36">
        <v>0</v>
      </c>
      <c r="E124" s="36">
        <v>0</v>
      </c>
      <c r="F124" s="36">
        <v>0</v>
      </c>
      <c r="G124" s="36">
        <v>0</v>
      </c>
      <c r="H124" s="36">
        <v>0</v>
      </c>
      <c r="I124" s="36">
        <v>0</v>
      </c>
      <c r="J124" s="36">
        <v>0</v>
      </c>
      <c r="K124" s="36">
        <v>0</v>
      </c>
      <c r="L124" s="36">
        <v>0</v>
      </c>
      <c r="M124" s="36">
        <v>0</v>
      </c>
      <c r="N124" s="36">
        <v>0</v>
      </c>
      <c r="O124" s="36">
        <v>0</v>
      </c>
      <c r="P124" s="36">
        <v>0</v>
      </c>
      <c r="Q124" s="36">
        <v>0</v>
      </c>
      <c r="R124" s="36">
        <v>0</v>
      </c>
      <c r="S124" s="36">
        <v>0</v>
      </c>
      <c r="T124" s="36">
        <v>0</v>
      </c>
      <c r="U124" s="36">
        <v>0</v>
      </c>
      <c r="V124" s="36">
        <v>0</v>
      </c>
      <c r="W124" s="36">
        <v>0</v>
      </c>
      <c r="X124" s="36">
        <v>0</v>
      </c>
      <c r="Y124" s="36">
        <v>0</v>
      </c>
      <c r="Z124" s="36">
        <v>0</v>
      </c>
      <c r="AA124" s="36">
        <v>0</v>
      </c>
      <c r="AB124" s="36">
        <v>0</v>
      </c>
      <c r="AC124" s="36">
        <v>0</v>
      </c>
      <c r="AD124" s="36">
        <v>0</v>
      </c>
      <c r="AE124" s="36">
        <v>0</v>
      </c>
      <c r="AF124" s="36">
        <v>0</v>
      </c>
      <c r="AG124" s="36">
        <v>0</v>
      </c>
      <c r="AH124" s="36">
        <v>0</v>
      </c>
      <c r="AI124" s="36">
        <v>0</v>
      </c>
      <c r="AJ124" s="36">
        <v>0</v>
      </c>
      <c r="AK124" s="36">
        <v>0</v>
      </c>
      <c r="AL124" s="36">
        <v>0</v>
      </c>
      <c r="AM124" s="36">
        <v>0</v>
      </c>
      <c r="AN124" s="36">
        <v>0</v>
      </c>
      <c r="AO124" s="36">
        <v>0</v>
      </c>
      <c r="AP124" s="36">
        <v>0</v>
      </c>
      <c r="AQ124" s="36">
        <v>0</v>
      </c>
      <c r="AR124" s="36">
        <v>0</v>
      </c>
      <c r="AS124" s="36">
        <v>0</v>
      </c>
      <c r="AT124" s="36">
        <v>0</v>
      </c>
      <c r="AU124" s="36">
        <v>0</v>
      </c>
      <c r="AV124" s="36">
        <v>0</v>
      </c>
      <c r="AW124" s="36">
        <v>0</v>
      </c>
      <c r="AX124" s="36">
        <v>0</v>
      </c>
      <c r="AY124" s="36">
        <v>0</v>
      </c>
      <c r="AZ124" s="36">
        <v>-49.2</v>
      </c>
      <c r="BA124" s="36">
        <v>-145</v>
      </c>
      <c r="BB124" s="36">
        <v>0</v>
      </c>
      <c r="BC124" s="36">
        <v>0</v>
      </c>
      <c r="BD124" s="36">
        <v>0</v>
      </c>
      <c r="BE124" s="36">
        <v>0</v>
      </c>
      <c r="BF124" s="36">
        <v>0</v>
      </c>
      <c r="BG124" s="36">
        <v>0</v>
      </c>
      <c r="BH124" s="36">
        <v>0</v>
      </c>
      <c r="BI124" s="36">
        <v>0</v>
      </c>
      <c r="BJ124" s="36">
        <v>0</v>
      </c>
      <c r="BK124" s="36">
        <v>0</v>
      </c>
      <c r="BL124" s="36">
        <v>0</v>
      </c>
      <c r="BM124" s="36">
        <v>0</v>
      </c>
      <c r="BN124" s="36">
        <v>0</v>
      </c>
      <c r="BO124" s="36">
        <v>0</v>
      </c>
      <c r="BP124" s="36">
        <v>0</v>
      </c>
      <c r="BQ124" s="36">
        <v>0</v>
      </c>
      <c r="BR124" s="36">
        <v>0</v>
      </c>
      <c r="BS124" s="36">
        <v>0</v>
      </c>
      <c r="BT124" s="36">
        <v>0</v>
      </c>
      <c r="BU124" s="36">
        <v>0</v>
      </c>
      <c r="BV124" s="36">
        <v>0</v>
      </c>
      <c r="BW124" s="36">
        <v>0</v>
      </c>
      <c r="BX124" s="36">
        <v>0</v>
      </c>
      <c r="BY124" s="36">
        <v>0</v>
      </c>
      <c r="BZ124" s="36">
        <v>0</v>
      </c>
      <c r="CA124" s="36">
        <v>0</v>
      </c>
      <c r="CB124" s="36">
        <v>0</v>
      </c>
      <c r="CC124" s="36">
        <v>0</v>
      </c>
      <c r="CD124" s="36">
        <v>0</v>
      </c>
      <c r="CE124" s="36">
        <v>0</v>
      </c>
      <c r="CF124" s="36">
        <v>0</v>
      </c>
      <c r="CG124" s="36">
        <v>0</v>
      </c>
      <c r="CH124" s="36">
        <v>0</v>
      </c>
      <c r="CI124" s="36">
        <v>0</v>
      </c>
      <c r="CJ124" s="36">
        <v>0</v>
      </c>
      <c r="CK124" s="36">
        <v>0</v>
      </c>
      <c r="CL124" s="36">
        <v>0</v>
      </c>
      <c r="CM124" s="36">
        <v>0</v>
      </c>
      <c r="CN124" s="36">
        <v>0</v>
      </c>
      <c r="CO124" s="36">
        <v>0</v>
      </c>
      <c r="CP124" s="36">
        <v>0</v>
      </c>
      <c r="CQ124" s="36">
        <v>0</v>
      </c>
      <c r="CR124" s="36">
        <v>0</v>
      </c>
      <c r="CS124" s="36">
        <v>0</v>
      </c>
      <c r="CT124" s="36">
        <v>0</v>
      </c>
      <c r="CU124" s="36">
        <v>0</v>
      </c>
      <c r="CV124" s="36">
        <v>0</v>
      </c>
      <c r="CW124" s="36">
        <v>0</v>
      </c>
      <c r="CX124" s="36">
        <v>0</v>
      </c>
      <c r="CY124" s="36">
        <v>0</v>
      </c>
      <c r="CZ124" s="36">
        <v>0</v>
      </c>
      <c r="DA124" s="36">
        <v>0</v>
      </c>
      <c r="DB124" s="36">
        <v>0</v>
      </c>
      <c r="DC124" s="36">
        <v>0</v>
      </c>
      <c r="DD124" s="36">
        <v>0</v>
      </c>
      <c r="DE124" s="36">
        <v>0</v>
      </c>
      <c r="DF124" s="36">
        <v>0</v>
      </c>
      <c r="DG124" s="36">
        <v>0</v>
      </c>
      <c r="DH124" s="36">
        <v>0</v>
      </c>
      <c r="DI124" s="36">
        <v>0</v>
      </c>
      <c r="DJ124" s="36">
        <v>0</v>
      </c>
      <c r="DK124" s="36">
        <v>0</v>
      </c>
      <c r="DL124" s="36">
        <v>0</v>
      </c>
      <c r="DM124" s="36">
        <v>0</v>
      </c>
      <c r="DN124" s="36">
        <v>0</v>
      </c>
      <c r="DO124" s="36">
        <v>0</v>
      </c>
      <c r="DP124" s="36">
        <v>0</v>
      </c>
      <c r="DQ124" s="36">
        <v>0</v>
      </c>
      <c r="DR124" s="36">
        <v>0</v>
      </c>
      <c r="DS124" s="36">
        <v>0</v>
      </c>
      <c r="DT124" s="36">
        <v>0</v>
      </c>
      <c r="DU124" s="36">
        <v>0</v>
      </c>
      <c r="DV124" s="36">
        <v>0</v>
      </c>
      <c r="DW124" s="36">
        <v>0</v>
      </c>
      <c r="DX124" s="36">
        <v>0</v>
      </c>
      <c r="DY124" s="36">
        <v>0</v>
      </c>
      <c r="DZ124" s="36">
        <v>0</v>
      </c>
      <c r="EA124" s="36">
        <v>1</v>
      </c>
      <c r="EB124" s="36">
        <v>-1</v>
      </c>
      <c r="EC124" s="36">
        <v>0</v>
      </c>
      <c r="ED124" s="36">
        <v>0</v>
      </c>
      <c r="EE124" s="36">
        <v>0</v>
      </c>
      <c r="EF124" s="36">
        <v>0</v>
      </c>
      <c r="EG124" s="36">
        <v>0</v>
      </c>
      <c r="EH124" s="36">
        <v>0</v>
      </c>
      <c r="EI124" s="36">
        <v>0</v>
      </c>
      <c r="EJ124" s="36">
        <v>0</v>
      </c>
      <c r="EK124" s="36">
        <v>0</v>
      </c>
      <c r="EL124" s="36">
        <v>0</v>
      </c>
      <c r="EM124" s="36">
        <v>0</v>
      </c>
      <c r="EN124" s="36">
        <v>0</v>
      </c>
      <c r="EO124" s="36">
        <v>0</v>
      </c>
      <c r="EP124" s="36">
        <v>0</v>
      </c>
      <c r="ET124" t="s">
        <v>833</v>
      </c>
      <c r="EU124" t="s">
        <v>834</v>
      </c>
      <c r="EV124" s="36">
        <v>0</v>
      </c>
      <c r="EW124" s="36">
        <v>0</v>
      </c>
      <c r="EX124" s="36">
        <v>0</v>
      </c>
      <c r="EY124" s="48">
        <v>0</v>
      </c>
      <c r="EZ124" s="36">
        <v>2</v>
      </c>
      <c r="FA124" s="36">
        <v>0</v>
      </c>
      <c r="FB124" s="36">
        <v>0</v>
      </c>
      <c r="FC124" s="42">
        <f>(4*EW124)+(EX124)+(-3*EY124)+(-2*EZ124)+(5*FA124)+(-2*FB124)+(-1*EV124)</f>
        <v>-4</v>
      </c>
      <c r="FE124">
        <f t="shared" si="44"/>
        <v>-4</v>
      </c>
      <c r="FF124">
        <f t="shared" si="45"/>
        <v>-4</v>
      </c>
      <c r="FG124">
        <f t="shared" si="46"/>
        <v>-4</v>
      </c>
      <c r="FM124" s="43">
        <f t="shared" si="47"/>
        <v>0</v>
      </c>
      <c r="FN124" s="43">
        <f t="shared" si="47"/>
        <v>0</v>
      </c>
      <c r="FO124" s="43">
        <f t="shared" si="47"/>
        <v>0</v>
      </c>
      <c r="FP124" s="43">
        <f t="shared" si="47"/>
        <v>0</v>
      </c>
      <c r="FQ124" s="43">
        <f t="shared" si="47"/>
        <v>0</v>
      </c>
      <c r="FR124" s="43">
        <f t="shared" si="47"/>
        <v>0</v>
      </c>
      <c r="FS124" s="43">
        <f t="shared" si="43"/>
        <v>0</v>
      </c>
      <c r="FV124" t="s">
        <v>835</v>
      </c>
      <c r="FW124" t="s">
        <v>836</v>
      </c>
    </row>
    <row r="125" spans="1:179" ht="19.5" customHeight="1" x14ac:dyDescent="0.35">
      <c r="A125" t="s">
        <v>837</v>
      </c>
      <c r="B125" s="36">
        <v>0</v>
      </c>
      <c r="C125" s="36">
        <v>0</v>
      </c>
      <c r="D125" s="36">
        <v>0</v>
      </c>
      <c r="E125" s="36">
        <v>0</v>
      </c>
      <c r="F125" s="36">
        <v>0</v>
      </c>
      <c r="G125" s="36">
        <v>0</v>
      </c>
      <c r="H125" s="36">
        <v>0</v>
      </c>
      <c r="I125" s="36">
        <v>0</v>
      </c>
      <c r="J125" s="36">
        <v>0</v>
      </c>
      <c r="K125" s="36">
        <v>0</v>
      </c>
      <c r="L125" s="36">
        <v>0</v>
      </c>
      <c r="M125" s="36">
        <v>0</v>
      </c>
      <c r="N125" s="36">
        <v>0</v>
      </c>
      <c r="O125" s="36">
        <v>0</v>
      </c>
      <c r="P125" s="36">
        <v>0</v>
      </c>
      <c r="Q125" s="36">
        <v>0</v>
      </c>
      <c r="R125" s="36">
        <v>0</v>
      </c>
      <c r="S125" s="36">
        <v>0</v>
      </c>
      <c r="T125" s="36">
        <v>0</v>
      </c>
      <c r="U125" s="36">
        <v>0</v>
      </c>
      <c r="V125" s="36">
        <v>0</v>
      </c>
      <c r="W125" s="36">
        <v>0</v>
      </c>
      <c r="X125" s="36">
        <v>0</v>
      </c>
      <c r="Y125" s="36">
        <v>0</v>
      </c>
      <c r="Z125" s="36">
        <v>0</v>
      </c>
      <c r="AA125" s="36">
        <v>0</v>
      </c>
      <c r="AB125" s="36">
        <v>0</v>
      </c>
      <c r="AC125" s="36">
        <v>0</v>
      </c>
      <c r="AD125" s="36">
        <v>0</v>
      </c>
      <c r="AE125" s="36">
        <v>0</v>
      </c>
      <c r="AF125" s="36">
        <v>0</v>
      </c>
      <c r="AG125" s="36">
        <v>0</v>
      </c>
      <c r="AH125" s="36">
        <v>0</v>
      </c>
      <c r="AI125" s="36">
        <v>0</v>
      </c>
      <c r="AJ125" s="36">
        <v>0</v>
      </c>
      <c r="AK125" s="36">
        <v>0</v>
      </c>
      <c r="AL125" s="36">
        <v>0</v>
      </c>
      <c r="AM125" s="36">
        <v>0</v>
      </c>
      <c r="AN125" s="36">
        <v>0</v>
      </c>
      <c r="AO125" s="36">
        <v>0</v>
      </c>
      <c r="AP125" s="36">
        <v>0</v>
      </c>
      <c r="AQ125" s="36">
        <v>0</v>
      </c>
      <c r="AR125" s="36">
        <v>0</v>
      </c>
      <c r="AS125" s="36">
        <v>0</v>
      </c>
      <c r="AT125" s="36">
        <v>0</v>
      </c>
      <c r="AU125" s="36">
        <v>0</v>
      </c>
      <c r="AV125" s="36">
        <v>0</v>
      </c>
      <c r="AW125" s="36">
        <v>0</v>
      </c>
      <c r="AX125" s="36">
        <v>0</v>
      </c>
      <c r="AY125" s="36">
        <v>0</v>
      </c>
      <c r="AZ125" s="36">
        <v>273</v>
      </c>
      <c r="BA125" s="36">
        <v>273</v>
      </c>
      <c r="BB125" s="36">
        <v>0</v>
      </c>
      <c r="BC125" s="36">
        <v>0</v>
      </c>
      <c r="BD125" s="36">
        <v>0</v>
      </c>
      <c r="BE125" s="36">
        <v>0</v>
      </c>
      <c r="BF125" s="36">
        <v>0</v>
      </c>
      <c r="BG125" s="36">
        <v>0</v>
      </c>
      <c r="BH125" s="36">
        <v>0</v>
      </c>
      <c r="BI125" s="36">
        <v>0</v>
      </c>
      <c r="BJ125" s="36">
        <v>0</v>
      </c>
      <c r="BK125" s="36">
        <v>0</v>
      </c>
      <c r="BL125" s="36">
        <v>0</v>
      </c>
      <c r="BM125" s="36">
        <v>0</v>
      </c>
      <c r="BN125" s="36">
        <v>0</v>
      </c>
      <c r="BO125" s="36">
        <v>0</v>
      </c>
      <c r="BP125" s="36">
        <v>0</v>
      </c>
      <c r="BQ125" s="36">
        <v>0</v>
      </c>
      <c r="BR125" s="36">
        <v>0</v>
      </c>
      <c r="BS125" s="36">
        <v>0</v>
      </c>
      <c r="BT125" s="36">
        <v>0</v>
      </c>
      <c r="BU125" s="36">
        <v>0</v>
      </c>
      <c r="BV125" s="36">
        <v>0</v>
      </c>
      <c r="BW125" s="36">
        <v>0</v>
      </c>
      <c r="BX125" s="36">
        <v>0</v>
      </c>
      <c r="BY125" s="36">
        <v>0</v>
      </c>
      <c r="BZ125" s="36">
        <v>0</v>
      </c>
      <c r="CA125" s="36">
        <v>0</v>
      </c>
      <c r="CB125" s="36">
        <v>0</v>
      </c>
      <c r="CC125" s="36">
        <v>0</v>
      </c>
      <c r="CD125" s="36">
        <v>0</v>
      </c>
      <c r="CE125" s="36">
        <v>0</v>
      </c>
      <c r="CF125" s="36">
        <v>0</v>
      </c>
      <c r="CG125" s="36">
        <v>0</v>
      </c>
      <c r="CH125" s="36">
        <v>0</v>
      </c>
      <c r="CI125" s="36">
        <v>0</v>
      </c>
      <c r="CJ125" s="36">
        <v>0</v>
      </c>
      <c r="CK125" s="36">
        <v>0</v>
      </c>
      <c r="CL125" s="36">
        <v>0</v>
      </c>
      <c r="CM125" s="36">
        <v>0</v>
      </c>
      <c r="CN125" s="36">
        <v>0</v>
      </c>
      <c r="CO125" s="36">
        <v>0</v>
      </c>
      <c r="CP125" s="36">
        <v>0</v>
      </c>
      <c r="CQ125" s="36">
        <v>0</v>
      </c>
      <c r="CR125" s="36">
        <v>0</v>
      </c>
      <c r="CS125" s="36">
        <v>0</v>
      </c>
      <c r="CT125" s="36">
        <v>0</v>
      </c>
      <c r="CU125" s="36">
        <v>0</v>
      </c>
      <c r="CV125" s="36">
        <v>0</v>
      </c>
      <c r="CW125" s="36">
        <v>0</v>
      </c>
      <c r="CX125" s="36">
        <v>0</v>
      </c>
      <c r="CY125" s="36">
        <v>0</v>
      </c>
      <c r="CZ125" s="36">
        <v>0</v>
      </c>
      <c r="DA125" s="36">
        <v>0</v>
      </c>
      <c r="DB125" s="36">
        <v>0</v>
      </c>
      <c r="DC125" s="36">
        <v>0</v>
      </c>
      <c r="DD125" s="36">
        <v>0</v>
      </c>
      <c r="DE125" s="36">
        <v>0</v>
      </c>
      <c r="DF125" s="36">
        <v>0</v>
      </c>
      <c r="DG125" s="36">
        <v>0</v>
      </c>
      <c r="DH125" s="36">
        <v>0</v>
      </c>
      <c r="DI125" s="36">
        <v>0</v>
      </c>
      <c r="DJ125" s="36">
        <v>0</v>
      </c>
      <c r="DK125" s="36">
        <v>0</v>
      </c>
      <c r="DL125" s="36">
        <v>0</v>
      </c>
      <c r="DM125" s="36">
        <v>0</v>
      </c>
      <c r="DN125" s="36">
        <v>0</v>
      </c>
      <c r="DO125" s="36">
        <v>0</v>
      </c>
      <c r="DP125" s="36">
        <v>0</v>
      </c>
      <c r="DQ125" s="36">
        <v>0</v>
      </c>
      <c r="DR125" s="36">
        <v>0</v>
      </c>
      <c r="DS125" s="36">
        <v>-1</v>
      </c>
      <c r="DT125" s="36">
        <v>1</v>
      </c>
      <c r="DU125" s="36">
        <v>0</v>
      </c>
      <c r="DV125" s="36">
        <v>0</v>
      </c>
      <c r="DW125" s="36">
        <v>0</v>
      </c>
      <c r="DX125" s="36">
        <v>0</v>
      </c>
      <c r="DY125" s="36">
        <v>0</v>
      </c>
      <c r="DZ125" s="36">
        <v>0</v>
      </c>
      <c r="EA125" s="36">
        <v>0</v>
      </c>
      <c r="EB125" s="36">
        <v>0</v>
      </c>
      <c r="EC125" s="36">
        <v>0</v>
      </c>
      <c r="ED125" s="36">
        <v>0</v>
      </c>
      <c r="EE125" s="36">
        <v>0</v>
      </c>
      <c r="EF125" s="36">
        <v>0</v>
      </c>
      <c r="EG125" s="36">
        <v>0</v>
      </c>
      <c r="EH125" s="36">
        <v>0</v>
      </c>
      <c r="EI125" s="36">
        <v>0</v>
      </c>
      <c r="EJ125" s="36">
        <v>0</v>
      </c>
      <c r="EK125" s="36">
        <v>0</v>
      </c>
      <c r="EL125" s="36">
        <v>0</v>
      </c>
      <c r="EM125" s="36">
        <v>0</v>
      </c>
      <c r="EN125" s="36">
        <v>0</v>
      </c>
      <c r="EO125" s="36">
        <v>0</v>
      </c>
      <c r="EP125" s="36">
        <v>0</v>
      </c>
      <c r="ET125" t="s">
        <v>326</v>
      </c>
      <c r="EU125" t="s">
        <v>834</v>
      </c>
      <c r="EV125" s="36">
        <v>0</v>
      </c>
      <c r="EW125" s="36">
        <v>0</v>
      </c>
      <c r="EX125" s="36">
        <v>0</v>
      </c>
      <c r="EY125" s="48">
        <v>0</v>
      </c>
      <c r="EZ125" s="36">
        <v>2</v>
      </c>
      <c r="FA125" s="36">
        <v>0</v>
      </c>
      <c r="FB125" s="36">
        <v>0</v>
      </c>
      <c r="FC125" s="42">
        <f>(4*EW125)+(EX125)+(-3*EY125)+(-2*EZ125)+(5*FA125)+(-2*FB125)+(-1*EV125)</f>
        <v>-4</v>
      </c>
      <c r="FE125">
        <f t="shared" si="44"/>
        <v>-4</v>
      </c>
      <c r="FF125">
        <f t="shared" si="45"/>
        <v>-4</v>
      </c>
      <c r="FG125">
        <f t="shared" si="46"/>
        <v>-4</v>
      </c>
      <c r="FM125" s="43">
        <f t="shared" si="47"/>
        <v>0</v>
      </c>
      <c r="FN125" s="43">
        <f t="shared" si="47"/>
        <v>0</v>
      </c>
      <c r="FO125" s="43">
        <f t="shared" si="47"/>
        <v>0</v>
      </c>
      <c r="FP125" s="43">
        <f t="shared" si="47"/>
        <v>0</v>
      </c>
      <c r="FQ125" s="43">
        <f t="shared" si="47"/>
        <v>0</v>
      </c>
      <c r="FR125" s="43">
        <f t="shared" si="47"/>
        <v>0</v>
      </c>
      <c r="FS125" s="43">
        <f t="shared" si="43"/>
        <v>0</v>
      </c>
      <c r="FV125" t="s">
        <v>838</v>
      </c>
      <c r="FW125" t="s">
        <v>839</v>
      </c>
    </row>
    <row r="126" spans="1:179" ht="19.5" customHeight="1" x14ac:dyDescent="0.35">
      <c r="A126" t="s">
        <v>840</v>
      </c>
      <c r="B126" s="36">
        <v>1</v>
      </c>
      <c r="C126" s="36">
        <v>0</v>
      </c>
      <c r="D126" s="36">
        <v>0</v>
      </c>
      <c r="E126" s="36">
        <v>0</v>
      </c>
      <c r="F126" s="36">
        <v>0</v>
      </c>
      <c r="G126" s="36">
        <v>0</v>
      </c>
      <c r="H126" s="36">
        <v>0</v>
      </c>
      <c r="I126" s="36">
        <v>0</v>
      </c>
      <c r="J126" s="36">
        <v>0</v>
      </c>
      <c r="K126" s="36">
        <v>0</v>
      </c>
      <c r="L126" s="36">
        <v>0</v>
      </c>
      <c r="M126" s="36">
        <v>0</v>
      </c>
      <c r="N126" s="36">
        <v>0</v>
      </c>
      <c r="O126" s="36">
        <v>0</v>
      </c>
      <c r="P126" s="36">
        <v>0</v>
      </c>
      <c r="Q126" s="36">
        <v>0</v>
      </c>
      <c r="R126" s="36">
        <v>0</v>
      </c>
      <c r="S126" s="36">
        <v>0</v>
      </c>
      <c r="T126" s="36">
        <v>0</v>
      </c>
      <c r="U126" s="36">
        <v>0</v>
      </c>
      <c r="V126" s="36">
        <v>0</v>
      </c>
      <c r="W126" s="36">
        <v>0</v>
      </c>
      <c r="X126" s="36">
        <v>0</v>
      </c>
      <c r="Y126" s="36">
        <v>0</v>
      </c>
      <c r="Z126" s="36">
        <v>0</v>
      </c>
      <c r="AA126" s="36">
        <v>0</v>
      </c>
      <c r="AB126" s="36">
        <v>0</v>
      </c>
      <c r="AC126" s="36">
        <v>0</v>
      </c>
      <c r="AD126" s="36">
        <v>0</v>
      </c>
      <c r="AE126" s="36">
        <v>0</v>
      </c>
      <c r="AF126" s="36">
        <v>0</v>
      </c>
      <c r="AG126" s="36">
        <v>0</v>
      </c>
      <c r="AH126" s="36">
        <v>0</v>
      </c>
      <c r="AI126" s="36">
        <v>0</v>
      </c>
      <c r="AJ126" s="36">
        <v>0</v>
      </c>
      <c r="AK126" s="36">
        <v>0</v>
      </c>
      <c r="AL126" s="36">
        <v>0</v>
      </c>
      <c r="AM126" s="36">
        <v>0</v>
      </c>
      <c r="AN126" s="36">
        <v>0</v>
      </c>
      <c r="AO126" s="36">
        <v>0</v>
      </c>
      <c r="AP126" s="36">
        <v>0</v>
      </c>
      <c r="AQ126" s="36">
        <v>0</v>
      </c>
      <c r="AR126" s="36">
        <v>0</v>
      </c>
      <c r="AS126" s="36">
        <v>0</v>
      </c>
      <c r="AT126" s="36">
        <v>0</v>
      </c>
      <c r="AU126" s="36">
        <v>0</v>
      </c>
      <c r="AV126" s="36">
        <v>0</v>
      </c>
      <c r="AW126" s="36">
        <v>0</v>
      </c>
      <c r="AX126" s="36">
        <v>0</v>
      </c>
      <c r="AY126" s="36">
        <v>-1</v>
      </c>
      <c r="AZ126" s="36">
        <v>1</v>
      </c>
      <c r="BA126" s="36">
        <v>1</v>
      </c>
      <c r="BB126" s="36">
        <v>1</v>
      </c>
      <c r="BC126" s="36">
        <v>0</v>
      </c>
      <c r="BD126" s="36">
        <v>0</v>
      </c>
      <c r="BE126" s="36">
        <v>0</v>
      </c>
      <c r="BF126" s="36">
        <v>0</v>
      </c>
      <c r="BG126" s="36">
        <v>0</v>
      </c>
      <c r="BH126" s="36">
        <v>0</v>
      </c>
      <c r="BI126" s="36">
        <v>0</v>
      </c>
      <c r="BJ126" s="36">
        <v>0</v>
      </c>
      <c r="BK126" s="36">
        <v>0</v>
      </c>
      <c r="BL126" s="36">
        <v>0</v>
      </c>
      <c r="BM126" s="36">
        <v>0</v>
      </c>
      <c r="BN126" s="36">
        <v>0</v>
      </c>
      <c r="BO126" s="36">
        <v>0</v>
      </c>
      <c r="BP126" s="36">
        <v>0</v>
      </c>
      <c r="BQ126" s="36">
        <v>0</v>
      </c>
      <c r="BR126" s="36">
        <v>0</v>
      </c>
      <c r="BS126" s="36">
        <v>0</v>
      </c>
      <c r="BT126" s="36">
        <v>0</v>
      </c>
      <c r="BU126" s="36">
        <v>0</v>
      </c>
      <c r="BV126" s="36">
        <v>0</v>
      </c>
      <c r="BW126" s="36">
        <v>0</v>
      </c>
      <c r="BX126" s="36">
        <v>0</v>
      </c>
      <c r="BY126" s="36">
        <v>0</v>
      </c>
      <c r="BZ126" s="36">
        <v>0</v>
      </c>
      <c r="CA126" s="36">
        <v>0</v>
      </c>
      <c r="CB126" s="36">
        <v>0</v>
      </c>
      <c r="CC126" s="36">
        <v>0</v>
      </c>
      <c r="CD126" s="36">
        <v>0</v>
      </c>
      <c r="CE126" s="36">
        <v>0</v>
      </c>
      <c r="CF126" s="36">
        <v>0</v>
      </c>
      <c r="CG126" s="36">
        <v>0</v>
      </c>
      <c r="CH126" s="36">
        <v>0</v>
      </c>
      <c r="CI126" s="36">
        <v>0</v>
      </c>
      <c r="CJ126" s="36">
        <v>0</v>
      </c>
      <c r="CK126" s="36">
        <v>0</v>
      </c>
      <c r="CL126" s="36">
        <v>0</v>
      </c>
      <c r="CM126" s="36">
        <v>0</v>
      </c>
      <c r="CN126" s="36">
        <v>0</v>
      </c>
      <c r="CO126" s="36">
        <v>0</v>
      </c>
      <c r="CP126" s="36">
        <v>0</v>
      </c>
      <c r="CQ126" s="36">
        <v>0</v>
      </c>
      <c r="CR126" s="36">
        <v>0</v>
      </c>
      <c r="CS126" s="36">
        <v>0</v>
      </c>
      <c r="CT126" s="36">
        <v>0</v>
      </c>
      <c r="CU126" s="36">
        <v>0</v>
      </c>
      <c r="CV126" s="36">
        <v>0</v>
      </c>
      <c r="CW126" s="36">
        <v>0</v>
      </c>
      <c r="CX126" s="36">
        <v>0</v>
      </c>
      <c r="CY126" s="36">
        <v>0</v>
      </c>
      <c r="CZ126" s="36">
        <v>0</v>
      </c>
      <c r="DA126" s="36">
        <v>0</v>
      </c>
      <c r="DB126" s="36">
        <v>0</v>
      </c>
      <c r="DC126" s="36">
        <v>0</v>
      </c>
      <c r="DD126" s="36">
        <v>0</v>
      </c>
      <c r="DE126" s="36">
        <v>0</v>
      </c>
      <c r="DF126" s="36">
        <v>0</v>
      </c>
      <c r="DG126" s="36">
        <v>0</v>
      </c>
      <c r="DH126" s="36">
        <v>0</v>
      </c>
      <c r="DI126" s="36">
        <v>0</v>
      </c>
      <c r="DJ126" s="36">
        <v>0</v>
      </c>
      <c r="DK126" s="36">
        <v>0</v>
      </c>
      <c r="DL126" s="36">
        <v>0</v>
      </c>
      <c r="DM126" s="36">
        <v>0</v>
      </c>
      <c r="DN126" s="36">
        <v>0</v>
      </c>
      <c r="DO126" s="36">
        <v>0</v>
      </c>
      <c r="DP126" s="36">
        <v>0</v>
      </c>
      <c r="DQ126" s="36">
        <v>0</v>
      </c>
      <c r="DR126" s="36">
        <v>0</v>
      </c>
      <c r="DS126" s="36">
        <v>0</v>
      </c>
      <c r="DT126" s="36">
        <v>0</v>
      </c>
      <c r="DU126" s="36">
        <v>0</v>
      </c>
      <c r="DV126" s="36">
        <v>0</v>
      </c>
      <c r="DW126" s="36">
        <v>0</v>
      </c>
      <c r="DX126" s="36">
        <v>0</v>
      </c>
      <c r="DY126" s="36">
        <v>0</v>
      </c>
      <c r="DZ126" s="36">
        <v>0</v>
      </c>
      <c r="EA126" s="36">
        <v>0</v>
      </c>
      <c r="EB126" s="36">
        <v>0</v>
      </c>
      <c r="EC126" s="36">
        <v>0</v>
      </c>
      <c r="ED126" s="36">
        <v>0</v>
      </c>
      <c r="EE126" s="36">
        <v>0</v>
      </c>
      <c r="EF126" s="36">
        <v>0</v>
      </c>
      <c r="EG126" s="36">
        <v>0</v>
      </c>
      <c r="EH126" s="36">
        <v>0</v>
      </c>
      <c r="EI126" s="36">
        <v>0</v>
      </c>
      <c r="EJ126" s="36">
        <v>0</v>
      </c>
      <c r="EK126" s="36">
        <v>0</v>
      </c>
      <c r="EL126" s="36">
        <v>0</v>
      </c>
      <c r="EM126" s="36">
        <v>0</v>
      </c>
      <c r="EN126" s="36">
        <v>0</v>
      </c>
      <c r="EO126" s="36">
        <v>0</v>
      </c>
      <c r="EP126" s="36">
        <v>0</v>
      </c>
      <c r="ET126" t="s">
        <v>164</v>
      </c>
      <c r="EU126" t="s">
        <v>841</v>
      </c>
      <c r="EV126" s="36">
        <v>-2</v>
      </c>
      <c r="EW126" s="36">
        <v>4</v>
      </c>
      <c r="EX126" s="36">
        <v>2</v>
      </c>
      <c r="EY126" s="48">
        <v>0</v>
      </c>
      <c r="EZ126" s="36">
        <v>5</v>
      </c>
      <c r="FA126" s="36">
        <v>0</v>
      </c>
      <c r="FB126" s="36">
        <v>0</v>
      </c>
      <c r="FC126" s="42">
        <v>10</v>
      </c>
      <c r="FE126">
        <f t="shared" si="30"/>
        <v>2.5</v>
      </c>
      <c r="FF126">
        <f t="shared" si="31"/>
        <v>2.5</v>
      </c>
      <c r="FG126">
        <f t="shared" si="32"/>
        <v>2.5</v>
      </c>
      <c r="FM126" s="43">
        <f t="shared" si="47"/>
        <v>0</v>
      </c>
      <c r="FN126" s="43">
        <f t="shared" si="47"/>
        <v>0</v>
      </c>
      <c r="FO126" s="43">
        <f t="shared" si="47"/>
        <v>0</v>
      </c>
      <c r="FP126" s="43">
        <f t="shared" si="47"/>
        <v>0</v>
      </c>
      <c r="FQ126" s="43">
        <f t="shared" si="47"/>
        <v>0</v>
      </c>
      <c r="FR126" s="43">
        <f t="shared" si="47"/>
        <v>0</v>
      </c>
      <c r="FS126" s="43">
        <f t="shared" si="43"/>
        <v>0</v>
      </c>
      <c r="FV126" t="s">
        <v>842</v>
      </c>
      <c r="FW126" t="s">
        <v>843</v>
      </c>
    </row>
    <row r="127" spans="1:179" ht="19.5" customHeight="1" x14ac:dyDescent="0.25">
      <c r="A127" t="s">
        <v>844</v>
      </c>
      <c r="B127" s="36">
        <v>0</v>
      </c>
      <c r="C127" s="36">
        <v>0</v>
      </c>
      <c r="D127" s="36">
        <v>0</v>
      </c>
      <c r="E127" s="36">
        <v>0</v>
      </c>
      <c r="F127" s="36">
        <v>0</v>
      </c>
      <c r="G127" s="36">
        <v>0</v>
      </c>
      <c r="H127" s="36">
        <v>0</v>
      </c>
      <c r="I127" s="36">
        <v>0</v>
      </c>
      <c r="J127" s="36">
        <v>0</v>
      </c>
      <c r="K127" s="36">
        <v>0</v>
      </c>
      <c r="L127" s="36">
        <v>0</v>
      </c>
      <c r="M127" s="36">
        <v>0</v>
      </c>
      <c r="N127" s="36">
        <v>0</v>
      </c>
      <c r="O127" s="36">
        <v>0</v>
      </c>
      <c r="P127" s="36">
        <v>0</v>
      </c>
      <c r="Q127" s="36">
        <v>0</v>
      </c>
      <c r="R127" s="36">
        <v>0</v>
      </c>
      <c r="S127" s="36">
        <v>0</v>
      </c>
      <c r="T127" s="36">
        <v>0</v>
      </c>
      <c r="U127" s="36">
        <v>0</v>
      </c>
      <c r="V127" s="36">
        <v>0</v>
      </c>
      <c r="W127" s="36">
        <v>0</v>
      </c>
      <c r="X127" s="36">
        <v>0</v>
      </c>
      <c r="Y127" s="36">
        <v>0</v>
      </c>
      <c r="Z127" s="36">
        <v>0</v>
      </c>
      <c r="AA127" s="36">
        <v>0</v>
      </c>
      <c r="AB127" s="36">
        <v>0</v>
      </c>
      <c r="AC127" s="36">
        <v>0</v>
      </c>
      <c r="AD127" s="36">
        <v>0</v>
      </c>
      <c r="AE127" s="36">
        <v>0</v>
      </c>
      <c r="AF127" s="36">
        <v>0</v>
      </c>
      <c r="AG127" s="36">
        <v>0</v>
      </c>
      <c r="AH127" s="36">
        <v>0</v>
      </c>
      <c r="AI127" s="36">
        <v>0</v>
      </c>
      <c r="AJ127" s="36">
        <v>0</v>
      </c>
      <c r="AK127" s="36">
        <v>0</v>
      </c>
      <c r="AL127" s="36">
        <v>0</v>
      </c>
      <c r="AM127" s="36">
        <v>0</v>
      </c>
      <c r="AN127" s="36">
        <v>0</v>
      </c>
      <c r="AO127" s="36">
        <v>0</v>
      </c>
      <c r="AP127" s="36">
        <v>0</v>
      </c>
      <c r="AQ127" s="36">
        <v>0</v>
      </c>
      <c r="AR127" s="36">
        <v>0</v>
      </c>
      <c r="AS127" s="36">
        <v>0</v>
      </c>
      <c r="AT127" s="36">
        <v>0</v>
      </c>
      <c r="AU127" s="36">
        <v>0</v>
      </c>
      <c r="AV127" s="36">
        <v>0</v>
      </c>
      <c r="AW127" s="36">
        <v>0</v>
      </c>
      <c r="AX127" s="36">
        <v>0</v>
      </c>
      <c r="AY127" s="36">
        <v>0</v>
      </c>
      <c r="AZ127" s="36">
        <v>0</v>
      </c>
      <c r="BA127" s="36">
        <v>0</v>
      </c>
      <c r="BB127" s="36">
        <v>0</v>
      </c>
      <c r="BC127" s="36">
        <v>0</v>
      </c>
      <c r="BD127" s="36">
        <v>0</v>
      </c>
      <c r="BE127" s="36">
        <v>0</v>
      </c>
      <c r="BF127" s="36">
        <v>0</v>
      </c>
      <c r="BG127" s="36">
        <v>0</v>
      </c>
      <c r="BH127" s="36">
        <v>0</v>
      </c>
      <c r="BI127" s="36">
        <v>0</v>
      </c>
      <c r="BJ127" s="36">
        <v>0</v>
      </c>
      <c r="BK127" s="36">
        <v>0</v>
      </c>
      <c r="BL127" s="36">
        <v>0</v>
      </c>
      <c r="BM127" s="36">
        <v>0</v>
      </c>
      <c r="BN127" s="36">
        <v>0</v>
      </c>
      <c r="BO127" s="36">
        <v>0</v>
      </c>
      <c r="BP127" s="36">
        <v>0</v>
      </c>
      <c r="BQ127" s="36">
        <v>0</v>
      </c>
      <c r="BR127" s="36">
        <v>0</v>
      </c>
      <c r="BS127" s="36">
        <v>0</v>
      </c>
      <c r="BT127" s="36">
        <v>0</v>
      </c>
      <c r="BU127" s="36">
        <v>0</v>
      </c>
      <c r="BV127" s="36">
        <v>0</v>
      </c>
      <c r="BW127" s="36">
        <v>0</v>
      </c>
      <c r="BX127" s="36">
        <v>0</v>
      </c>
      <c r="BY127" s="36">
        <v>0</v>
      </c>
      <c r="BZ127" s="36">
        <v>0</v>
      </c>
      <c r="CA127" s="36">
        <v>0</v>
      </c>
      <c r="CB127" s="36">
        <v>0</v>
      </c>
      <c r="CC127" s="36">
        <v>0</v>
      </c>
      <c r="CD127" s="36">
        <v>0</v>
      </c>
      <c r="CE127" s="36">
        <v>0</v>
      </c>
      <c r="CF127" s="36">
        <v>0</v>
      </c>
      <c r="CG127" s="36">
        <v>0</v>
      </c>
      <c r="CH127" s="36">
        <v>0</v>
      </c>
      <c r="CI127" s="36">
        <v>0</v>
      </c>
      <c r="CJ127" s="36">
        <v>0</v>
      </c>
      <c r="CK127" s="36">
        <v>0</v>
      </c>
      <c r="CL127" s="36">
        <v>0</v>
      </c>
      <c r="CM127" s="36">
        <v>0</v>
      </c>
      <c r="CN127" s="36">
        <v>0</v>
      </c>
      <c r="CO127" s="36">
        <v>0</v>
      </c>
      <c r="CP127" s="36">
        <v>-1</v>
      </c>
      <c r="CQ127" s="36">
        <v>0</v>
      </c>
      <c r="CR127" s="36">
        <v>0</v>
      </c>
      <c r="CS127" s="36">
        <v>0</v>
      </c>
      <c r="CT127" s="36">
        <v>0</v>
      </c>
      <c r="CU127" s="36">
        <v>0</v>
      </c>
      <c r="CV127" s="36">
        <v>0</v>
      </c>
      <c r="CW127" s="36">
        <v>0</v>
      </c>
      <c r="CX127" s="36">
        <v>1</v>
      </c>
      <c r="CY127" s="36">
        <v>0</v>
      </c>
      <c r="CZ127" s="36">
        <v>-1</v>
      </c>
      <c r="DA127" s="36">
        <v>0</v>
      </c>
      <c r="DB127" s="36">
        <v>0</v>
      </c>
      <c r="DC127" s="36">
        <v>0</v>
      </c>
      <c r="DD127" s="36">
        <v>0</v>
      </c>
      <c r="DE127" s="36">
        <v>0</v>
      </c>
      <c r="DF127" s="36">
        <v>0</v>
      </c>
      <c r="DG127" s="36">
        <v>1</v>
      </c>
      <c r="DH127" s="36">
        <v>0</v>
      </c>
      <c r="DI127" s="36">
        <v>0</v>
      </c>
      <c r="DJ127" s="36">
        <v>0</v>
      </c>
      <c r="DK127" s="36">
        <v>0</v>
      </c>
      <c r="DL127" s="36">
        <v>0</v>
      </c>
      <c r="DM127" s="36">
        <v>0</v>
      </c>
      <c r="DN127" s="36">
        <v>0</v>
      </c>
      <c r="DO127" s="36">
        <v>0</v>
      </c>
      <c r="DP127" s="36">
        <v>0</v>
      </c>
      <c r="DQ127" s="36">
        <v>0</v>
      </c>
      <c r="DR127" s="36">
        <v>0</v>
      </c>
      <c r="DS127" s="36">
        <v>0</v>
      </c>
      <c r="DT127" s="36">
        <v>0</v>
      </c>
      <c r="DU127" s="36">
        <v>0</v>
      </c>
      <c r="DV127" s="36">
        <v>0</v>
      </c>
      <c r="DW127" s="36">
        <v>0</v>
      </c>
      <c r="DX127" s="36">
        <v>0</v>
      </c>
      <c r="DY127" s="36">
        <v>0</v>
      </c>
      <c r="DZ127" s="36">
        <v>0</v>
      </c>
      <c r="EA127" s="36">
        <v>0</v>
      </c>
      <c r="EB127" s="36">
        <v>0</v>
      </c>
      <c r="EC127" s="36">
        <v>0</v>
      </c>
      <c r="ED127" s="36">
        <v>0</v>
      </c>
      <c r="EE127" s="36">
        <v>0</v>
      </c>
      <c r="EF127" s="36">
        <v>0</v>
      </c>
      <c r="EG127" s="36">
        <v>0</v>
      </c>
      <c r="EH127" s="36">
        <v>0</v>
      </c>
      <c r="EI127" s="36">
        <v>0</v>
      </c>
      <c r="EJ127" s="36">
        <v>0</v>
      </c>
      <c r="EK127" s="36">
        <v>0</v>
      </c>
      <c r="EL127" s="36">
        <v>0</v>
      </c>
      <c r="EM127" s="36">
        <v>0</v>
      </c>
      <c r="EN127" s="36">
        <v>0</v>
      </c>
      <c r="EO127" s="36">
        <v>0</v>
      </c>
      <c r="EP127" s="36">
        <v>0</v>
      </c>
      <c r="ET127" t="s">
        <v>127</v>
      </c>
      <c r="EU127" s="47" t="s">
        <v>135</v>
      </c>
      <c r="EV127" s="36">
        <v>-2</v>
      </c>
      <c r="EW127" s="36">
        <v>0</v>
      </c>
      <c r="EX127" s="36">
        <v>1</v>
      </c>
      <c r="EY127" s="48">
        <v>0</v>
      </c>
      <c r="EZ127" s="36">
        <v>4</v>
      </c>
      <c r="FA127" s="36">
        <v>1</v>
      </c>
      <c r="FB127" s="36">
        <v>0</v>
      </c>
      <c r="FC127" s="42">
        <f>(4*EW127)+(EX127)+(-3*EY127)+(-2*EZ127)+(5*FA127)+(-2*FB127)+(-1*EV127)</f>
        <v>0</v>
      </c>
      <c r="FE127">
        <f t="shared" ref="FE127:FE128" si="48">((4*(EW127))+(EX127)+(5*EY127)+(-2*EZ127)+(5*FA127)+(6*FB127)+(-EV127))/1</f>
        <v>0</v>
      </c>
      <c r="FF127">
        <f t="shared" ref="FF127:FF128" si="49">((4*(EW127))+(EX127)+(-3*EY127)+(-2*EZ127)+(5*FA127)+(6*FB127)+(-EV127))/1</f>
        <v>0</v>
      </c>
      <c r="FG127">
        <f t="shared" ref="FG127:FG128" si="50">((4*(EW127))+(EX127)+(0*EY127)+(-2*EZ127)+(5*FA127)+(6*FB127)+(-EV127))/1</f>
        <v>0</v>
      </c>
      <c r="FM127" s="43">
        <f t="shared" si="47"/>
        <v>0</v>
      </c>
      <c r="FN127" s="43">
        <f t="shared" si="47"/>
        <v>0</v>
      </c>
      <c r="FO127" s="43">
        <f t="shared" si="47"/>
        <v>0</v>
      </c>
      <c r="FP127" s="43">
        <f t="shared" si="47"/>
        <v>0</v>
      </c>
      <c r="FQ127" s="43">
        <f t="shared" si="47"/>
        <v>0</v>
      </c>
      <c r="FR127" s="43">
        <f t="shared" si="47"/>
        <v>0</v>
      </c>
      <c r="FS127" s="43">
        <f t="shared" si="43"/>
        <v>0</v>
      </c>
      <c r="FV127" t="s">
        <v>845</v>
      </c>
      <c r="FW127" t="s">
        <v>846</v>
      </c>
    </row>
    <row r="128" spans="1:179" ht="19.5" customHeight="1" x14ac:dyDescent="0.25">
      <c r="A128" t="s">
        <v>847</v>
      </c>
      <c r="B128" s="36">
        <v>0</v>
      </c>
      <c r="C128" s="36">
        <v>0</v>
      </c>
      <c r="D128" s="36">
        <v>0</v>
      </c>
      <c r="E128" s="36">
        <v>0</v>
      </c>
      <c r="F128" s="36">
        <v>0</v>
      </c>
      <c r="G128" s="36">
        <v>0</v>
      </c>
      <c r="H128" s="36">
        <v>0</v>
      </c>
      <c r="I128" s="36">
        <v>0</v>
      </c>
      <c r="J128" s="36">
        <v>0</v>
      </c>
      <c r="K128" s="36">
        <v>0</v>
      </c>
      <c r="L128" s="36">
        <v>0</v>
      </c>
      <c r="M128" s="36">
        <v>0</v>
      </c>
      <c r="N128" s="36">
        <v>0</v>
      </c>
      <c r="O128" s="36">
        <v>0</v>
      </c>
      <c r="P128" s="36">
        <v>0</v>
      </c>
      <c r="Q128" s="36">
        <v>1</v>
      </c>
      <c r="R128" s="36">
        <v>0</v>
      </c>
      <c r="S128" s="36">
        <v>0</v>
      </c>
      <c r="T128" s="36">
        <v>0</v>
      </c>
      <c r="U128" s="36">
        <v>0</v>
      </c>
      <c r="V128" s="36">
        <v>0</v>
      </c>
      <c r="W128" s="36">
        <v>0</v>
      </c>
      <c r="X128" s="36">
        <v>0</v>
      </c>
      <c r="Y128" s="36">
        <v>0</v>
      </c>
      <c r="Z128" s="36">
        <v>0</v>
      </c>
      <c r="AA128" s="36">
        <v>0</v>
      </c>
      <c r="AB128" s="36">
        <v>0</v>
      </c>
      <c r="AC128" s="36">
        <v>0</v>
      </c>
      <c r="AD128" s="36">
        <v>0</v>
      </c>
      <c r="AE128" s="36">
        <v>0</v>
      </c>
      <c r="AF128" s="36">
        <v>0</v>
      </c>
      <c r="AG128" s="36">
        <v>0</v>
      </c>
      <c r="AH128" s="36">
        <v>0</v>
      </c>
      <c r="AI128" s="36">
        <v>0</v>
      </c>
      <c r="AJ128" s="36">
        <v>0</v>
      </c>
      <c r="AK128" s="36">
        <v>0</v>
      </c>
      <c r="AL128" s="36">
        <v>0</v>
      </c>
      <c r="AM128" s="36">
        <v>0</v>
      </c>
      <c r="AN128" s="36">
        <v>0</v>
      </c>
      <c r="AO128" s="36">
        <v>0</v>
      </c>
      <c r="AP128" s="36">
        <v>0</v>
      </c>
      <c r="AQ128" s="36">
        <v>0</v>
      </c>
      <c r="AR128" s="36">
        <v>0</v>
      </c>
      <c r="AS128" s="36">
        <v>0</v>
      </c>
      <c r="AT128" s="36">
        <v>0</v>
      </c>
      <c r="AU128" s="36">
        <v>0</v>
      </c>
      <c r="AV128" s="36">
        <v>0</v>
      </c>
      <c r="AW128" s="36">
        <v>0</v>
      </c>
      <c r="AX128" s="36">
        <v>0</v>
      </c>
      <c r="AY128" s="36">
        <v>0</v>
      </c>
      <c r="AZ128" s="36">
        <v>0</v>
      </c>
      <c r="BA128" s="36">
        <v>0</v>
      </c>
      <c r="BB128" s="36">
        <v>0</v>
      </c>
      <c r="BC128" s="36">
        <v>0</v>
      </c>
      <c r="BD128" s="36">
        <v>0</v>
      </c>
      <c r="BE128" s="36">
        <v>0</v>
      </c>
      <c r="BF128" s="36">
        <v>0</v>
      </c>
      <c r="BG128" s="36">
        <v>0</v>
      </c>
      <c r="BH128" s="36">
        <v>0</v>
      </c>
      <c r="BI128" s="36">
        <v>0</v>
      </c>
      <c r="BJ128" s="36">
        <v>0</v>
      </c>
      <c r="BK128" s="36">
        <v>0</v>
      </c>
      <c r="BL128" s="36">
        <v>0</v>
      </c>
      <c r="BM128" s="36">
        <v>0</v>
      </c>
      <c r="BN128" s="36">
        <v>0</v>
      </c>
      <c r="BO128" s="36">
        <v>0</v>
      </c>
      <c r="BP128" s="36">
        <v>0</v>
      </c>
      <c r="BQ128" s="36">
        <v>0</v>
      </c>
      <c r="BR128" s="36">
        <v>0</v>
      </c>
      <c r="BS128" s="36">
        <v>0</v>
      </c>
      <c r="BT128" s="36">
        <v>0</v>
      </c>
      <c r="BU128" s="36">
        <v>0</v>
      </c>
      <c r="BV128" s="36">
        <v>0</v>
      </c>
      <c r="BW128" s="36">
        <v>0</v>
      </c>
      <c r="BX128" s="36">
        <v>0</v>
      </c>
      <c r="BY128" s="36">
        <v>0</v>
      </c>
      <c r="BZ128" s="36">
        <v>0</v>
      </c>
      <c r="CA128" s="36">
        <v>0</v>
      </c>
      <c r="CB128" s="36">
        <v>0</v>
      </c>
      <c r="CC128" s="36">
        <v>0</v>
      </c>
      <c r="CD128" s="36">
        <v>0</v>
      </c>
      <c r="CE128" s="36">
        <v>0</v>
      </c>
      <c r="CF128" s="36">
        <v>0</v>
      </c>
      <c r="CG128" s="36">
        <v>0</v>
      </c>
      <c r="CH128" s="36">
        <v>0</v>
      </c>
      <c r="CI128" s="36">
        <v>0</v>
      </c>
      <c r="CJ128" s="36">
        <v>0</v>
      </c>
      <c r="CK128" s="36">
        <v>0</v>
      </c>
      <c r="CL128" s="36">
        <v>1</v>
      </c>
      <c r="CM128" s="36">
        <v>0</v>
      </c>
      <c r="CN128" s="36">
        <v>0</v>
      </c>
      <c r="CO128" s="36">
        <v>0</v>
      </c>
      <c r="CP128" s="36">
        <v>-1</v>
      </c>
      <c r="CQ128" s="36">
        <v>0</v>
      </c>
      <c r="CR128" s="36">
        <v>0</v>
      </c>
      <c r="CS128" s="36">
        <v>0</v>
      </c>
      <c r="CT128" s="36">
        <v>0</v>
      </c>
      <c r="CU128" s="36">
        <v>0</v>
      </c>
      <c r="CV128" s="36">
        <v>0</v>
      </c>
      <c r="CW128" s="36">
        <v>0</v>
      </c>
      <c r="CX128" s="36">
        <v>-1</v>
      </c>
      <c r="CY128" s="36">
        <v>0</v>
      </c>
      <c r="CZ128" s="36">
        <v>0</v>
      </c>
      <c r="DA128" s="36">
        <v>0</v>
      </c>
      <c r="DB128" s="36">
        <v>0</v>
      </c>
      <c r="DC128" s="36">
        <v>0</v>
      </c>
      <c r="DD128" s="36">
        <v>0</v>
      </c>
      <c r="DE128" s="36">
        <v>0</v>
      </c>
      <c r="DF128" s="36">
        <v>0</v>
      </c>
      <c r="DG128" s="36">
        <v>0</v>
      </c>
      <c r="DH128" s="36">
        <v>1</v>
      </c>
      <c r="DI128" s="36">
        <v>0</v>
      </c>
      <c r="DJ128" s="36">
        <v>0</v>
      </c>
      <c r="DK128" s="36">
        <v>0</v>
      </c>
      <c r="DL128" s="36">
        <v>0</v>
      </c>
      <c r="DM128" s="36">
        <v>-1</v>
      </c>
      <c r="DN128" s="36">
        <v>1</v>
      </c>
      <c r="DO128" s="36">
        <v>0</v>
      </c>
      <c r="DP128" s="36">
        <v>0</v>
      </c>
      <c r="DQ128" s="36">
        <v>0</v>
      </c>
      <c r="DR128" s="36">
        <v>0</v>
      </c>
      <c r="DS128" s="36">
        <v>0</v>
      </c>
      <c r="DT128" s="36">
        <v>0</v>
      </c>
      <c r="DU128" s="36">
        <v>0</v>
      </c>
      <c r="DV128" s="36">
        <v>0</v>
      </c>
      <c r="DW128" s="36">
        <v>0</v>
      </c>
      <c r="DX128" s="36">
        <v>0</v>
      </c>
      <c r="DY128" s="36">
        <v>0</v>
      </c>
      <c r="DZ128" s="36">
        <v>0</v>
      </c>
      <c r="EA128" s="36">
        <v>0</v>
      </c>
      <c r="EB128" s="36">
        <v>0</v>
      </c>
      <c r="EC128" s="36">
        <v>0</v>
      </c>
      <c r="ED128" s="36">
        <v>0</v>
      </c>
      <c r="EE128" s="36">
        <v>0</v>
      </c>
      <c r="EF128" s="36">
        <v>0</v>
      </c>
      <c r="EG128" s="36">
        <v>0</v>
      </c>
      <c r="EH128" s="36">
        <v>0</v>
      </c>
      <c r="EI128" s="36">
        <v>0</v>
      </c>
      <c r="EJ128" s="36">
        <v>0</v>
      </c>
      <c r="EK128" s="36">
        <v>0</v>
      </c>
      <c r="EL128" s="36">
        <v>0</v>
      </c>
      <c r="EM128" s="36">
        <v>0</v>
      </c>
      <c r="EN128" s="36">
        <v>0</v>
      </c>
      <c r="EO128" s="36">
        <v>0</v>
      </c>
      <c r="EP128" s="36">
        <v>0</v>
      </c>
      <c r="ET128" t="s">
        <v>327</v>
      </c>
      <c r="EU128" s="47" t="s">
        <v>135</v>
      </c>
      <c r="EV128" s="36">
        <v>-2</v>
      </c>
      <c r="EW128" s="36">
        <v>0</v>
      </c>
      <c r="EX128" s="36">
        <v>1</v>
      </c>
      <c r="EY128" s="48">
        <v>0</v>
      </c>
      <c r="EZ128" s="36">
        <v>4</v>
      </c>
      <c r="FA128" s="36">
        <v>1</v>
      </c>
      <c r="FB128" s="36">
        <v>0</v>
      </c>
      <c r="FC128" s="42">
        <f>(4*EW128)+(EX128)+(-3*EY128)+(-2*EZ128)+(5*FA128)+(-2*FB128)+(-1*EV128)</f>
        <v>0</v>
      </c>
      <c r="FE128">
        <f t="shared" si="48"/>
        <v>0</v>
      </c>
      <c r="FF128">
        <f t="shared" si="49"/>
        <v>0</v>
      </c>
      <c r="FG128">
        <f t="shared" si="50"/>
        <v>0</v>
      </c>
      <c r="FM128" s="43">
        <f t="shared" si="47"/>
        <v>0</v>
      </c>
      <c r="FN128" s="43">
        <f t="shared" si="47"/>
        <v>0</v>
      </c>
      <c r="FO128" s="43">
        <f t="shared" si="47"/>
        <v>0</v>
      </c>
      <c r="FP128" s="43">
        <f t="shared" si="47"/>
        <v>0</v>
      </c>
      <c r="FQ128" s="43">
        <f t="shared" si="47"/>
        <v>0</v>
      </c>
      <c r="FR128" s="43">
        <f t="shared" si="47"/>
        <v>0</v>
      </c>
      <c r="FS128" s="43">
        <f t="shared" si="43"/>
        <v>0</v>
      </c>
      <c r="FV128" t="s">
        <v>848</v>
      </c>
      <c r="FW128" t="s">
        <v>849</v>
      </c>
    </row>
    <row r="129" spans="1:179" ht="19.5" customHeight="1" x14ac:dyDescent="0.35">
      <c r="A129" t="s">
        <v>850</v>
      </c>
      <c r="B129" s="36">
        <v>0</v>
      </c>
      <c r="C129" s="36">
        <v>0</v>
      </c>
      <c r="D129" s="36">
        <v>0</v>
      </c>
      <c r="E129" s="36">
        <v>0</v>
      </c>
      <c r="F129" s="36">
        <v>0</v>
      </c>
      <c r="G129" s="36">
        <v>0</v>
      </c>
      <c r="H129" s="36">
        <v>0</v>
      </c>
      <c r="I129" s="36">
        <v>0</v>
      </c>
      <c r="J129" s="36">
        <v>0</v>
      </c>
      <c r="K129" s="36">
        <v>0</v>
      </c>
      <c r="L129" s="36">
        <v>0</v>
      </c>
      <c r="M129" s="36">
        <v>0</v>
      </c>
      <c r="N129" s="36">
        <v>0</v>
      </c>
      <c r="O129" s="36">
        <v>0</v>
      </c>
      <c r="P129" s="36">
        <v>0</v>
      </c>
      <c r="Q129" s="36">
        <v>-2.7369999999999998E-2</v>
      </c>
      <c r="R129" s="36">
        <v>0</v>
      </c>
      <c r="S129" s="36">
        <v>0</v>
      </c>
      <c r="T129" s="36">
        <v>0</v>
      </c>
      <c r="U129" s="36">
        <v>0</v>
      </c>
      <c r="V129" s="36">
        <v>0</v>
      </c>
      <c r="W129" s="36">
        <v>0</v>
      </c>
      <c r="X129" s="36">
        <v>0</v>
      </c>
      <c r="Y129" s="36">
        <v>0</v>
      </c>
      <c r="Z129" s="36">
        <v>0</v>
      </c>
      <c r="AA129" s="36">
        <v>0</v>
      </c>
      <c r="AB129" s="36">
        <v>0</v>
      </c>
      <c r="AC129" s="36">
        <v>0</v>
      </c>
      <c r="AD129" s="36">
        <v>0</v>
      </c>
      <c r="AE129" s="36">
        <v>0</v>
      </c>
      <c r="AF129" s="36">
        <v>0</v>
      </c>
      <c r="AG129" s="36">
        <v>0</v>
      </c>
      <c r="AH129" s="36">
        <v>0</v>
      </c>
      <c r="AI129" s="36">
        <v>0</v>
      </c>
      <c r="AJ129" s="36">
        <v>-7.5009999999999993E-2</v>
      </c>
      <c r="AK129" s="36">
        <v>0</v>
      </c>
      <c r="AL129" s="36">
        <v>3.3690000000000002</v>
      </c>
      <c r="AM129" s="36">
        <v>0</v>
      </c>
      <c r="AN129" s="36">
        <v>0</v>
      </c>
      <c r="AO129" s="36">
        <v>0</v>
      </c>
      <c r="AP129" s="36">
        <v>0</v>
      </c>
      <c r="AQ129" s="36">
        <v>0</v>
      </c>
      <c r="AR129" s="36">
        <v>-3.3690000000000002</v>
      </c>
      <c r="AS129" s="36">
        <v>0</v>
      </c>
      <c r="AT129" s="36">
        <v>0</v>
      </c>
      <c r="AU129" s="36">
        <v>0</v>
      </c>
      <c r="AV129" s="36">
        <v>0</v>
      </c>
      <c r="AW129" s="36">
        <v>1</v>
      </c>
      <c r="AX129" s="36">
        <v>0</v>
      </c>
      <c r="AY129" s="36">
        <v>6.11E-3</v>
      </c>
      <c r="AZ129" s="36">
        <v>0</v>
      </c>
      <c r="BA129" s="36">
        <v>0</v>
      </c>
      <c r="BB129" s="36">
        <v>0</v>
      </c>
      <c r="BC129" s="36">
        <v>7.5009999999999993E-2</v>
      </c>
      <c r="BD129" s="36">
        <v>0</v>
      </c>
      <c r="BE129" s="36">
        <v>0</v>
      </c>
      <c r="BF129" s="36">
        <v>0</v>
      </c>
      <c r="BG129" s="36">
        <v>-1.0319999999999999E-2</v>
      </c>
      <c r="BH129" s="36">
        <v>0</v>
      </c>
      <c r="BI129" s="36">
        <v>-2.2899999999999999E-3</v>
      </c>
      <c r="BJ129" s="36">
        <v>0</v>
      </c>
      <c r="BK129" s="36">
        <v>0</v>
      </c>
      <c r="BL129" s="36">
        <v>0</v>
      </c>
      <c r="BM129" s="36">
        <v>-1.8870000000000001E-2</v>
      </c>
      <c r="BN129" s="36">
        <v>0</v>
      </c>
      <c r="BO129" s="36">
        <v>0</v>
      </c>
      <c r="BP129" s="36">
        <v>0</v>
      </c>
      <c r="BQ129" s="36">
        <v>0</v>
      </c>
      <c r="BR129" s="36">
        <v>0</v>
      </c>
      <c r="BS129" s="36">
        <v>0</v>
      </c>
      <c r="BT129" s="36">
        <v>0</v>
      </c>
      <c r="BU129" s="36">
        <v>0</v>
      </c>
      <c r="BV129" s="36">
        <v>0</v>
      </c>
      <c r="BW129" s="36">
        <v>0</v>
      </c>
      <c r="BX129" s="36">
        <v>0</v>
      </c>
      <c r="BY129" s="36">
        <v>0</v>
      </c>
      <c r="BZ129" s="36">
        <v>0</v>
      </c>
      <c r="CA129" s="36">
        <v>0</v>
      </c>
      <c r="CB129" s="36">
        <v>0</v>
      </c>
      <c r="CC129" s="36">
        <v>0</v>
      </c>
      <c r="CD129" s="36">
        <v>0</v>
      </c>
      <c r="CE129" s="36">
        <v>0</v>
      </c>
      <c r="CF129" s="36">
        <v>0</v>
      </c>
      <c r="CG129" s="36">
        <v>0</v>
      </c>
      <c r="CH129" s="36">
        <v>0</v>
      </c>
      <c r="CI129" s="36">
        <v>0</v>
      </c>
      <c r="CJ129" s="36">
        <v>0</v>
      </c>
      <c r="CK129" s="36">
        <v>0</v>
      </c>
      <c r="CL129" s="36">
        <v>3.6829000000000001</v>
      </c>
      <c r="CM129" s="36">
        <v>0</v>
      </c>
      <c r="CN129" s="36">
        <v>0</v>
      </c>
      <c r="CO129" s="36">
        <v>0</v>
      </c>
      <c r="CP129" s="36">
        <v>-3.3690000000000002</v>
      </c>
      <c r="CQ129" s="36">
        <v>0</v>
      </c>
      <c r="CR129" s="36">
        <v>0</v>
      </c>
      <c r="CS129" s="36">
        <v>0</v>
      </c>
      <c r="CT129" s="36">
        <v>0</v>
      </c>
      <c r="CU129" s="36">
        <v>0</v>
      </c>
      <c r="CV129" s="36">
        <v>0</v>
      </c>
      <c r="CW129" s="36">
        <v>0</v>
      </c>
      <c r="CX129" s="36">
        <v>0</v>
      </c>
      <c r="CY129" s="36">
        <v>0</v>
      </c>
      <c r="CZ129" s="36">
        <v>0</v>
      </c>
      <c r="DA129" s="36">
        <v>-8.9999999999999998E-4</v>
      </c>
      <c r="DB129" s="36">
        <v>0</v>
      </c>
      <c r="DC129" s="36">
        <v>0</v>
      </c>
      <c r="DD129" s="36">
        <v>0</v>
      </c>
      <c r="DE129" s="36">
        <v>0</v>
      </c>
      <c r="DF129" s="36">
        <v>0</v>
      </c>
      <c r="DG129" s="36">
        <v>-6.7269999999999996E-2</v>
      </c>
      <c r="DH129" s="36">
        <v>-0.17027</v>
      </c>
      <c r="DI129" s="36">
        <v>0</v>
      </c>
      <c r="DJ129" s="36">
        <v>0</v>
      </c>
      <c r="DK129" s="36">
        <v>-8.2400000000000001E-2</v>
      </c>
      <c r="DL129" s="36">
        <v>8.2400000000000001E-2</v>
      </c>
      <c r="DM129" s="36">
        <v>0.47126000000000001</v>
      </c>
      <c r="DN129" s="36">
        <v>-0.47126000000000001</v>
      </c>
      <c r="DO129" s="36">
        <v>0</v>
      </c>
      <c r="DP129" s="36">
        <v>0</v>
      </c>
      <c r="DQ129" s="36">
        <v>0</v>
      </c>
      <c r="DR129" s="36">
        <v>0</v>
      </c>
      <c r="DS129" s="36">
        <v>0</v>
      </c>
      <c r="DT129" s="36">
        <v>0</v>
      </c>
      <c r="DU129" s="36">
        <v>0</v>
      </c>
      <c r="DV129" s="36">
        <v>0</v>
      </c>
      <c r="DW129" s="36">
        <v>-4.0160000000000001E-2</v>
      </c>
      <c r="DX129" s="36">
        <v>3.3690000000000002</v>
      </c>
      <c r="DY129" s="36">
        <v>0</v>
      </c>
      <c r="DZ129" s="36">
        <v>-5.595E-2</v>
      </c>
      <c r="EA129" s="36">
        <v>0</v>
      </c>
      <c r="EB129" s="36">
        <v>0</v>
      </c>
      <c r="EC129" s="36">
        <v>-3.98E-3</v>
      </c>
      <c r="ED129" s="36">
        <v>0</v>
      </c>
      <c r="EE129" s="36">
        <v>0</v>
      </c>
      <c r="EF129" s="36">
        <v>0</v>
      </c>
      <c r="EG129" s="36">
        <v>0</v>
      </c>
      <c r="EH129" s="36">
        <v>-7.3649999999999993E-2</v>
      </c>
      <c r="EI129" s="36">
        <v>0</v>
      </c>
      <c r="EJ129" s="36">
        <v>0</v>
      </c>
      <c r="EK129" s="36">
        <v>0</v>
      </c>
      <c r="EL129" s="36">
        <v>0</v>
      </c>
      <c r="EM129" s="36">
        <v>0</v>
      </c>
      <c r="EN129" s="36">
        <v>0</v>
      </c>
      <c r="EO129" s="36">
        <v>0</v>
      </c>
      <c r="EP129" s="36">
        <v>0</v>
      </c>
      <c r="ET129" t="s">
        <v>160</v>
      </c>
      <c r="EU129" s="4" t="s">
        <v>851</v>
      </c>
      <c r="EV129" s="36">
        <v>-3</v>
      </c>
      <c r="EW129" s="36">
        <v>3</v>
      </c>
      <c r="EX129" s="36">
        <v>2</v>
      </c>
      <c r="EY129" s="48">
        <v>0</v>
      </c>
      <c r="EZ129" s="36">
        <v>6</v>
      </c>
      <c r="FA129" s="36">
        <v>1</v>
      </c>
      <c r="FB129" s="36">
        <v>0</v>
      </c>
      <c r="FC129" s="42">
        <v>10</v>
      </c>
      <c r="FE129">
        <f t="shared" si="30"/>
        <v>3.3333333333333335</v>
      </c>
      <c r="FF129">
        <f t="shared" si="31"/>
        <v>3.3333333333333335</v>
      </c>
      <c r="FG129">
        <f t="shared" si="32"/>
        <v>3.3333333333333335</v>
      </c>
      <c r="FM129" s="43">
        <f t="shared" si="47"/>
        <v>-1.6653345369377348E-15</v>
      </c>
      <c r="FN129" s="43">
        <f t="shared" si="47"/>
        <v>3.9999999995044E-5</v>
      </c>
      <c r="FO129" s="43">
        <f t="shared" si="47"/>
        <v>8.8817841970012523E-16</v>
      </c>
      <c r="FP129" s="43">
        <f t="shared" si="47"/>
        <v>3.8857805861880479E-16</v>
      </c>
      <c r="FQ129" s="43">
        <f t="shared" si="47"/>
        <v>-1.609823385706477E-15</v>
      </c>
      <c r="FR129" s="43">
        <f t="shared" si="47"/>
        <v>0</v>
      </c>
      <c r="FS129" s="43">
        <f t="shared" si="43"/>
        <v>3.5527136788005009E-15</v>
      </c>
      <c r="FV129" t="s">
        <v>852</v>
      </c>
      <c r="FW129" t="s">
        <v>853</v>
      </c>
    </row>
    <row r="130" spans="1:179" ht="19.5" customHeight="1" x14ac:dyDescent="0.25">
      <c r="A130" t="s">
        <v>292</v>
      </c>
      <c r="B130" s="36">
        <v>1</v>
      </c>
      <c r="C130" s="36">
        <v>0</v>
      </c>
      <c r="D130" s="36">
        <v>0</v>
      </c>
      <c r="E130" s="36">
        <v>0</v>
      </c>
      <c r="F130" s="36">
        <v>0</v>
      </c>
      <c r="G130" s="36">
        <v>0</v>
      </c>
      <c r="H130" s="36">
        <v>0</v>
      </c>
      <c r="I130" s="36">
        <v>0</v>
      </c>
      <c r="J130" s="36">
        <v>0</v>
      </c>
      <c r="K130" s="36">
        <v>0</v>
      </c>
      <c r="L130" s="36">
        <v>0</v>
      </c>
      <c r="M130" s="36">
        <v>0</v>
      </c>
      <c r="N130" s="36">
        <v>0</v>
      </c>
      <c r="O130" s="36">
        <v>0</v>
      </c>
      <c r="P130" s="36">
        <v>0</v>
      </c>
      <c r="Q130" s="36">
        <v>0</v>
      </c>
      <c r="R130" s="36">
        <v>0</v>
      </c>
      <c r="S130" s="36">
        <v>0</v>
      </c>
      <c r="T130" s="36">
        <v>0</v>
      </c>
      <c r="U130" s="36">
        <v>0</v>
      </c>
      <c r="V130" s="36">
        <v>0</v>
      </c>
      <c r="W130" s="36">
        <v>0</v>
      </c>
      <c r="X130" s="36">
        <v>0</v>
      </c>
      <c r="Y130" s="36">
        <v>0</v>
      </c>
      <c r="Z130" s="36">
        <v>0</v>
      </c>
      <c r="AA130" s="36">
        <v>0</v>
      </c>
      <c r="AB130" s="36">
        <v>0</v>
      </c>
      <c r="AC130" s="36">
        <v>0</v>
      </c>
      <c r="AD130" s="36">
        <v>0</v>
      </c>
      <c r="AE130" s="36">
        <v>0</v>
      </c>
      <c r="AF130" s="36">
        <v>0</v>
      </c>
      <c r="AG130" s="36">
        <v>0</v>
      </c>
      <c r="AH130" s="36">
        <v>0</v>
      </c>
      <c r="AI130" s="36">
        <v>0</v>
      </c>
      <c r="AJ130" s="36">
        <v>0</v>
      </c>
      <c r="AK130" s="36">
        <v>0</v>
      </c>
      <c r="AL130" s="36">
        <v>0</v>
      </c>
      <c r="AM130" s="36">
        <v>0</v>
      </c>
      <c r="AN130" s="36">
        <v>0</v>
      </c>
      <c r="AO130" s="36">
        <v>0</v>
      </c>
      <c r="AP130" s="36">
        <v>0</v>
      </c>
      <c r="AQ130" s="36">
        <v>0</v>
      </c>
      <c r="AR130" s="36">
        <v>0</v>
      </c>
      <c r="AS130" s="36">
        <v>0</v>
      </c>
      <c r="AT130" s="36">
        <v>0</v>
      </c>
      <c r="AU130" s="36">
        <v>0</v>
      </c>
      <c r="AV130" s="36">
        <v>0</v>
      </c>
      <c r="AW130" s="36">
        <v>0</v>
      </c>
      <c r="AX130" s="36">
        <v>0</v>
      </c>
      <c r="AY130" s="36">
        <v>0</v>
      </c>
      <c r="AZ130" s="36">
        <v>-1</v>
      </c>
      <c r="BA130" s="36">
        <v>0</v>
      </c>
      <c r="BB130" s="36">
        <v>0</v>
      </c>
      <c r="BC130" s="36">
        <v>0</v>
      </c>
      <c r="BD130" s="36">
        <v>0</v>
      </c>
      <c r="BE130" s="36">
        <v>0</v>
      </c>
      <c r="BF130" s="36">
        <v>0</v>
      </c>
      <c r="BG130" s="36">
        <v>0</v>
      </c>
      <c r="BH130" s="36">
        <v>0</v>
      </c>
      <c r="BI130" s="36">
        <v>0</v>
      </c>
      <c r="BJ130" s="36">
        <v>0</v>
      </c>
      <c r="BK130" s="36">
        <v>0</v>
      </c>
      <c r="BL130" s="36">
        <v>0</v>
      </c>
      <c r="BM130" s="36">
        <v>0</v>
      </c>
      <c r="BN130" s="36">
        <v>0</v>
      </c>
      <c r="BO130" s="36">
        <v>0</v>
      </c>
      <c r="BP130" s="36">
        <v>0</v>
      </c>
      <c r="BQ130" s="36">
        <v>0</v>
      </c>
      <c r="BR130" s="36">
        <v>0</v>
      </c>
      <c r="BS130" s="36">
        <v>0</v>
      </c>
      <c r="BT130" s="36">
        <v>0</v>
      </c>
      <c r="BU130" s="36">
        <v>0</v>
      </c>
      <c r="BV130" s="36">
        <v>0</v>
      </c>
      <c r="BW130" s="36">
        <v>0</v>
      </c>
      <c r="BX130" s="36">
        <v>0</v>
      </c>
      <c r="BY130" s="36">
        <v>0</v>
      </c>
      <c r="BZ130" s="36">
        <v>0</v>
      </c>
      <c r="CA130" s="36">
        <v>0</v>
      </c>
      <c r="CB130" s="36">
        <v>0</v>
      </c>
      <c r="CC130" s="36">
        <v>0</v>
      </c>
      <c r="CD130" s="36">
        <v>0</v>
      </c>
      <c r="CE130" s="36">
        <v>0</v>
      </c>
      <c r="CF130" s="36">
        <v>0</v>
      </c>
      <c r="CG130" s="36">
        <v>0</v>
      </c>
      <c r="CH130" s="36">
        <v>0</v>
      </c>
      <c r="CI130" s="36">
        <v>1</v>
      </c>
      <c r="CJ130" s="36">
        <v>0</v>
      </c>
      <c r="CK130" s="36">
        <v>0</v>
      </c>
      <c r="CL130" s="36">
        <v>0</v>
      </c>
      <c r="CM130" s="36">
        <v>0</v>
      </c>
      <c r="CN130" s="36">
        <v>0</v>
      </c>
      <c r="CO130" s="36">
        <v>0</v>
      </c>
      <c r="CP130" s="36">
        <v>0</v>
      </c>
      <c r="CQ130" s="36">
        <v>0</v>
      </c>
      <c r="CR130" s="36">
        <v>0</v>
      </c>
      <c r="CS130" s="36">
        <v>0</v>
      </c>
      <c r="CT130" s="36">
        <v>0</v>
      </c>
      <c r="CU130" s="36">
        <v>0</v>
      </c>
      <c r="CV130" s="36">
        <v>0</v>
      </c>
      <c r="CW130" s="36">
        <v>0</v>
      </c>
      <c r="CX130" s="36">
        <v>0</v>
      </c>
      <c r="CY130" s="36">
        <v>0</v>
      </c>
      <c r="CZ130" s="36">
        <v>0</v>
      </c>
      <c r="DA130" s="36">
        <v>0</v>
      </c>
      <c r="DB130" s="36">
        <v>0</v>
      </c>
      <c r="DC130" s="36">
        <v>0</v>
      </c>
      <c r="DD130" s="36">
        <v>0</v>
      </c>
      <c r="DE130" s="36">
        <v>0</v>
      </c>
      <c r="DF130" s="36">
        <v>0</v>
      </c>
      <c r="DG130" s="36">
        <v>0</v>
      </c>
      <c r="DH130" s="36">
        <v>0</v>
      </c>
      <c r="DI130" s="36">
        <v>0</v>
      </c>
      <c r="DJ130" s="36">
        <v>0</v>
      </c>
      <c r="DK130" s="36">
        <v>0</v>
      </c>
      <c r="DL130" s="36">
        <v>0</v>
      </c>
      <c r="DM130" s="36">
        <v>0</v>
      </c>
      <c r="DN130" s="36">
        <v>0</v>
      </c>
      <c r="DO130" s="36">
        <v>0</v>
      </c>
      <c r="DP130" s="36">
        <v>0</v>
      </c>
      <c r="DQ130" s="36">
        <v>0</v>
      </c>
      <c r="DR130" s="36">
        <v>0</v>
      </c>
      <c r="DS130" s="36">
        <v>0</v>
      </c>
      <c r="DT130" s="36">
        <v>0</v>
      </c>
      <c r="DU130" s="36">
        <v>0</v>
      </c>
      <c r="DV130" s="36">
        <v>0</v>
      </c>
      <c r="DW130" s="36">
        <v>0</v>
      </c>
      <c r="DX130" s="36">
        <v>0</v>
      </c>
      <c r="DY130" s="36">
        <v>0</v>
      </c>
      <c r="DZ130" s="36">
        <v>0</v>
      </c>
      <c r="EA130" s="36">
        <v>0</v>
      </c>
      <c r="EB130" s="36">
        <v>0</v>
      </c>
      <c r="EC130" s="36">
        <v>0</v>
      </c>
      <c r="ED130" s="36">
        <v>0</v>
      </c>
      <c r="EE130" s="36">
        <v>0</v>
      </c>
      <c r="EF130" s="36">
        <v>0</v>
      </c>
      <c r="EG130" s="36">
        <v>0</v>
      </c>
      <c r="EH130" s="36">
        <v>0</v>
      </c>
      <c r="EI130" s="36">
        <v>0</v>
      </c>
      <c r="EJ130" s="36">
        <v>0</v>
      </c>
      <c r="EK130" s="36">
        <v>0</v>
      </c>
      <c r="EL130" s="36">
        <v>0</v>
      </c>
      <c r="EM130" s="36">
        <v>0</v>
      </c>
      <c r="EN130" s="36">
        <v>0</v>
      </c>
      <c r="EO130" s="36">
        <v>0</v>
      </c>
      <c r="EP130" s="36">
        <v>0</v>
      </c>
      <c r="ET130" t="s">
        <v>328</v>
      </c>
      <c r="EU130" s="26" t="s">
        <v>420</v>
      </c>
      <c r="EV130" s="48">
        <v>-1</v>
      </c>
      <c r="EW130" s="48">
        <v>4</v>
      </c>
      <c r="EX130" s="48">
        <v>7</v>
      </c>
      <c r="EY130" s="48">
        <v>0</v>
      </c>
      <c r="EZ130" s="48">
        <v>3</v>
      </c>
      <c r="FA130" s="48">
        <v>0</v>
      </c>
      <c r="FB130" s="36">
        <v>0</v>
      </c>
      <c r="FC130" s="48">
        <v>18</v>
      </c>
      <c r="FE130">
        <f t="shared" si="30"/>
        <v>4.5</v>
      </c>
      <c r="FF130">
        <f t="shared" si="31"/>
        <v>4.5</v>
      </c>
      <c r="FG130">
        <f t="shared" si="32"/>
        <v>4.5</v>
      </c>
      <c r="FM130" s="43">
        <f t="shared" si="47"/>
        <v>0</v>
      </c>
      <c r="FN130" s="43">
        <f t="shared" si="47"/>
        <v>0</v>
      </c>
      <c r="FO130" s="43">
        <f t="shared" si="47"/>
        <v>0</v>
      </c>
      <c r="FP130" s="43">
        <f t="shared" si="47"/>
        <v>0</v>
      </c>
      <c r="FQ130" s="43">
        <f t="shared" si="47"/>
        <v>0</v>
      </c>
      <c r="FR130" s="43">
        <f t="shared" si="47"/>
        <v>0</v>
      </c>
      <c r="FS130" s="43">
        <f t="shared" si="43"/>
        <v>0</v>
      </c>
      <c r="FV130" t="s">
        <v>854</v>
      </c>
      <c r="FW130" t="s">
        <v>855</v>
      </c>
    </row>
    <row r="131" spans="1:179" ht="19.5" customHeight="1" x14ac:dyDescent="0.25">
      <c r="A131" t="s">
        <v>293</v>
      </c>
      <c r="B131" s="36">
        <v>1</v>
      </c>
      <c r="C131" s="36">
        <v>0</v>
      </c>
      <c r="D131" s="36">
        <v>0</v>
      </c>
      <c r="E131" s="36">
        <v>0</v>
      </c>
      <c r="F131" s="36">
        <v>0</v>
      </c>
      <c r="G131" s="36">
        <v>0</v>
      </c>
      <c r="H131" s="36">
        <v>0</v>
      </c>
      <c r="I131" s="36">
        <v>0</v>
      </c>
      <c r="J131" s="36">
        <v>0</v>
      </c>
      <c r="K131" s="36">
        <v>0</v>
      </c>
      <c r="L131" s="36">
        <v>0</v>
      </c>
      <c r="M131" s="36">
        <v>0</v>
      </c>
      <c r="N131" s="36">
        <v>0</v>
      </c>
      <c r="O131" s="36">
        <v>0</v>
      </c>
      <c r="P131" s="36">
        <v>0</v>
      </c>
      <c r="Q131" s="36">
        <v>0</v>
      </c>
      <c r="R131" s="36">
        <v>0</v>
      </c>
      <c r="S131" s="36">
        <v>0</v>
      </c>
      <c r="T131" s="36">
        <v>0</v>
      </c>
      <c r="U131" s="36">
        <v>0</v>
      </c>
      <c r="V131" s="36">
        <v>0</v>
      </c>
      <c r="W131" s="36">
        <v>0</v>
      </c>
      <c r="X131" s="36">
        <v>0</v>
      </c>
      <c r="Y131" s="36">
        <v>0</v>
      </c>
      <c r="Z131" s="36">
        <v>0</v>
      </c>
      <c r="AA131" s="36">
        <v>0</v>
      </c>
      <c r="AB131" s="36">
        <v>0</v>
      </c>
      <c r="AC131" s="36">
        <v>0</v>
      </c>
      <c r="AD131" s="36">
        <v>0</v>
      </c>
      <c r="AE131" s="36">
        <v>0</v>
      </c>
      <c r="AF131" s="36">
        <v>0</v>
      </c>
      <c r="AG131" s="36">
        <v>0</v>
      </c>
      <c r="AH131" s="36">
        <v>0</v>
      </c>
      <c r="AI131" s="36">
        <v>0</v>
      </c>
      <c r="AJ131" s="36">
        <v>0</v>
      </c>
      <c r="AK131" s="36">
        <v>0</v>
      </c>
      <c r="AL131" s="36">
        <v>0</v>
      </c>
      <c r="AM131" s="36">
        <v>0</v>
      </c>
      <c r="AN131" s="36">
        <v>0</v>
      </c>
      <c r="AO131" s="36">
        <v>0</v>
      </c>
      <c r="AP131" s="36">
        <v>0</v>
      </c>
      <c r="AQ131" s="36">
        <v>0</v>
      </c>
      <c r="AR131" s="36">
        <v>0</v>
      </c>
      <c r="AS131" s="36">
        <v>0</v>
      </c>
      <c r="AT131" s="36">
        <v>0</v>
      </c>
      <c r="AU131" s="36">
        <v>0</v>
      </c>
      <c r="AV131" s="36">
        <v>0</v>
      </c>
      <c r="AW131" s="36">
        <v>0</v>
      </c>
      <c r="AX131" s="36">
        <v>0</v>
      </c>
      <c r="AY131" s="36">
        <v>0</v>
      </c>
      <c r="AZ131" s="36">
        <v>0</v>
      </c>
      <c r="BA131" s="36">
        <v>-1</v>
      </c>
      <c r="BB131" s="36">
        <v>0</v>
      </c>
      <c r="BC131" s="36">
        <v>0</v>
      </c>
      <c r="BD131" s="36">
        <v>0</v>
      </c>
      <c r="BE131" s="36">
        <v>0</v>
      </c>
      <c r="BF131" s="36">
        <v>0</v>
      </c>
      <c r="BG131" s="36">
        <v>0</v>
      </c>
      <c r="BH131" s="36">
        <v>0</v>
      </c>
      <c r="BI131" s="36">
        <v>0</v>
      </c>
      <c r="BJ131" s="36">
        <v>0</v>
      </c>
      <c r="BK131" s="36">
        <v>0</v>
      </c>
      <c r="BL131" s="36">
        <v>0</v>
      </c>
      <c r="BM131" s="36">
        <v>0</v>
      </c>
      <c r="BN131" s="36">
        <v>0</v>
      </c>
      <c r="BO131" s="36">
        <v>0</v>
      </c>
      <c r="BP131" s="36">
        <v>0</v>
      </c>
      <c r="BQ131" s="36">
        <v>0</v>
      </c>
      <c r="BR131" s="36">
        <v>0</v>
      </c>
      <c r="BS131" s="36">
        <v>0</v>
      </c>
      <c r="BT131" s="36">
        <v>0</v>
      </c>
      <c r="BU131" s="36">
        <v>0</v>
      </c>
      <c r="BV131" s="36">
        <v>0</v>
      </c>
      <c r="BW131" s="36">
        <v>0</v>
      </c>
      <c r="BX131" s="36">
        <v>0</v>
      </c>
      <c r="BY131" s="36">
        <v>0</v>
      </c>
      <c r="BZ131" s="36">
        <v>0</v>
      </c>
      <c r="CA131" s="36">
        <v>0</v>
      </c>
      <c r="CB131" s="36">
        <v>0</v>
      </c>
      <c r="CC131" s="36">
        <v>0</v>
      </c>
      <c r="CD131" s="36">
        <v>0</v>
      </c>
      <c r="CE131" s="36">
        <v>0</v>
      </c>
      <c r="CF131" s="36">
        <v>0</v>
      </c>
      <c r="CG131" s="36">
        <v>0</v>
      </c>
      <c r="CH131" s="36">
        <v>0</v>
      </c>
      <c r="CI131" s="36">
        <v>0</v>
      </c>
      <c r="CJ131" s="36">
        <v>1</v>
      </c>
      <c r="CK131" s="36">
        <v>0</v>
      </c>
      <c r="CL131" s="36">
        <v>0</v>
      </c>
      <c r="CM131" s="36">
        <v>0</v>
      </c>
      <c r="CN131" s="36">
        <v>0</v>
      </c>
      <c r="CO131" s="36">
        <v>0</v>
      </c>
      <c r="CP131" s="36">
        <v>0</v>
      </c>
      <c r="CQ131" s="36">
        <v>0</v>
      </c>
      <c r="CR131" s="36">
        <v>0</v>
      </c>
      <c r="CS131" s="36">
        <v>0</v>
      </c>
      <c r="CT131" s="36">
        <v>0</v>
      </c>
      <c r="CU131" s="36">
        <v>0</v>
      </c>
      <c r="CV131" s="36">
        <v>0</v>
      </c>
      <c r="CW131" s="36">
        <v>0</v>
      </c>
      <c r="CX131" s="36">
        <v>0</v>
      </c>
      <c r="CY131" s="36">
        <v>0</v>
      </c>
      <c r="CZ131" s="36">
        <v>0</v>
      </c>
      <c r="DA131" s="36">
        <v>0</v>
      </c>
      <c r="DB131" s="36">
        <v>0</v>
      </c>
      <c r="DC131" s="36">
        <v>0</v>
      </c>
      <c r="DD131" s="36">
        <v>0</v>
      </c>
      <c r="DE131" s="36">
        <v>0</v>
      </c>
      <c r="DF131" s="36">
        <v>0</v>
      </c>
      <c r="DG131" s="36">
        <v>0</v>
      </c>
      <c r="DH131" s="36">
        <v>0</v>
      </c>
      <c r="DI131" s="36">
        <v>0</v>
      </c>
      <c r="DJ131" s="36">
        <v>0</v>
      </c>
      <c r="DK131" s="36">
        <v>0</v>
      </c>
      <c r="DL131" s="36">
        <v>0</v>
      </c>
      <c r="DM131" s="36">
        <v>0</v>
      </c>
      <c r="DN131" s="36">
        <v>0</v>
      </c>
      <c r="DO131" s="36">
        <v>0</v>
      </c>
      <c r="DP131" s="36">
        <v>0</v>
      </c>
      <c r="DQ131" s="36">
        <v>0</v>
      </c>
      <c r="DR131" s="36">
        <v>0</v>
      </c>
      <c r="DS131" s="36">
        <v>0</v>
      </c>
      <c r="DT131" s="36">
        <v>0</v>
      </c>
      <c r="DU131" s="36">
        <v>0</v>
      </c>
      <c r="DV131" s="36">
        <v>0</v>
      </c>
      <c r="DW131" s="36">
        <v>0</v>
      </c>
      <c r="DX131" s="36">
        <v>0</v>
      </c>
      <c r="DY131" s="36">
        <v>0</v>
      </c>
      <c r="DZ131" s="36">
        <v>0</v>
      </c>
      <c r="EA131" s="36">
        <v>0</v>
      </c>
      <c r="EB131" s="36">
        <v>0</v>
      </c>
      <c r="EC131" s="36">
        <v>0</v>
      </c>
      <c r="ED131" s="36">
        <v>0</v>
      </c>
      <c r="EE131" s="36">
        <v>0</v>
      </c>
      <c r="EF131" s="36">
        <v>0</v>
      </c>
      <c r="EG131" s="36">
        <v>0</v>
      </c>
      <c r="EH131" s="36">
        <v>0</v>
      </c>
      <c r="EI131" s="36">
        <v>0</v>
      </c>
      <c r="EJ131" s="36">
        <v>0</v>
      </c>
      <c r="EK131" s="36">
        <v>0</v>
      </c>
      <c r="EL131" s="36">
        <v>0</v>
      </c>
      <c r="EM131" s="36">
        <v>0</v>
      </c>
      <c r="EN131" s="36">
        <v>0</v>
      </c>
      <c r="EO131" s="36">
        <v>0</v>
      </c>
      <c r="EP131" s="36">
        <v>0</v>
      </c>
      <c r="ET131" t="s">
        <v>329</v>
      </c>
      <c r="EU131" s="26" t="s">
        <v>856</v>
      </c>
      <c r="EV131" s="48">
        <v>-1</v>
      </c>
      <c r="EW131" s="48">
        <v>4</v>
      </c>
      <c r="EX131" s="48">
        <v>7</v>
      </c>
      <c r="EY131" s="48">
        <v>0</v>
      </c>
      <c r="EZ131" s="48">
        <v>3</v>
      </c>
      <c r="FA131" s="48">
        <v>0</v>
      </c>
      <c r="FB131" s="36">
        <v>0</v>
      </c>
      <c r="FC131" s="48">
        <v>18</v>
      </c>
      <c r="FE131">
        <f t="shared" si="30"/>
        <v>4.5</v>
      </c>
      <c r="FF131">
        <f t="shared" si="31"/>
        <v>4.5</v>
      </c>
      <c r="FG131">
        <f t="shared" si="32"/>
        <v>4.5</v>
      </c>
      <c r="FM131" s="43">
        <f t="shared" si="47"/>
        <v>0</v>
      </c>
      <c r="FN131" s="43">
        <f t="shared" si="47"/>
        <v>0</v>
      </c>
      <c r="FO131" s="43">
        <f t="shared" si="47"/>
        <v>0</v>
      </c>
      <c r="FP131" s="43">
        <f t="shared" si="47"/>
        <v>0</v>
      </c>
      <c r="FQ131" s="43">
        <f t="shared" si="47"/>
        <v>0</v>
      </c>
      <c r="FR131" s="43">
        <f t="shared" si="47"/>
        <v>0</v>
      </c>
      <c r="FS131" s="43">
        <f t="shared" si="47"/>
        <v>0</v>
      </c>
      <c r="FV131" t="s">
        <v>857</v>
      </c>
      <c r="FW131" t="s">
        <v>858</v>
      </c>
    </row>
    <row r="132" spans="1:179" ht="19.5" customHeight="1" x14ac:dyDescent="0.25">
      <c r="EH132" s="49"/>
      <c r="EP132" s="48"/>
      <c r="EQ132" s="26"/>
      <c r="ER132" s="26"/>
      <c r="ES132" s="26"/>
      <c r="ET132" t="s">
        <v>168</v>
      </c>
      <c r="EU132" s="26" t="s">
        <v>859</v>
      </c>
      <c r="EV132" s="48">
        <v>-1</v>
      </c>
      <c r="EW132" s="48">
        <v>4</v>
      </c>
      <c r="EX132" s="48">
        <v>7</v>
      </c>
      <c r="EY132" s="48">
        <v>0</v>
      </c>
      <c r="EZ132" s="48">
        <v>3</v>
      </c>
      <c r="FA132" s="48">
        <v>0</v>
      </c>
      <c r="FB132" s="36">
        <v>0</v>
      </c>
      <c r="FC132" s="48">
        <v>18</v>
      </c>
      <c r="FE132">
        <f t="shared" si="30"/>
        <v>4.5</v>
      </c>
      <c r="FF132">
        <f t="shared" si="31"/>
        <v>4.5</v>
      </c>
      <c r="FG132">
        <f t="shared" si="32"/>
        <v>4.5</v>
      </c>
    </row>
    <row r="133" spans="1:179" ht="19.5" customHeight="1" x14ac:dyDescent="0.25">
      <c r="EH133" s="49"/>
      <c r="EP133" s="48"/>
      <c r="EQ133" s="26"/>
      <c r="ER133" s="26"/>
      <c r="ES133" s="26"/>
      <c r="ET133" t="s">
        <v>84</v>
      </c>
      <c r="EU133" s="26" t="s">
        <v>860</v>
      </c>
      <c r="EV133" s="48">
        <v>-1</v>
      </c>
      <c r="EW133" s="48">
        <v>4</v>
      </c>
      <c r="EX133" s="48">
        <v>7</v>
      </c>
      <c r="EY133" s="48">
        <v>0</v>
      </c>
      <c r="EZ133" s="48">
        <v>3</v>
      </c>
      <c r="FA133" s="48">
        <v>0</v>
      </c>
      <c r="FB133" s="36">
        <v>0</v>
      </c>
      <c r="FC133" s="48">
        <v>18</v>
      </c>
      <c r="FE133">
        <f t="shared" si="30"/>
        <v>4.5</v>
      </c>
      <c r="FF133">
        <f t="shared" si="31"/>
        <v>4.5</v>
      </c>
      <c r="FG133">
        <f t="shared" si="32"/>
        <v>4.5</v>
      </c>
      <c r="FM133" s="43">
        <f>SUM(FM2:FM131)</f>
        <v>-1.6653345369377348E-15</v>
      </c>
      <c r="FN133" s="43">
        <f t="shared" ref="FN133:FS133" si="51">SUM(FN2:FN131)</f>
        <v>3.9999999995044E-5</v>
      </c>
      <c r="FO133" s="43">
        <f t="shared" si="51"/>
        <v>8.8817841970012523E-16</v>
      </c>
      <c r="FP133" s="43">
        <f t="shared" si="51"/>
        <v>3.8857805861880479E-16</v>
      </c>
      <c r="FQ133" s="43">
        <f t="shared" si="51"/>
        <v>-1.609823385706477E-15</v>
      </c>
      <c r="FR133" s="43">
        <f t="shared" si="51"/>
        <v>0</v>
      </c>
      <c r="FS133" s="43">
        <f t="shared" si="51"/>
        <v>3.5527136788005009E-15</v>
      </c>
    </row>
    <row r="134" spans="1:179" ht="19.5" customHeight="1" x14ac:dyDescent="0.35">
      <c r="EH134" s="49"/>
      <c r="ET134" t="s">
        <v>861</v>
      </c>
      <c r="EU134" t="s">
        <v>862</v>
      </c>
      <c r="EV134" s="36">
        <v>-4</v>
      </c>
      <c r="EW134" s="36">
        <v>24</v>
      </c>
      <c r="EX134" s="36">
        <v>36</v>
      </c>
      <c r="EY134" s="36">
        <v>7</v>
      </c>
      <c r="EZ134" s="36">
        <v>17</v>
      </c>
      <c r="FA134" s="36">
        <v>3</v>
      </c>
      <c r="FB134" s="36">
        <v>1</v>
      </c>
      <c r="FC134" s="42">
        <f t="shared" ref="FC134:FC143" si="52">(4*EW134)+(EX134)+(-3*EY134)+(-2*EZ134)+(5*FA134)+(-2*FB134)+(-1*EV134)</f>
        <v>94</v>
      </c>
      <c r="FE134">
        <f t="shared" si="30"/>
        <v>6.583333333333333</v>
      </c>
      <c r="FF134">
        <f t="shared" si="31"/>
        <v>4.25</v>
      </c>
      <c r="FG134">
        <f t="shared" si="32"/>
        <v>5.125</v>
      </c>
    </row>
    <row r="135" spans="1:179" ht="19.5" customHeight="1" x14ac:dyDescent="0.35">
      <c r="EH135" s="49"/>
      <c r="EP135" s="50"/>
      <c r="EQ135" s="46"/>
      <c r="ER135" s="46"/>
      <c r="ES135" s="46"/>
      <c r="ET135" t="s">
        <v>331</v>
      </c>
      <c r="EU135" s="46" t="s">
        <v>863</v>
      </c>
      <c r="EV135" s="36">
        <v>2</v>
      </c>
      <c r="EW135" s="36">
        <v>4</v>
      </c>
      <c r="EX135" s="36">
        <v>14</v>
      </c>
      <c r="EY135" s="36">
        <v>2</v>
      </c>
      <c r="EZ135" s="48">
        <v>0</v>
      </c>
      <c r="FA135" s="36">
        <v>0</v>
      </c>
      <c r="FB135" s="36">
        <v>0</v>
      </c>
      <c r="FC135" s="42">
        <f t="shared" si="52"/>
        <v>22</v>
      </c>
      <c r="FE135">
        <f t="shared" si="30"/>
        <v>9.5</v>
      </c>
      <c r="FF135">
        <f t="shared" si="31"/>
        <v>5.5</v>
      </c>
      <c r="FG135">
        <f t="shared" si="32"/>
        <v>7</v>
      </c>
    </row>
    <row r="136" spans="1:179" ht="19.5" customHeight="1" x14ac:dyDescent="0.35">
      <c r="EH136" s="49"/>
      <c r="EP136" s="50"/>
      <c r="EQ136" s="46"/>
      <c r="ER136" s="46"/>
      <c r="ES136" s="46"/>
      <c r="ET136" t="s">
        <v>332</v>
      </c>
      <c r="EU136" s="46" t="s">
        <v>863</v>
      </c>
      <c r="EV136" s="36">
        <v>2</v>
      </c>
      <c r="EW136" s="36">
        <v>4</v>
      </c>
      <c r="EX136" s="36">
        <v>14</v>
      </c>
      <c r="EY136" s="36">
        <v>2</v>
      </c>
      <c r="EZ136" s="48">
        <v>0</v>
      </c>
      <c r="FA136" s="36">
        <v>0</v>
      </c>
      <c r="FB136" s="36">
        <v>0</v>
      </c>
      <c r="FC136" s="42">
        <f t="shared" si="52"/>
        <v>22</v>
      </c>
      <c r="FE136">
        <f t="shared" si="30"/>
        <v>9.5</v>
      </c>
      <c r="FF136">
        <f t="shared" si="31"/>
        <v>5.5</v>
      </c>
      <c r="FG136">
        <f t="shared" si="32"/>
        <v>7</v>
      </c>
    </row>
    <row r="137" spans="1:179" ht="19.5" customHeight="1" x14ac:dyDescent="0.35">
      <c r="EH137" s="49"/>
      <c r="EP137" s="51"/>
      <c r="EQ137" s="4"/>
      <c r="ER137" s="4"/>
      <c r="ES137" s="4"/>
      <c r="ET137" t="s">
        <v>161</v>
      </c>
      <c r="EU137" s="4" t="s">
        <v>864</v>
      </c>
      <c r="EV137" s="36">
        <v>-1</v>
      </c>
      <c r="EW137" s="36">
        <v>3</v>
      </c>
      <c r="EX137" s="36">
        <v>3</v>
      </c>
      <c r="EY137" s="36">
        <v>0</v>
      </c>
      <c r="EZ137" s="36">
        <v>3</v>
      </c>
      <c r="FA137" s="36">
        <v>0</v>
      </c>
      <c r="FB137" s="36">
        <v>0</v>
      </c>
      <c r="FC137" s="42">
        <f t="shared" si="52"/>
        <v>10</v>
      </c>
      <c r="FE137">
        <f t="shared" si="30"/>
        <v>3.3333333333333335</v>
      </c>
      <c r="FF137">
        <f t="shared" si="31"/>
        <v>3.3333333333333335</v>
      </c>
      <c r="FG137">
        <f t="shared" si="32"/>
        <v>3.3333333333333335</v>
      </c>
    </row>
    <row r="138" spans="1:179" ht="19.5" customHeight="1" x14ac:dyDescent="0.35">
      <c r="EH138" s="49"/>
      <c r="EP138" s="51"/>
      <c r="EQ138" s="4"/>
      <c r="ER138" s="4"/>
      <c r="ES138" s="4"/>
      <c r="ET138" t="s">
        <v>333</v>
      </c>
      <c r="EU138" s="4" t="s">
        <v>864</v>
      </c>
      <c r="EV138" s="36">
        <v>-1</v>
      </c>
      <c r="EW138" s="36">
        <v>3</v>
      </c>
      <c r="EX138" s="36">
        <v>3</v>
      </c>
      <c r="EY138" s="36">
        <v>0</v>
      </c>
      <c r="EZ138" s="36">
        <v>3</v>
      </c>
      <c r="FA138" s="36">
        <v>0</v>
      </c>
      <c r="FB138" s="36">
        <v>0</v>
      </c>
      <c r="FC138" s="42">
        <f t="shared" si="52"/>
        <v>10</v>
      </c>
      <c r="FE138">
        <f t="shared" si="30"/>
        <v>3.3333333333333335</v>
      </c>
      <c r="FF138">
        <f t="shared" si="31"/>
        <v>3.3333333333333335</v>
      </c>
      <c r="FG138">
        <f t="shared" si="32"/>
        <v>3.3333333333333335</v>
      </c>
    </row>
    <row r="139" spans="1:179" ht="19.5" customHeight="1" x14ac:dyDescent="0.25">
      <c r="EH139" s="49"/>
      <c r="ET139" t="s">
        <v>334</v>
      </c>
      <c r="EU139" t="s">
        <v>530</v>
      </c>
      <c r="EV139" s="36">
        <v>0</v>
      </c>
      <c r="EW139" s="36">
        <v>0</v>
      </c>
      <c r="EX139" s="36">
        <v>0</v>
      </c>
      <c r="EY139" s="36">
        <v>0</v>
      </c>
      <c r="EZ139" s="36">
        <v>0</v>
      </c>
      <c r="FA139" s="36">
        <v>0</v>
      </c>
      <c r="FB139" s="36">
        <v>0</v>
      </c>
      <c r="FC139" s="42">
        <f t="shared" si="52"/>
        <v>0</v>
      </c>
      <c r="FE139">
        <v>0</v>
      </c>
      <c r="FF139">
        <v>0</v>
      </c>
      <c r="FG139">
        <v>0</v>
      </c>
    </row>
    <row r="140" spans="1:179" ht="19.5" customHeight="1" x14ac:dyDescent="0.25">
      <c r="EH140" s="49"/>
      <c r="ET140" t="s">
        <v>335</v>
      </c>
      <c r="EU140" t="s">
        <v>530</v>
      </c>
      <c r="EV140" s="36">
        <v>0</v>
      </c>
      <c r="EW140" s="36">
        <v>0</v>
      </c>
      <c r="EX140" s="36">
        <v>2</v>
      </c>
      <c r="EY140" s="36">
        <v>0</v>
      </c>
      <c r="EZ140" s="36">
        <v>0</v>
      </c>
      <c r="FA140" s="36">
        <v>0</v>
      </c>
      <c r="FB140" s="36">
        <v>0</v>
      </c>
      <c r="FC140" s="42">
        <f t="shared" si="52"/>
        <v>2</v>
      </c>
      <c r="FE140">
        <v>0</v>
      </c>
      <c r="FF140">
        <v>0</v>
      </c>
      <c r="FG140">
        <v>0</v>
      </c>
    </row>
    <row r="141" spans="1:179" ht="19.5" customHeight="1" x14ac:dyDescent="0.35">
      <c r="EH141" s="49"/>
      <c r="ET141" t="s">
        <v>336</v>
      </c>
      <c r="EU141" t="s">
        <v>865</v>
      </c>
      <c r="EV141" s="36">
        <v>-2</v>
      </c>
      <c r="EW141" s="36">
        <v>4</v>
      </c>
      <c r="EX141" s="36">
        <v>4</v>
      </c>
      <c r="EY141" s="36">
        <v>0</v>
      </c>
      <c r="EZ141" s="36">
        <v>4</v>
      </c>
      <c r="FA141" s="36">
        <v>0</v>
      </c>
      <c r="FB141" s="36">
        <v>0</v>
      </c>
      <c r="FC141" s="42">
        <f t="shared" si="52"/>
        <v>14</v>
      </c>
      <c r="FE141">
        <f t="shared" si="30"/>
        <v>3.5</v>
      </c>
      <c r="FF141">
        <f t="shared" si="31"/>
        <v>3.5</v>
      </c>
      <c r="FG141">
        <f t="shared" si="32"/>
        <v>3.5</v>
      </c>
    </row>
    <row r="142" spans="1:179" ht="19.5" customHeight="1" x14ac:dyDescent="0.35">
      <c r="EH142" s="49"/>
      <c r="ET142" t="s">
        <v>337</v>
      </c>
      <c r="EU142" t="s">
        <v>865</v>
      </c>
      <c r="EV142" s="36">
        <v>-2</v>
      </c>
      <c r="EW142" s="36">
        <v>4</v>
      </c>
      <c r="EX142" s="36">
        <v>4</v>
      </c>
      <c r="EY142" s="36">
        <v>0</v>
      </c>
      <c r="EZ142" s="36">
        <v>4</v>
      </c>
      <c r="FA142" s="36">
        <v>0</v>
      </c>
      <c r="FB142" s="36">
        <v>0</v>
      </c>
      <c r="FC142" s="42">
        <f t="shared" si="52"/>
        <v>14</v>
      </c>
      <c r="FE142">
        <f t="shared" si="30"/>
        <v>3.5</v>
      </c>
      <c r="FF142">
        <f t="shared" si="31"/>
        <v>3.5</v>
      </c>
      <c r="FG142">
        <f t="shared" si="32"/>
        <v>3.5</v>
      </c>
    </row>
    <row r="143" spans="1:179" ht="19.5" customHeight="1" x14ac:dyDescent="0.35">
      <c r="EH143" s="49"/>
      <c r="ET143" t="s">
        <v>866</v>
      </c>
      <c r="EU143" t="s">
        <v>377</v>
      </c>
      <c r="EV143" s="36">
        <v>-5</v>
      </c>
      <c r="EW143" s="36">
        <v>25</v>
      </c>
      <c r="EX143" s="36">
        <v>35</v>
      </c>
      <c r="EY143" s="36">
        <v>7</v>
      </c>
      <c r="EZ143" s="36">
        <v>19</v>
      </c>
      <c r="FA143" s="36">
        <v>3</v>
      </c>
      <c r="FB143" s="36">
        <v>1</v>
      </c>
      <c r="FC143" s="42">
        <f t="shared" si="52"/>
        <v>94</v>
      </c>
      <c r="FE143">
        <f t="shared" si="30"/>
        <v>6.32</v>
      </c>
      <c r="FF143">
        <f t="shared" si="31"/>
        <v>4.08</v>
      </c>
      <c r="FG143">
        <f t="shared" si="32"/>
        <v>4.92</v>
      </c>
    </row>
    <row r="144" spans="1:179" ht="19.5" customHeight="1" x14ac:dyDescent="0.35">
      <c r="EH144" s="49"/>
      <c r="ET144" t="s">
        <v>867</v>
      </c>
      <c r="EU144" t="s">
        <v>868</v>
      </c>
      <c r="EV144" s="36">
        <v>-2</v>
      </c>
      <c r="EW144" s="36">
        <v>19</v>
      </c>
      <c r="EX144" s="36">
        <v>21</v>
      </c>
      <c r="EY144" s="36">
        <v>7</v>
      </c>
      <c r="EZ144" s="36">
        <v>6</v>
      </c>
      <c r="FA144" s="36">
        <v>0</v>
      </c>
      <c r="FB144" s="36">
        <v>0</v>
      </c>
      <c r="FC144" s="42">
        <v>66</v>
      </c>
      <c r="FE144">
        <f t="shared" si="30"/>
        <v>6.4210526315789478</v>
      </c>
      <c r="FF144">
        <f t="shared" si="31"/>
        <v>3.4736842105263159</v>
      </c>
      <c r="FG144">
        <f t="shared" si="32"/>
        <v>4.5789473684210522</v>
      </c>
    </row>
    <row r="145" spans="138:163" ht="19.5" customHeight="1" x14ac:dyDescent="0.35">
      <c r="EH145" s="49"/>
      <c r="ET145" t="s">
        <v>340</v>
      </c>
      <c r="EU145" t="s">
        <v>869</v>
      </c>
      <c r="EV145" s="36">
        <v>-3</v>
      </c>
      <c r="EW145" s="36">
        <v>30</v>
      </c>
      <c r="EX145" s="36">
        <v>42</v>
      </c>
      <c r="EY145" s="36">
        <v>6</v>
      </c>
      <c r="EZ145" s="36">
        <v>16</v>
      </c>
      <c r="FA145" s="36">
        <v>1</v>
      </c>
      <c r="FB145" s="36">
        <v>0</v>
      </c>
      <c r="FC145" s="42">
        <f>(4*EW145)+(EX145)+(-3*EY145)+(-2*EZ145)+(5*FA145)+(-2*FB145)+(-1*EV145)</f>
        <v>120</v>
      </c>
      <c r="FE145">
        <f t="shared" si="30"/>
        <v>5.6</v>
      </c>
      <c r="FF145">
        <f t="shared" si="31"/>
        <v>4</v>
      </c>
      <c r="FG145">
        <f t="shared" si="32"/>
        <v>4.5999999999999996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44B3-CB31-4604-B380-F4B2A53E2A72}">
  <sheetPr codeName="Sheet12"/>
  <dimension ref="B1:AY266"/>
  <sheetViews>
    <sheetView workbookViewId="0"/>
  </sheetViews>
  <sheetFormatPr defaultRowHeight="15" x14ac:dyDescent="0.25"/>
  <cols>
    <col min="3" max="3" width="105.85546875" customWidth="1"/>
    <col min="4" max="4" width="13.42578125" customWidth="1"/>
    <col min="16" max="16" width="33.42578125" customWidth="1"/>
    <col min="22" max="22" width="27.42578125" customWidth="1"/>
    <col min="29" max="29" width="50.7109375" customWidth="1"/>
    <col min="42" max="42" width="41.5703125" customWidth="1"/>
    <col min="48" max="48" width="28.5703125" customWidth="1"/>
  </cols>
  <sheetData>
    <row r="1" spans="2:48" ht="15" customHeight="1" thickBot="1" x14ac:dyDescent="0.3">
      <c r="B1" s="79" t="s">
        <v>1554</v>
      </c>
      <c r="C1" s="80"/>
      <c r="D1" s="80"/>
      <c r="E1" s="80"/>
      <c r="F1" s="80"/>
      <c r="G1" s="80"/>
      <c r="H1" s="80"/>
      <c r="I1" s="80"/>
      <c r="J1" s="80"/>
      <c r="K1" s="80"/>
    </row>
    <row r="2" spans="2:48" ht="15" customHeight="1" x14ac:dyDescent="0.25">
      <c r="B2" s="6" t="s">
        <v>1555</v>
      </c>
    </row>
    <row r="3" spans="2:48" ht="15" customHeight="1" x14ac:dyDescent="0.25">
      <c r="B3" s="6"/>
      <c r="P3" t="s">
        <v>1556</v>
      </c>
    </row>
    <row r="4" spans="2:48" ht="15" customHeight="1" thickBot="1" x14ac:dyDescent="0.3">
      <c r="B4" s="6"/>
      <c r="P4" t="s">
        <v>1557</v>
      </c>
    </row>
    <row r="5" spans="2:48" ht="15" customHeight="1" thickBot="1" x14ac:dyDescent="0.3">
      <c r="B5" s="81" t="s">
        <v>1558</v>
      </c>
      <c r="C5" s="82"/>
      <c r="D5" s="80"/>
      <c r="E5" s="80"/>
      <c r="F5" s="80"/>
      <c r="G5" s="80"/>
      <c r="H5" s="80"/>
      <c r="I5" s="80"/>
      <c r="J5" s="80"/>
      <c r="K5" s="80"/>
      <c r="L5" s="80"/>
      <c r="M5" s="83"/>
      <c r="P5" s="81" t="s">
        <v>1559</v>
      </c>
      <c r="Q5" s="80"/>
      <c r="R5" s="80"/>
      <c r="S5" s="83"/>
      <c r="V5" s="81" t="s">
        <v>1560</v>
      </c>
      <c r="W5" s="80"/>
      <c r="X5" s="80"/>
      <c r="Y5" s="83"/>
      <c r="AB5" s="6"/>
      <c r="AP5" s="6"/>
      <c r="AV5" s="6"/>
    </row>
    <row r="6" spans="2:48" ht="15" customHeight="1" x14ac:dyDescent="0.25">
      <c r="F6" s="6"/>
      <c r="G6" s="6"/>
      <c r="P6" s="6" t="s">
        <v>1561</v>
      </c>
      <c r="V6" s="6" t="s">
        <v>1561</v>
      </c>
      <c r="AP6" s="6"/>
      <c r="AV6" s="6"/>
    </row>
    <row r="7" spans="2:48" ht="15" customHeight="1" x14ac:dyDescent="0.25">
      <c r="B7" t="s">
        <v>343</v>
      </c>
      <c r="C7" t="s">
        <v>987</v>
      </c>
      <c r="D7" t="s">
        <v>1562</v>
      </c>
      <c r="E7" t="s">
        <v>1563</v>
      </c>
      <c r="F7">
        <v>0</v>
      </c>
      <c r="G7">
        <v>10000</v>
      </c>
      <c r="H7">
        <v>0</v>
      </c>
      <c r="I7">
        <v>1</v>
      </c>
      <c r="J7">
        <v>1</v>
      </c>
      <c r="K7">
        <v>1</v>
      </c>
      <c r="L7">
        <v>1</v>
      </c>
      <c r="M7">
        <v>0.01</v>
      </c>
      <c r="P7" t="s">
        <v>344</v>
      </c>
      <c r="Q7">
        <v>0</v>
      </c>
      <c r="R7">
        <v>0</v>
      </c>
      <c r="S7">
        <v>0</v>
      </c>
      <c r="V7" t="s">
        <v>344</v>
      </c>
      <c r="W7">
        <v>0</v>
      </c>
      <c r="X7">
        <v>0</v>
      </c>
      <c r="Y7">
        <v>0</v>
      </c>
    </row>
    <row r="8" spans="2:48" ht="15" customHeight="1" x14ac:dyDescent="0.25">
      <c r="B8" t="s">
        <v>348</v>
      </c>
      <c r="C8" t="s">
        <v>992</v>
      </c>
      <c r="D8" t="s">
        <v>1562</v>
      </c>
      <c r="E8" t="s">
        <v>1563</v>
      </c>
      <c r="F8">
        <v>0</v>
      </c>
      <c r="G8">
        <v>10000</v>
      </c>
      <c r="H8">
        <v>0</v>
      </c>
      <c r="I8">
        <v>1</v>
      </c>
      <c r="J8">
        <v>1</v>
      </c>
      <c r="K8">
        <v>1</v>
      </c>
      <c r="L8">
        <v>1</v>
      </c>
      <c r="M8">
        <v>0.01</v>
      </c>
      <c r="P8" t="s">
        <v>349</v>
      </c>
      <c r="Q8">
        <v>0</v>
      </c>
      <c r="R8">
        <v>0</v>
      </c>
      <c r="S8">
        <v>0</v>
      </c>
      <c r="V8" t="s">
        <v>349</v>
      </c>
      <c r="W8">
        <v>0</v>
      </c>
      <c r="X8">
        <v>0</v>
      </c>
      <c r="Y8">
        <v>0</v>
      </c>
    </row>
    <row r="9" spans="2:48" ht="15" customHeight="1" x14ac:dyDescent="0.25">
      <c r="B9" t="s">
        <v>353</v>
      </c>
      <c r="C9" t="s">
        <v>997</v>
      </c>
      <c r="D9" t="s">
        <v>1562</v>
      </c>
      <c r="E9" t="s">
        <v>1563</v>
      </c>
      <c r="F9">
        <v>0</v>
      </c>
      <c r="G9">
        <v>10000</v>
      </c>
      <c r="H9">
        <v>0</v>
      </c>
      <c r="I9">
        <v>1</v>
      </c>
      <c r="J9">
        <v>1</v>
      </c>
      <c r="K9">
        <v>1</v>
      </c>
      <c r="L9">
        <v>1</v>
      </c>
      <c r="M9">
        <v>0.01</v>
      </c>
      <c r="P9" t="s">
        <v>354</v>
      </c>
      <c r="Q9">
        <v>0</v>
      </c>
      <c r="R9">
        <v>0</v>
      </c>
      <c r="S9">
        <v>0</v>
      </c>
      <c r="V9" t="s">
        <v>354</v>
      </c>
      <c r="W9">
        <v>0</v>
      </c>
      <c r="X9">
        <v>0</v>
      </c>
      <c r="Y9">
        <v>0</v>
      </c>
    </row>
    <row r="10" spans="2:48" ht="15" customHeight="1" x14ac:dyDescent="0.25">
      <c r="B10" t="s">
        <v>357</v>
      </c>
      <c r="C10" t="s">
        <v>999</v>
      </c>
      <c r="D10" t="s">
        <v>1562</v>
      </c>
      <c r="E10" t="s">
        <v>1563</v>
      </c>
      <c r="F10">
        <v>0</v>
      </c>
      <c r="G10">
        <v>10000</v>
      </c>
      <c r="H10">
        <v>0</v>
      </c>
      <c r="I10">
        <v>1</v>
      </c>
      <c r="J10">
        <v>1</v>
      </c>
      <c r="K10">
        <v>1</v>
      </c>
      <c r="L10">
        <v>1</v>
      </c>
      <c r="M10">
        <v>0.01</v>
      </c>
      <c r="P10" t="s">
        <v>358</v>
      </c>
      <c r="Q10">
        <v>0</v>
      </c>
      <c r="R10">
        <v>0</v>
      </c>
      <c r="S10">
        <v>0</v>
      </c>
      <c r="V10" t="s">
        <v>358</v>
      </c>
      <c r="W10">
        <v>0</v>
      </c>
      <c r="X10">
        <v>0</v>
      </c>
      <c r="Y10">
        <v>0</v>
      </c>
    </row>
    <row r="11" spans="2:48" ht="15" customHeight="1" x14ac:dyDescent="0.25">
      <c r="B11" t="s">
        <v>361</v>
      </c>
      <c r="C11" t="s">
        <v>1005</v>
      </c>
      <c r="D11" t="s">
        <v>1562</v>
      </c>
      <c r="E11" t="s">
        <v>1563</v>
      </c>
      <c r="F11">
        <v>0</v>
      </c>
      <c r="G11">
        <v>10000</v>
      </c>
      <c r="H11">
        <v>0</v>
      </c>
      <c r="I11">
        <v>1</v>
      </c>
      <c r="J11">
        <v>1</v>
      </c>
      <c r="K11">
        <v>1</v>
      </c>
      <c r="L11">
        <v>1</v>
      </c>
      <c r="M11">
        <v>0.01</v>
      </c>
      <c r="P11" t="s">
        <v>362</v>
      </c>
      <c r="Q11">
        <v>0</v>
      </c>
      <c r="R11">
        <v>0</v>
      </c>
      <c r="S11">
        <v>0</v>
      </c>
      <c r="V11" t="s">
        <v>362</v>
      </c>
      <c r="W11">
        <v>0</v>
      </c>
      <c r="X11">
        <v>0</v>
      </c>
      <c r="Y11">
        <v>0</v>
      </c>
    </row>
    <row r="12" spans="2:48" ht="15" customHeight="1" x14ac:dyDescent="0.25">
      <c r="B12" t="s">
        <v>366</v>
      </c>
      <c r="C12" t="s">
        <v>1009</v>
      </c>
      <c r="D12" t="s">
        <v>1562</v>
      </c>
      <c r="E12" t="s">
        <v>1563</v>
      </c>
      <c r="F12">
        <v>0</v>
      </c>
      <c r="G12">
        <v>10000</v>
      </c>
      <c r="H12">
        <v>0</v>
      </c>
      <c r="I12">
        <v>1</v>
      </c>
      <c r="J12">
        <v>1</v>
      </c>
      <c r="K12">
        <v>1</v>
      </c>
      <c r="L12">
        <v>1</v>
      </c>
      <c r="M12">
        <v>0.01</v>
      </c>
      <c r="P12" t="s">
        <v>367</v>
      </c>
      <c r="Q12">
        <v>0</v>
      </c>
      <c r="R12">
        <v>0</v>
      </c>
      <c r="S12">
        <v>0</v>
      </c>
      <c r="V12" t="s">
        <v>367</v>
      </c>
      <c r="W12">
        <v>0</v>
      </c>
      <c r="X12">
        <v>0</v>
      </c>
      <c r="Y12">
        <v>0</v>
      </c>
      <c r="AF12" s="7"/>
      <c r="AG12" s="7"/>
    </row>
    <row r="13" spans="2:48" ht="15" customHeight="1" x14ac:dyDescent="0.25">
      <c r="B13" t="s">
        <v>1015</v>
      </c>
      <c r="C13" t="s">
        <v>1017</v>
      </c>
      <c r="D13" t="s">
        <v>1562</v>
      </c>
      <c r="E13" t="s">
        <v>1563</v>
      </c>
      <c r="F13" s="7">
        <v>0</v>
      </c>
      <c r="G13">
        <v>10000</v>
      </c>
      <c r="H13">
        <v>0</v>
      </c>
      <c r="I13">
        <v>1</v>
      </c>
      <c r="J13">
        <v>1</v>
      </c>
      <c r="K13">
        <v>1</v>
      </c>
      <c r="L13">
        <v>1</v>
      </c>
      <c r="M13">
        <v>0.01</v>
      </c>
      <c r="P13" t="s">
        <v>372</v>
      </c>
      <c r="Q13">
        <v>0</v>
      </c>
      <c r="R13">
        <v>0</v>
      </c>
      <c r="S13">
        <v>1</v>
      </c>
      <c r="V13" t="s">
        <v>372</v>
      </c>
      <c r="W13">
        <v>0</v>
      </c>
      <c r="X13">
        <v>0</v>
      </c>
      <c r="Y13">
        <v>1</v>
      </c>
    </row>
    <row r="14" spans="2:48" x14ac:dyDescent="0.25">
      <c r="B14" t="s">
        <v>1021</v>
      </c>
      <c r="C14" t="s">
        <v>1022</v>
      </c>
      <c r="D14" t="s">
        <v>1562</v>
      </c>
      <c r="E14" t="s">
        <v>1563</v>
      </c>
      <c r="F14">
        <v>-10000</v>
      </c>
      <c r="G14">
        <v>10000</v>
      </c>
      <c r="H14">
        <v>0</v>
      </c>
      <c r="I14">
        <v>1</v>
      </c>
      <c r="J14">
        <v>1</v>
      </c>
      <c r="K14">
        <v>1</v>
      </c>
      <c r="L14">
        <v>1</v>
      </c>
      <c r="M14">
        <v>0.01</v>
      </c>
      <c r="P14" t="s">
        <v>376</v>
      </c>
      <c r="Q14">
        <v>0</v>
      </c>
      <c r="R14">
        <v>0</v>
      </c>
      <c r="S14">
        <v>0</v>
      </c>
      <c r="V14" t="s">
        <v>376</v>
      </c>
      <c r="W14">
        <v>0</v>
      </c>
      <c r="X14">
        <v>0</v>
      </c>
      <c r="Y14">
        <v>0</v>
      </c>
    </row>
    <row r="15" spans="2:48" x14ac:dyDescent="0.25">
      <c r="B15" t="s">
        <v>371</v>
      </c>
      <c r="C15" t="s">
        <v>1027</v>
      </c>
      <c r="D15" t="s">
        <v>1562</v>
      </c>
      <c r="E15" t="s">
        <v>1563</v>
      </c>
      <c r="F15">
        <v>0</v>
      </c>
      <c r="G15">
        <v>10000</v>
      </c>
      <c r="H15">
        <v>0</v>
      </c>
      <c r="I15">
        <v>1</v>
      </c>
      <c r="J15">
        <v>1</v>
      </c>
      <c r="K15">
        <v>1</v>
      </c>
      <c r="L15">
        <v>1</v>
      </c>
      <c r="M15">
        <v>0.01</v>
      </c>
      <c r="P15" t="s">
        <v>381</v>
      </c>
      <c r="Q15">
        <v>0</v>
      </c>
      <c r="R15">
        <v>0</v>
      </c>
      <c r="S15">
        <v>0</v>
      </c>
      <c r="V15" t="s">
        <v>381</v>
      </c>
      <c r="W15">
        <v>0</v>
      </c>
      <c r="X15">
        <v>0</v>
      </c>
      <c r="Y15">
        <v>0</v>
      </c>
    </row>
    <row r="16" spans="2:48" x14ac:dyDescent="0.25">
      <c r="B16" t="s">
        <v>375</v>
      </c>
      <c r="C16" t="s">
        <v>1031</v>
      </c>
      <c r="D16" t="s">
        <v>1562</v>
      </c>
      <c r="E16" t="s">
        <v>1563</v>
      </c>
      <c r="F16">
        <v>0</v>
      </c>
      <c r="G16">
        <v>10000</v>
      </c>
      <c r="H16">
        <v>0</v>
      </c>
      <c r="I16">
        <v>1</v>
      </c>
      <c r="J16">
        <v>1</v>
      </c>
      <c r="K16">
        <v>1</v>
      </c>
      <c r="L16">
        <v>1</v>
      </c>
      <c r="M16">
        <v>0.01</v>
      </c>
      <c r="P16" t="s">
        <v>386</v>
      </c>
      <c r="Q16">
        <v>0</v>
      </c>
      <c r="R16">
        <v>0</v>
      </c>
      <c r="S16">
        <v>0</v>
      </c>
      <c r="V16" t="s">
        <v>386</v>
      </c>
      <c r="W16">
        <v>0</v>
      </c>
      <c r="X16">
        <v>0</v>
      </c>
      <c r="Y16">
        <v>0</v>
      </c>
    </row>
    <row r="17" spans="2:25" x14ac:dyDescent="0.25">
      <c r="B17" t="s">
        <v>380</v>
      </c>
      <c r="C17" t="s">
        <v>1035</v>
      </c>
      <c r="D17" t="s">
        <v>1562</v>
      </c>
      <c r="E17" t="s">
        <v>1563</v>
      </c>
      <c r="F17">
        <v>0</v>
      </c>
      <c r="G17">
        <v>10000</v>
      </c>
      <c r="H17">
        <v>0</v>
      </c>
      <c r="I17">
        <v>1</v>
      </c>
      <c r="J17">
        <v>1</v>
      </c>
      <c r="K17">
        <v>1</v>
      </c>
      <c r="L17">
        <v>1</v>
      </c>
      <c r="M17">
        <v>0.01</v>
      </c>
      <c r="P17" t="s">
        <v>391</v>
      </c>
      <c r="Q17">
        <v>0</v>
      </c>
      <c r="R17">
        <v>0</v>
      </c>
      <c r="S17">
        <v>0</v>
      </c>
      <c r="V17" t="s">
        <v>391</v>
      </c>
      <c r="W17">
        <v>0</v>
      </c>
      <c r="X17">
        <v>0</v>
      </c>
      <c r="Y17">
        <v>0</v>
      </c>
    </row>
    <row r="18" spans="2:25" x14ac:dyDescent="0.25">
      <c r="B18" t="s">
        <v>385</v>
      </c>
      <c r="C18" t="s">
        <v>1036</v>
      </c>
      <c r="D18" t="s">
        <v>1562</v>
      </c>
      <c r="E18" t="s">
        <v>1563</v>
      </c>
      <c r="F18">
        <v>-10000</v>
      </c>
      <c r="G18">
        <v>10000</v>
      </c>
      <c r="H18">
        <v>0</v>
      </c>
      <c r="I18">
        <v>1</v>
      </c>
      <c r="J18">
        <v>1</v>
      </c>
      <c r="K18">
        <v>1</v>
      </c>
      <c r="L18">
        <v>1</v>
      </c>
      <c r="M18">
        <v>0.01</v>
      </c>
      <c r="P18" t="s">
        <v>395</v>
      </c>
      <c r="Q18">
        <v>0</v>
      </c>
      <c r="R18">
        <v>0</v>
      </c>
      <c r="S18">
        <v>0</v>
      </c>
      <c r="V18" t="s">
        <v>395</v>
      </c>
      <c r="W18">
        <v>0</v>
      </c>
      <c r="X18">
        <v>0</v>
      </c>
      <c r="Y18">
        <v>0</v>
      </c>
    </row>
    <row r="19" spans="2:25" x14ac:dyDescent="0.25">
      <c r="B19" t="s">
        <v>390</v>
      </c>
      <c r="C19" t="s">
        <v>1040</v>
      </c>
      <c r="D19" t="s">
        <v>1562</v>
      </c>
      <c r="E19" t="s">
        <v>1563</v>
      </c>
      <c r="F19">
        <v>0</v>
      </c>
      <c r="G19">
        <v>10000</v>
      </c>
      <c r="H19">
        <v>0</v>
      </c>
      <c r="I19">
        <v>1</v>
      </c>
      <c r="J19">
        <v>1</v>
      </c>
      <c r="K19">
        <v>1</v>
      </c>
      <c r="L19">
        <v>1</v>
      </c>
      <c r="M19">
        <v>0.01</v>
      </c>
      <c r="P19" t="s">
        <v>400</v>
      </c>
      <c r="Q19">
        <v>0</v>
      </c>
      <c r="R19">
        <v>0</v>
      </c>
      <c r="S19">
        <v>0</v>
      </c>
      <c r="V19" t="s">
        <v>400</v>
      </c>
      <c r="W19">
        <v>0</v>
      </c>
      <c r="X19">
        <v>0</v>
      </c>
      <c r="Y19">
        <v>0</v>
      </c>
    </row>
    <row r="20" spans="2:25" x14ac:dyDescent="0.25">
      <c r="B20" t="s">
        <v>394</v>
      </c>
      <c r="C20" t="s">
        <v>1044</v>
      </c>
      <c r="D20" t="s">
        <v>1562</v>
      </c>
      <c r="E20" t="s">
        <v>1563</v>
      </c>
      <c r="F20">
        <v>0</v>
      </c>
      <c r="G20">
        <v>10000</v>
      </c>
      <c r="H20">
        <v>0</v>
      </c>
      <c r="I20">
        <v>1</v>
      </c>
      <c r="J20">
        <v>1</v>
      </c>
      <c r="K20">
        <v>1</v>
      </c>
      <c r="L20">
        <v>1</v>
      </c>
      <c r="M20">
        <v>0.01</v>
      </c>
      <c r="P20" t="s">
        <v>405</v>
      </c>
      <c r="Q20">
        <v>0</v>
      </c>
      <c r="R20">
        <v>0</v>
      </c>
      <c r="S20">
        <v>0</v>
      </c>
      <c r="V20" t="s">
        <v>405</v>
      </c>
      <c r="W20">
        <v>0</v>
      </c>
      <c r="X20">
        <v>0</v>
      </c>
      <c r="Y20">
        <v>0</v>
      </c>
    </row>
    <row r="21" spans="2:25" x14ac:dyDescent="0.25">
      <c r="B21" t="s">
        <v>399</v>
      </c>
      <c r="C21" t="s">
        <v>1046</v>
      </c>
      <c r="D21" t="s">
        <v>1562</v>
      </c>
      <c r="E21" t="s">
        <v>1563</v>
      </c>
      <c r="F21">
        <v>0</v>
      </c>
      <c r="G21">
        <v>10000</v>
      </c>
      <c r="H21">
        <v>0</v>
      </c>
      <c r="I21">
        <v>1</v>
      </c>
      <c r="J21">
        <v>1</v>
      </c>
      <c r="K21">
        <v>1</v>
      </c>
      <c r="L21">
        <v>1</v>
      </c>
      <c r="M21">
        <v>0.01</v>
      </c>
      <c r="P21" t="s">
        <v>163</v>
      </c>
      <c r="Q21">
        <v>0</v>
      </c>
      <c r="R21">
        <v>0</v>
      </c>
      <c r="S21">
        <v>0</v>
      </c>
      <c r="V21" t="s">
        <v>163</v>
      </c>
      <c r="W21">
        <v>0</v>
      </c>
      <c r="X21">
        <v>0</v>
      </c>
      <c r="Y21">
        <v>0</v>
      </c>
    </row>
    <row r="22" spans="2:25" x14ac:dyDescent="0.25">
      <c r="B22" t="s">
        <v>409</v>
      </c>
      <c r="C22" t="s">
        <v>1055</v>
      </c>
      <c r="D22" t="s">
        <v>1562</v>
      </c>
      <c r="E22" t="s">
        <v>1563</v>
      </c>
      <c r="F22">
        <v>-10000</v>
      </c>
      <c r="G22">
        <v>10000</v>
      </c>
      <c r="H22">
        <v>0</v>
      </c>
      <c r="I22">
        <v>1</v>
      </c>
      <c r="J22">
        <v>1</v>
      </c>
      <c r="K22">
        <v>1</v>
      </c>
      <c r="L22">
        <v>1</v>
      </c>
      <c r="M22">
        <v>0.01</v>
      </c>
      <c r="P22" t="s">
        <v>414</v>
      </c>
      <c r="Q22">
        <v>0</v>
      </c>
      <c r="R22">
        <v>0</v>
      </c>
      <c r="S22">
        <v>0</v>
      </c>
      <c r="V22" t="s">
        <v>414</v>
      </c>
      <c r="W22">
        <v>0</v>
      </c>
      <c r="X22">
        <v>0</v>
      </c>
      <c r="Y22">
        <v>0</v>
      </c>
    </row>
    <row r="23" spans="2:25" x14ac:dyDescent="0.25">
      <c r="B23" t="s">
        <v>413</v>
      </c>
      <c r="C23" t="s">
        <v>1060</v>
      </c>
      <c r="D23" t="s">
        <v>1562</v>
      </c>
      <c r="E23" t="s">
        <v>1563</v>
      </c>
      <c r="F23">
        <v>0</v>
      </c>
      <c r="G23">
        <v>10000</v>
      </c>
      <c r="H23">
        <v>0</v>
      </c>
      <c r="I23">
        <v>1</v>
      </c>
      <c r="J23">
        <v>1</v>
      </c>
      <c r="K23">
        <v>1</v>
      </c>
      <c r="L23">
        <v>1</v>
      </c>
      <c r="M23">
        <v>0.01</v>
      </c>
      <c r="P23" t="s">
        <v>419</v>
      </c>
      <c r="Q23">
        <v>0</v>
      </c>
      <c r="R23">
        <v>0</v>
      </c>
      <c r="S23">
        <v>0</v>
      </c>
      <c r="V23" t="s">
        <v>419</v>
      </c>
      <c r="W23">
        <v>0</v>
      </c>
      <c r="X23">
        <v>0</v>
      </c>
      <c r="Y23">
        <v>0</v>
      </c>
    </row>
    <row r="24" spans="2:25" x14ac:dyDescent="0.25">
      <c r="B24" t="s">
        <v>418</v>
      </c>
      <c r="C24" t="s">
        <v>1065</v>
      </c>
      <c r="D24" t="s">
        <v>1562</v>
      </c>
      <c r="E24" t="s">
        <v>1563</v>
      </c>
      <c r="F24">
        <v>-10000</v>
      </c>
      <c r="G24">
        <v>10000</v>
      </c>
      <c r="H24">
        <v>0</v>
      </c>
      <c r="I24">
        <v>1</v>
      </c>
      <c r="J24">
        <v>1</v>
      </c>
      <c r="K24">
        <v>1</v>
      </c>
      <c r="L24">
        <v>1</v>
      </c>
      <c r="M24">
        <v>0.01</v>
      </c>
      <c r="P24" t="s">
        <v>424</v>
      </c>
      <c r="Q24">
        <v>0</v>
      </c>
      <c r="R24">
        <v>0</v>
      </c>
      <c r="S24">
        <v>0</v>
      </c>
      <c r="V24" t="s">
        <v>424</v>
      </c>
      <c r="W24">
        <v>0</v>
      </c>
      <c r="X24">
        <v>0</v>
      </c>
      <c r="Y24">
        <v>0</v>
      </c>
    </row>
    <row r="25" spans="2:25" x14ac:dyDescent="0.25">
      <c r="B25" t="s">
        <v>423</v>
      </c>
      <c r="C25" t="s">
        <v>1070</v>
      </c>
      <c r="D25" t="s">
        <v>1562</v>
      </c>
      <c r="E25" t="s">
        <v>1563</v>
      </c>
      <c r="F25">
        <v>-10000</v>
      </c>
      <c r="G25">
        <v>10000</v>
      </c>
      <c r="H25">
        <v>0</v>
      </c>
      <c r="I25">
        <v>1</v>
      </c>
      <c r="J25">
        <v>1</v>
      </c>
      <c r="K25">
        <v>1</v>
      </c>
      <c r="L25">
        <v>1</v>
      </c>
      <c r="M25">
        <v>0.01</v>
      </c>
      <c r="P25" t="s">
        <v>428</v>
      </c>
      <c r="Q25">
        <v>0</v>
      </c>
      <c r="R25">
        <v>0</v>
      </c>
      <c r="S25">
        <v>0</v>
      </c>
      <c r="V25" t="s">
        <v>428</v>
      </c>
      <c r="W25">
        <v>0</v>
      </c>
      <c r="X25">
        <v>0</v>
      </c>
      <c r="Y25">
        <v>0</v>
      </c>
    </row>
    <row r="26" spans="2:25" x14ac:dyDescent="0.25">
      <c r="B26" t="s">
        <v>427</v>
      </c>
      <c r="C26" t="s">
        <v>1075</v>
      </c>
      <c r="D26" t="s">
        <v>1562</v>
      </c>
      <c r="E26" t="s">
        <v>1563</v>
      </c>
      <c r="F26">
        <v>0</v>
      </c>
      <c r="G26">
        <v>10000</v>
      </c>
      <c r="H26">
        <v>0</v>
      </c>
      <c r="I26">
        <v>1</v>
      </c>
      <c r="J26">
        <v>1</v>
      </c>
      <c r="K26">
        <v>1</v>
      </c>
      <c r="L26">
        <v>1</v>
      </c>
      <c r="M26">
        <v>0.01</v>
      </c>
      <c r="P26" t="s">
        <v>433</v>
      </c>
      <c r="Q26">
        <v>0</v>
      </c>
      <c r="R26">
        <v>0</v>
      </c>
      <c r="S26">
        <v>0</v>
      </c>
      <c r="V26" t="s">
        <v>433</v>
      </c>
      <c r="W26">
        <v>0</v>
      </c>
      <c r="X26">
        <v>0</v>
      </c>
      <c r="Y26">
        <v>0</v>
      </c>
    </row>
    <row r="27" spans="2:25" x14ac:dyDescent="0.25">
      <c r="B27" t="s">
        <v>432</v>
      </c>
      <c r="C27" t="s">
        <v>1080</v>
      </c>
      <c r="D27" t="s">
        <v>1562</v>
      </c>
      <c r="E27" t="s">
        <v>1563</v>
      </c>
      <c r="F27">
        <v>0</v>
      </c>
      <c r="G27">
        <v>10000</v>
      </c>
      <c r="H27">
        <v>0</v>
      </c>
      <c r="I27">
        <v>1</v>
      </c>
      <c r="J27">
        <v>1</v>
      </c>
      <c r="K27">
        <v>1</v>
      </c>
      <c r="L27">
        <v>1</v>
      </c>
      <c r="M27">
        <v>0.01</v>
      </c>
      <c r="P27" t="s">
        <v>438</v>
      </c>
      <c r="Q27">
        <v>0</v>
      </c>
      <c r="R27">
        <v>0</v>
      </c>
      <c r="S27">
        <v>0</v>
      </c>
      <c r="V27" t="s">
        <v>438</v>
      </c>
      <c r="W27">
        <v>0</v>
      </c>
      <c r="X27">
        <v>0</v>
      </c>
      <c r="Y27">
        <v>0</v>
      </c>
    </row>
    <row r="28" spans="2:25" x14ac:dyDescent="0.25">
      <c r="B28" t="s">
        <v>437</v>
      </c>
      <c r="C28" t="s">
        <v>1081</v>
      </c>
      <c r="D28" t="s">
        <v>1562</v>
      </c>
      <c r="E28" t="s">
        <v>1563</v>
      </c>
      <c r="F28">
        <v>0</v>
      </c>
      <c r="G28">
        <v>10000</v>
      </c>
      <c r="H28">
        <v>0</v>
      </c>
      <c r="I28">
        <v>1</v>
      </c>
      <c r="J28">
        <v>1</v>
      </c>
      <c r="K28">
        <v>1</v>
      </c>
      <c r="L28">
        <v>1</v>
      </c>
      <c r="M28">
        <v>0.01</v>
      </c>
      <c r="P28" t="s">
        <v>443</v>
      </c>
      <c r="Q28">
        <v>0</v>
      </c>
      <c r="R28">
        <v>0</v>
      </c>
      <c r="S28">
        <v>0</v>
      </c>
      <c r="V28" t="s">
        <v>443</v>
      </c>
      <c r="W28">
        <v>0</v>
      </c>
      <c r="X28">
        <v>0</v>
      </c>
      <c r="Y28">
        <v>0</v>
      </c>
    </row>
    <row r="29" spans="2:25" x14ac:dyDescent="0.25">
      <c r="B29" t="s">
        <v>442</v>
      </c>
      <c r="C29" t="s">
        <v>1086</v>
      </c>
      <c r="D29" t="s">
        <v>1562</v>
      </c>
      <c r="E29" t="s">
        <v>1563</v>
      </c>
      <c r="F29">
        <v>-10000</v>
      </c>
      <c r="G29">
        <v>10000</v>
      </c>
      <c r="H29">
        <v>0</v>
      </c>
      <c r="I29">
        <v>1</v>
      </c>
      <c r="J29">
        <v>1</v>
      </c>
      <c r="K29">
        <v>1</v>
      </c>
      <c r="L29">
        <v>1</v>
      </c>
      <c r="M29">
        <v>0.01</v>
      </c>
      <c r="P29" t="s">
        <v>448</v>
      </c>
      <c r="Q29">
        <v>0</v>
      </c>
      <c r="R29">
        <v>0</v>
      </c>
      <c r="S29">
        <v>0</v>
      </c>
      <c r="V29" t="s">
        <v>448</v>
      </c>
      <c r="W29">
        <v>0</v>
      </c>
      <c r="X29">
        <v>0</v>
      </c>
      <c r="Y29">
        <v>0</v>
      </c>
    </row>
    <row r="30" spans="2:25" x14ac:dyDescent="0.25">
      <c r="B30" t="s">
        <v>447</v>
      </c>
      <c r="C30" t="s">
        <v>1090</v>
      </c>
      <c r="D30" t="s">
        <v>1562</v>
      </c>
      <c r="E30" t="s">
        <v>1563</v>
      </c>
      <c r="F30">
        <v>-10000</v>
      </c>
      <c r="G30">
        <v>10000</v>
      </c>
      <c r="H30">
        <v>0</v>
      </c>
      <c r="I30">
        <v>1</v>
      </c>
      <c r="J30">
        <v>1</v>
      </c>
      <c r="K30">
        <v>1</v>
      </c>
      <c r="L30">
        <v>1</v>
      </c>
      <c r="M30">
        <v>0.01</v>
      </c>
      <c r="P30" t="s">
        <v>453</v>
      </c>
      <c r="Q30">
        <v>0</v>
      </c>
      <c r="R30">
        <v>0</v>
      </c>
      <c r="S30">
        <v>0</v>
      </c>
      <c r="V30" t="s">
        <v>453</v>
      </c>
      <c r="W30">
        <v>0</v>
      </c>
      <c r="X30">
        <v>0</v>
      </c>
      <c r="Y30">
        <v>0</v>
      </c>
    </row>
    <row r="31" spans="2:25" x14ac:dyDescent="0.25">
      <c r="B31" t="s">
        <v>457</v>
      </c>
      <c r="C31" t="s">
        <v>1101</v>
      </c>
      <c r="D31" t="s">
        <v>1562</v>
      </c>
      <c r="E31" t="s">
        <v>1563</v>
      </c>
      <c r="F31">
        <v>-10000</v>
      </c>
      <c r="G31">
        <v>10000</v>
      </c>
      <c r="H31">
        <v>0</v>
      </c>
      <c r="I31">
        <v>1</v>
      </c>
      <c r="J31">
        <v>1</v>
      </c>
      <c r="K31">
        <v>1</v>
      </c>
      <c r="L31">
        <v>1</v>
      </c>
      <c r="M31">
        <v>0.01</v>
      </c>
      <c r="P31" t="s">
        <v>458</v>
      </c>
      <c r="Q31">
        <v>0</v>
      </c>
      <c r="R31">
        <v>0</v>
      </c>
      <c r="S31">
        <v>0</v>
      </c>
      <c r="V31" t="s">
        <v>458</v>
      </c>
      <c r="W31">
        <v>0</v>
      </c>
      <c r="X31">
        <v>0</v>
      </c>
      <c r="Y31">
        <v>0</v>
      </c>
    </row>
    <row r="32" spans="2:25" x14ac:dyDescent="0.25">
      <c r="B32" t="s">
        <v>462</v>
      </c>
      <c r="C32" t="s">
        <v>1105</v>
      </c>
      <c r="D32" t="s">
        <v>1562</v>
      </c>
      <c r="E32" t="s">
        <v>1563</v>
      </c>
      <c r="F32">
        <v>-10000</v>
      </c>
      <c r="G32">
        <v>10000</v>
      </c>
      <c r="H32">
        <v>0</v>
      </c>
      <c r="I32">
        <v>1</v>
      </c>
      <c r="J32">
        <v>1</v>
      </c>
      <c r="K32">
        <v>1</v>
      </c>
      <c r="L32">
        <v>1</v>
      </c>
      <c r="M32">
        <v>0.01</v>
      </c>
      <c r="P32" t="s">
        <v>239</v>
      </c>
      <c r="Q32">
        <v>0</v>
      </c>
      <c r="R32">
        <v>0</v>
      </c>
      <c r="S32">
        <v>0</v>
      </c>
      <c r="V32" t="s">
        <v>239</v>
      </c>
      <c r="W32">
        <v>0</v>
      </c>
      <c r="X32">
        <v>0</v>
      </c>
      <c r="Y32">
        <v>0</v>
      </c>
    </row>
    <row r="33" spans="2:51" x14ac:dyDescent="0.25">
      <c r="B33" t="s">
        <v>466</v>
      </c>
      <c r="C33" t="s">
        <v>1111</v>
      </c>
      <c r="D33" t="s">
        <v>1562</v>
      </c>
      <c r="E33" t="s">
        <v>1563</v>
      </c>
      <c r="F33">
        <v>-10000</v>
      </c>
      <c r="G33">
        <v>10000</v>
      </c>
      <c r="H33">
        <v>0</v>
      </c>
      <c r="I33">
        <v>1</v>
      </c>
      <c r="J33">
        <v>1</v>
      </c>
      <c r="K33">
        <v>1</v>
      </c>
      <c r="L33">
        <v>1</v>
      </c>
      <c r="M33">
        <v>0.01</v>
      </c>
      <c r="P33" t="s">
        <v>240</v>
      </c>
      <c r="Q33">
        <v>0</v>
      </c>
      <c r="R33">
        <v>0</v>
      </c>
      <c r="S33">
        <v>0</v>
      </c>
      <c r="V33" t="s">
        <v>240</v>
      </c>
      <c r="W33">
        <v>0</v>
      </c>
      <c r="X33">
        <v>0</v>
      </c>
      <c r="Y33">
        <v>0</v>
      </c>
    </row>
    <row r="34" spans="2:51" x14ac:dyDescent="0.25">
      <c r="B34" t="s">
        <v>518</v>
      </c>
      <c r="C34" t="s">
        <v>1167</v>
      </c>
      <c r="D34" t="s">
        <v>1562</v>
      </c>
      <c r="E34" t="s">
        <v>1563</v>
      </c>
      <c r="F34">
        <v>0</v>
      </c>
      <c r="G34">
        <v>10000</v>
      </c>
      <c r="H34">
        <v>0</v>
      </c>
      <c r="I34">
        <v>1</v>
      </c>
      <c r="J34">
        <v>1</v>
      </c>
      <c r="K34">
        <v>1</v>
      </c>
      <c r="L34">
        <v>1</v>
      </c>
      <c r="M34">
        <v>0.01</v>
      </c>
      <c r="P34" t="s">
        <v>241</v>
      </c>
      <c r="Q34">
        <v>0</v>
      </c>
      <c r="R34">
        <v>0</v>
      </c>
      <c r="S34">
        <v>1</v>
      </c>
      <c r="V34" t="s">
        <v>241</v>
      </c>
      <c r="W34">
        <v>0</v>
      </c>
      <c r="X34">
        <v>0</v>
      </c>
      <c r="Y34">
        <v>1</v>
      </c>
    </row>
    <row r="35" spans="2:51" x14ac:dyDescent="0.25">
      <c r="B35" t="s">
        <v>521</v>
      </c>
      <c r="C35" t="s">
        <v>1172</v>
      </c>
      <c r="D35" t="s">
        <v>1562</v>
      </c>
      <c r="E35" t="s">
        <v>1563</v>
      </c>
      <c r="F35">
        <v>0</v>
      </c>
      <c r="G35">
        <v>10000</v>
      </c>
      <c r="H35">
        <v>0</v>
      </c>
      <c r="I35">
        <v>1</v>
      </c>
      <c r="J35">
        <v>1</v>
      </c>
      <c r="K35">
        <v>1</v>
      </c>
      <c r="L35">
        <v>1</v>
      </c>
      <c r="M35">
        <v>0.01</v>
      </c>
      <c r="P35" t="s">
        <v>242</v>
      </c>
      <c r="Q35">
        <v>0</v>
      </c>
      <c r="R35">
        <v>0</v>
      </c>
      <c r="S35">
        <v>0</v>
      </c>
      <c r="V35" t="s">
        <v>242</v>
      </c>
      <c r="W35">
        <v>0</v>
      </c>
      <c r="X35">
        <v>0</v>
      </c>
      <c r="Y35">
        <v>0</v>
      </c>
    </row>
    <row r="36" spans="2:51" x14ac:dyDescent="0.25">
      <c r="B36" t="s">
        <v>525</v>
      </c>
      <c r="C36" t="s">
        <v>1176</v>
      </c>
      <c r="D36" t="s">
        <v>1562</v>
      </c>
      <c r="E36" t="s">
        <v>1563</v>
      </c>
      <c r="F36">
        <v>-10000</v>
      </c>
      <c r="G36">
        <v>10000</v>
      </c>
      <c r="H36">
        <v>0</v>
      </c>
      <c r="I36">
        <v>1</v>
      </c>
      <c r="J36">
        <v>1</v>
      </c>
      <c r="K36">
        <v>1</v>
      </c>
      <c r="L36">
        <v>1</v>
      </c>
      <c r="M36">
        <v>0.01</v>
      </c>
      <c r="P36" t="s">
        <v>478</v>
      </c>
      <c r="Q36">
        <v>0</v>
      </c>
      <c r="R36">
        <v>0</v>
      </c>
      <c r="S36">
        <v>0</v>
      </c>
      <c r="V36" t="s">
        <v>478</v>
      </c>
      <c r="W36">
        <v>0</v>
      </c>
      <c r="X36">
        <v>0</v>
      </c>
      <c r="Y36">
        <v>0</v>
      </c>
    </row>
    <row r="37" spans="2:51" x14ac:dyDescent="0.25">
      <c r="B37" t="s">
        <v>529</v>
      </c>
      <c r="C37" t="s">
        <v>1181</v>
      </c>
      <c r="D37" t="s">
        <v>1562</v>
      </c>
      <c r="E37" t="s">
        <v>1563</v>
      </c>
      <c r="F37" s="7">
        <v>0</v>
      </c>
      <c r="G37">
        <v>10000</v>
      </c>
      <c r="H37">
        <v>0</v>
      </c>
      <c r="I37">
        <v>1</v>
      </c>
      <c r="J37">
        <v>1</v>
      </c>
      <c r="K37">
        <v>1</v>
      </c>
      <c r="L37">
        <v>1</v>
      </c>
      <c r="M37">
        <v>0.01</v>
      </c>
      <c r="P37" t="s">
        <v>244</v>
      </c>
      <c r="Q37">
        <v>0</v>
      </c>
      <c r="R37">
        <v>0</v>
      </c>
      <c r="S37">
        <v>0</v>
      </c>
      <c r="V37" t="s">
        <v>244</v>
      </c>
      <c r="W37">
        <v>0</v>
      </c>
      <c r="X37">
        <v>0</v>
      </c>
      <c r="Y37">
        <v>0</v>
      </c>
    </row>
    <row r="38" spans="2:51" x14ac:dyDescent="0.25">
      <c r="B38" t="s">
        <v>533</v>
      </c>
      <c r="C38" t="s">
        <v>1185</v>
      </c>
      <c r="D38" t="s">
        <v>1562</v>
      </c>
      <c r="E38" t="s">
        <v>1563</v>
      </c>
      <c r="F38">
        <v>0</v>
      </c>
      <c r="G38">
        <v>10000</v>
      </c>
      <c r="H38">
        <v>0</v>
      </c>
      <c r="I38">
        <v>1</v>
      </c>
      <c r="J38">
        <v>1</v>
      </c>
      <c r="K38">
        <v>1</v>
      </c>
      <c r="L38">
        <v>1</v>
      </c>
      <c r="M38">
        <v>0.01</v>
      </c>
      <c r="P38" t="s">
        <v>245</v>
      </c>
      <c r="Q38">
        <v>0</v>
      </c>
      <c r="R38">
        <v>0</v>
      </c>
      <c r="S38">
        <v>1</v>
      </c>
      <c r="V38" t="s">
        <v>245</v>
      </c>
      <c r="W38">
        <v>0</v>
      </c>
      <c r="X38">
        <v>0</v>
      </c>
      <c r="Y38">
        <v>1</v>
      </c>
    </row>
    <row r="39" spans="2:51" x14ac:dyDescent="0.25">
      <c r="B39" t="s">
        <v>538</v>
      </c>
      <c r="C39" t="s">
        <v>1189</v>
      </c>
      <c r="D39" t="s">
        <v>1562</v>
      </c>
      <c r="E39" t="s">
        <v>1563</v>
      </c>
      <c r="F39">
        <v>0</v>
      </c>
      <c r="G39">
        <v>10000</v>
      </c>
      <c r="H39">
        <v>0</v>
      </c>
      <c r="I39">
        <v>1</v>
      </c>
      <c r="J39">
        <v>1</v>
      </c>
      <c r="K39">
        <v>1</v>
      </c>
      <c r="L39">
        <v>1</v>
      </c>
      <c r="M39">
        <v>0.01</v>
      </c>
      <c r="P39" t="s">
        <v>246</v>
      </c>
      <c r="Q39">
        <v>0</v>
      </c>
      <c r="R39">
        <v>0</v>
      </c>
      <c r="S39">
        <v>0</v>
      </c>
      <c r="V39" t="s">
        <v>246</v>
      </c>
      <c r="W39">
        <v>0</v>
      </c>
      <c r="X39">
        <v>0</v>
      </c>
      <c r="Y39">
        <v>0</v>
      </c>
    </row>
    <row r="40" spans="2:51" x14ac:dyDescent="0.25">
      <c r="B40" t="s">
        <v>543</v>
      </c>
      <c r="C40" t="s">
        <v>1193</v>
      </c>
      <c r="D40" t="s">
        <v>1562</v>
      </c>
      <c r="E40" t="s">
        <v>1563</v>
      </c>
      <c r="F40">
        <v>-10000</v>
      </c>
      <c r="G40">
        <v>10000</v>
      </c>
      <c r="H40">
        <v>0</v>
      </c>
      <c r="I40">
        <v>1</v>
      </c>
      <c r="J40">
        <v>1</v>
      </c>
      <c r="K40">
        <v>1</v>
      </c>
      <c r="L40">
        <v>1</v>
      </c>
      <c r="M40">
        <v>0.01</v>
      </c>
      <c r="P40" t="s">
        <v>162</v>
      </c>
      <c r="Q40">
        <v>0</v>
      </c>
      <c r="R40">
        <v>0</v>
      </c>
      <c r="S40">
        <v>0</v>
      </c>
      <c r="V40" t="s">
        <v>162</v>
      </c>
      <c r="W40">
        <v>0</v>
      </c>
      <c r="X40">
        <v>0</v>
      </c>
      <c r="Y40">
        <v>0</v>
      </c>
    </row>
    <row r="41" spans="2:51" x14ac:dyDescent="0.25">
      <c r="B41" t="s">
        <v>546</v>
      </c>
      <c r="C41" t="s">
        <v>1198</v>
      </c>
      <c r="D41" t="s">
        <v>1562</v>
      </c>
      <c r="E41" t="s">
        <v>1563</v>
      </c>
      <c r="F41">
        <v>-10000</v>
      </c>
      <c r="G41">
        <v>10000</v>
      </c>
      <c r="H41">
        <v>0</v>
      </c>
      <c r="I41">
        <v>1</v>
      </c>
      <c r="J41">
        <v>1</v>
      </c>
      <c r="K41">
        <v>1</v>
      </c>
      <c r="L41">
        <v>1</v>
      </c>
      <c r="M41">
        <v>0.01</v>
      </c>
      <c r="P41" t="s">
        <v>498</v>
      </c>
      <c r="Q41">
        <v>0</v>
      </c>
      <c r="R41">
        <v>0</v>
      </c>
      <c r="S41">
        <v>0</v>
      </c>
      <c r="V41" t="s">
        <v>498</v>
      </c>
      <c r="W41">
        <v>0</v>
      </c>
      <c r="X41">
        <v>0</v>
      </c>
      <c r="Y41">
        <v>0</v>
      </c>
    </row>
    <row r="42" spans="2:51" x14ac:dyDescent="0.25">
      <c r="B42" t="s">
        <v>549</v>
      </c>
      <c r="C42" t="s">
        <v>1202</v>
      </c>
      <c r="D42" t="s">
        <v>1562</v>
      </c>
      <c r="E42" t="s">
        <v>1563</v>
      </c>
      <c r="F42">
        <v>-10000</v>
      </c>
      <c r="G42">
        <v>10000</v>
      </c>
      <c r="H42">
        <v>0</v>
      </c>
      <c r="I42">
        <v>1</v>
      </c>
      <c r="J42">
        <v>1</v>
      </c>
      <c r="K42">
        <v>1</v>
      </c>
      <c r="L42">
        <v>1</v>
      </c>
      <c r="M42">
        <v>0.01</v>
      </c>
      <c r="P42" t="s">
        <v>130</v>
      </c>
      <c r="Q42">
        <v>0</v>
      </c>
      <c r="R42">
        <v>0</v>
      </c>
      <c r="S42">
        <v>0</v>
      </c>
      <c r="V42" t="s">
        <v>130</v>
      </c>
      <c r="W42">
        <v>0</v>
      </c>
      <c r="X42">
        <v>0</v>
      </c>
      <c r="Y42">
        <v>0</v>
      </c>
    </row>
    <row r="43" spans="2:51" x14ac:dyDescent="0.25">
      <c r="B43" t="s">
        <v>553</v>
      </c>
      <c r="C43" t="s">
        <v>1208</v>
      </c>
      <c r="D43" t="s">
        <v>1562</v>
      </c>
      <c r="E43" t="s">
        <v>1563</v>
      </c>
      <c r="F43">
        <v>0</v>
      </c>
      <c r="G43">
        <v>10000</v>
      </c>
      <c r="H43">
        <v>0</v>
      </c>
      <c r="I43">
        <v>1</v>
      </c>
      <c r="J43">
        <v>1</v>
      </c>
      <c r="K43">
        <v>1</v>
      </c>
      <c r="L43">
        <v>1</v>
      </c>
      <c r="M43">
        <v>0.01</v>
      </c>
      <c r="P43" t="s">
        <v>506</v>
      </c>
      <c r="Q43">
        <v>0</v>
      </c>
      <c r="R43">
        <v>0</v>
      </c>
      <c r="S43">
        <v>0</v>
      </c>
      <c r="V43" t="s">
        <v>506</v>
      </c>
      <c r="W43">
        <v>0</v>
      </c>
      <c r="X43">
        <v>0</v>
      </c>
      <c r="Y43">
        <v>0</v>
      </c>
    </row>
    <row r="44" spans="2:51" x14ac:dyDescent="0.25">
      <c r="B44" t="s">
        <v>558</v>
      </c>
      <c r="C44" t="s">
        <v>1212</v>
      </c>
      <c r="D44" t="s">
        <v>1562</v>
      </c>
      <c r="E44" t="s">
        <v>1563</v>
      </c>
      <c r="F44">
        <v>0</v>
      </c>
      <c r="G44">
        <v>10000</v>
      </c>
      <c r="H44">
        <v>0</v>
      </c>
      <c r="I44">
        <v>1</v>
      </c>
      <c r="J44">
        <v>1</v>
      </c>
      <c r="K44">
        <v>1</v>
      </c>
      <c r="L44">
        <v>1</v>
      </c>
      <c r="M44">
        <v>0.01</v>
      </c>
      <c r="P44" t="s">
        <v>250</v>
      </c>
      <c r="Q44">
        <v>0</v>
      </c>
      <c r="R44">
        <v>0</v>
      </c>
      <c r="S44">
        <v>0</v>
      </c>
      <c r="V44" t="s">
        <v>250</v>
      </c>
      <c r="W44">
        <v>0</v>
      </c>
      <c r="X44">
        <v>0</v>
      </c>
      <c r="Y44">
        <v>0</v>
      </c>
    </row>
    <row r="45" spans="2:51" x14ac:dyDescent="0.25">
      <c r="B45" t="s">
        <v>561</v>
      </c>
      <c r="C45" t="s">
        <v>1217</v>
      </c>
      <c r="D45" t="s">
        <v>1562</v>
      </c>
      <c r="E45" t="s">
        <v>1563</v>
      </c>
      <c r="F45">
        <v>0</v>
      </c>
      <c r="G45">
        <v>10000</v>
      </c>
      <c r="H45">
        <v>0</v>
      </c>
      <c r="I45">
        <v>1</v>
      </c>
      <c r="J45">
        <v>1</v>
      </c>
      <c r="K45">
        <v>1</v>
      </c>
      <c r="L45">
        <v>1</v>
      </c>
      <c r="M45">
        <v>0.01</v>
      </c>
      <c r="P45" t="s">
        <v>251</v>
      </c>
      <c r="Q45">
        <v>0</v>
      </c>
      <c r="R45">
        <v>0</v>
      </c>
      <c r="S45">
        <v>0</v>
      </c>
      <c r="V45" t="s">
        <v>251</v>
      </c>
      <c r="W45">
        <v>0</v>
      </c>
      <c r="X45">
        <v>0</v>
      </c>
      <c r="Y45">
        <v>0</v>
      </c>
    </row>
    <row r="46" spans="2:51" x14ac:dyDescent="0.25">
      <c r="B46" t="s">
        <v>564</v>
      </c>
      <c r="C46" t="s">
        <v>1222</v>
      </c>
      <c r="D46" t="s">
        <v>1562</v>
      </c>
      <c r="E46" t="s">
        <v>1563</v>
      </c>
      <c r="F46">
        <v>-10000</v>
      </c>
      <c r="G46">
        <v>10000</v>
      </c>
      <c r="H46">
        <v>0</v>
      </c>
      <c r="I46">
        <v>1</v>
      </c>
      <c r="J46">
        <v>1</v>
      </c>
      <c r="K46">
        <v>1</v>
      </c>
      <c r="L46">
        <v>1</v>
      </c>
      <c r="M46">
        <v>0.01</v>
      </c>
      <c r="P46" t="s">
        <v>252</v>
      </c>
      <c r="Q46">
        <v>0</v>
      </c>
      <c r="R46">
        <v>0</v>
      </c>
      <c r="S46" s="7">
        <v>0</v>
      </c>
      <c r="V46" t="s">
        <v>252</v>
      </c>
      <c r="W46">
        <v>0</v>
      </c>
      <c r="X46">
        <v>0</v>
      </c>
      <c r="Y46" s="7">
        <v>0</v>
      </c>
      <c r="AF46" s="7"/>
      <c r="AG46" s="7"/>
      <c r="AS46" s="7"/>
      <c r="AY46" s="7"/>
    </row>
    <row r="47" spans="2:51" x14ac:dyDescent="0.25">
      <c r="B47" t="s">
        <v>567</v>
      </c>
      <c r="C47" t="s">
        <v>1227</v>
      </c>
      <c r="D47" t="s">
        <v>1562</v>
      </c>
      <c r="E47" t="s">
        <v>1563</v>
      </c>
      <c r="F47" s="7">
        <v>-10000</v>
      </c>
      <c r="G47">
        <v>10000</v>
      </c>
      <c r="H47">
        <v>0</v>
      </c>
      <c r="I47">
        <v>1</v>
      </c>
      <c r="J47">
        <v>1</v>
      </c>
      <c r="K47">
        <v>1</v>
      </c>
      <c r="L47">
        <v>1</v>
      </c>
      <c r="M47">
        <v>0.01</v>
      </c>
      <c r="P47" t="s">
        <v>253</v>
      </c>
      <c r="Q47">
        <v>0</v>
      </c>
      <c r="R47">
        <v>0</v>
      </c>
      <c r="S47">
        <v>0</v>
      </c>
      <c r="V47" t="s">
        <v>253</v>
      </c>
      <c r="W47">
        <v>0</v>
      </c>
      <c r="X47">
        <v>0</v>
      </c>
      <c r="Y47">
        <v>0</v>
      </c>
      <c r="AF47" s="7"/>
      <c r="AG47" s="7"/>
    </row>
    <row r="48" spans="2:51" x14ac:dyDescent="0.25">
      <c r="B48" t="s">
        <v>570</v>
      </c>
      <c r="C48" t="s">
        <v>1231</v>
      </c>
      <c r="D48" t="s">
        <v>1562</v>
      </c>
      <c r="E48" t="s">
        <v>1563</v>
      </c>
      <c r="F48" s="7">
        <v>-10000</v>
      </c>
      <c r="G48">
        <v>10000</v>
      </c>
      <c r="H48">
        <v>0</v>
      </c>
      <c r="I48">
        <v>1</v>
      </c>
      <c r="J48">
        <v>1</v>
      </c>
      <c r="K48">
        <v>1</v>
      </c>
      <c r="L48">
        <v>1</v>
      </c>
      <c r="M48">
        <v>0.01</v>
      </c>
      <c r="P48" t="s">
        <v>52</v>
      </c>
      <c r="Q48">
        <v>0</v>
      </c>
      <c r="R48">
        <v>0</v>
      </c>
      <c r="S48">
        <v>0</v>
      </c>
      <c r="V48" t="s">
        <v>52</v>
      </c>
      <c r="W48">
        <v>0</v>
      </c>
      <c r="X48">
        <v>0</v>
      </c>
      <c r="Y48">
        <v>0</v>
      </c>
      <c r="AF48" s="7"/>
      <c r="AG48" s="7"/>
    </row>
    <row r="49" spans="2:51" x14ac:dyDescent="0.25">
      <c r="B49" t="s">
        <v>575</v>
      </c>
      <c r="C49" t="s">
        <v>1236</v>
      </c>
      <c r="D49" t="s">
        <v>1562</v>
      </c>
      <c r="E49" t="s">
        <v>1563</v>
      </c>
      <c r="F49" s="7">
        <v>-10000</v>
      </c>
      <c r="G49">
        <v>10000</v>
      </c>
      <c r="H49">
        <v>0</v>
      </c>
      <c r="I49">
        <v>1</v>
      </c>
      <c r="J49">
        <v>1</v>
      </c>
      <c r="K49">
        <v>1</v>
      </c>
      <c r="L49">
        <v>1</v>
      </c>
      <c r="M49">
        <v>0.01</v>
      </c>
      <c r="P49" t="s">
        <v>254</v>
      </c>
      <c r="Q49">
        <v>0</v>
      </c>
      <c r="R49">
        <v>0</v>
      </c>
      <c r="S49" s="7">
        <v>0</v>
      </c>
      <c r="V49" t="s">
        <v>254</v>
      </c>
      <c r="W49">
        <v>0</v>
      </c>
      <c r="X49">
        <v>0</v>
      </c>
      <c r="Y49" s="7">
        <v>1</v>
      </c>
      <c r="AS49" s="7"/>
      <c r="AY49" s="7"/>
    </row>
    <row r="50" spans="2:51" x14ac:dyDescent="0.25">
      <c r="B50" t="s">
        <v>578</v>
      </c>
      <c r="C50" t="s">
        <v>1240</v>
      </c>
      <c r="D50" t="s">
        <v>1562</v>
      </c>
      <c r="E50" t="s">
        <v>1563</v>
      </c>
      <c r="F50">
        <v>-10000</v>
      </c>
      <c r="G50">
        <v>10000</v>
      </c>
      <c r="H50">
        <v>0</v>
      </c>
      <c r="I50">
        <v>1</v>
      </c>
      <c r="J50">
        <v>1</v>
      </c>
      <c r="K50">
        <v>1</v>
      </c>
      <c r="L50">
        <v>1</v>
      </c>
      <c r="M50">
        <v>0.01</v>
      </c>
      <c r="P50" t="s">
        <v>534</v>
      </c>
      <c r="Q50">
        <v>0</v>
      </c>
      <c r="R50">
        <v>0</v>
      </c>
      <c r="S50">
        <v>0</v>
      </c>
      <c r="V50" t="s">
        <v>534</v>
      </c>
      <c r="W50">
        <v>0</v>
      </c>
      <c r="X50">
        <v>0</v>
      </c>
      <c r="Y50">
        <v>0</v>
      </c>
    </row>
    <row r="51" spans="2:51" x14ac:dyDescent="0.25">
      <c r="B51" t="s">
        <v>581</v>
      </c>
      <c r="C51" t="s">
        <v>1244</v>
      </c>
      <c r="D51" t="s">
        <v>1562</v>
      </c>
      <c r="E51" t="s">
        <v>1563</v>
      </c>
      <c r="F51">
        <v>-10000</v>
      </c>
      <c r="G51">
        <v>10000</v>
      </c>
      <c r="H51">
        <v>0</v>
      </c>
      <c r="I51">
        <v>1</v>
      </c>
      <c r="J51">
        <v>1</v>
      </c>
      <c r="K51">
        <v>1</v>
      </c>
      <c r="L51">
        <v>1</v>
      </c>
      <c r="M51">
        <v>0.01</v>
      </c>
      <c r="P51" t="s">
        <v>539</v>
      </c>
      <c r="Q51">
        <v>0</v>
      </c>
      <c r="R51">
        <v>0</v>
      </c>
      <c r="S51">
        <v>0</v>
      </c>
      <c r="V51" t="s">
        <v>539</v>
      </c>
      <c r="W51">
        <v>0</v>
      </c>
      <c r="X51">
        <v>0</v>
      </c>
      <c r="Y51">
        <v>0</v>
      </c>
    </row>
    <row r="52" spans="2:51" x14ac:dyDescent="0.25">
      <c r="B52" t="s">
        <v>585</v>
      </c>
      <c r="C52" t="s">
        <v>1248</v>
      </c>
      <c r="D52" t="s">
        <v>1562</v>
      </c>
      <c r="E52" t="s">
        <v>1563</v>
      </c>
      <c r="F52">
        <v>-10000</v>
      </c>
      <c r="G52">
        <v>10000</v>
      </c>
      <c r="H52">
        <v>0</v>
      </c>
      <c r="I52">
        <v>1</v>
      </c>
      <c r="J52">
        <v>1</v>
      </c>
      <c r="K52">
        <v>1</v>
      </c>
      <c r="L52">
        <v>1</v>
      </c>
      <c r="M52">
        <v>0.01</v>
      </c>
      <c r="P52" t="s">
        <v>257</v>
      </c>
      <c r="Q52">
        <v>0</v>
      </c>
      <c r="R52">
        <v>0</v>
      </c>
      <c r="S52" s="7">
        <v>1</v>
      </c>
      <c r="V52" t="s">
        <v>257</v>
      </c>
      <c r="W52">
        <v>0</v>
      </c>
      <c r="X52">
        <v>0</v>
      </c>
      <c r="Y52" s="7">
        <v>0</v>
      </c>
      <c r="AS52" s="7"/>
      <c r="AY52" s="7"/>
    </row>
    <row r="53" spans="2:51" x14ac:dyDescent="0.25">
      <c r="B53" t="s">
        <v>1253</v>
      </c>
      <c r="C53" t="s">
        <v>1255</v>
      </c>
      <c r="D53" t="s">
        <v>1562</v>
      </c>
      <c r="E53" t="s">
        <v>1563</v>
      </c>
      <c r="F53">
        <v>0</v>
      </c>
      <c r="G53">
        <v>10000</v>
      </c>
      <c r="H53">
        <v>0</v>
      </c>
      <c r="I53">
        <v>1</v>
      </c>
      <c r="J53">
        <v>1</v>
      </c>
      <c r="K53">
        <v>1</v>
      </c>
      <c r="L53">
        <v>1</v>
      </c>
      <c r="M53">
        <v>0.01</v>
      </c>
      <c r="P53" t="s">
        <v>258</v>
      </c>
      <c r="Q53">
        <v>0</v>
      </c>
      <c r="R53">
        <v>0</v>
      </c>
      <c r="S53" s="3">
        <v>0</v>
      </c>
      <c r="V53" t="s">
        <v>258</v>
      </c>
      <c r="W53">
        <v>0</v>
      </c>
      <c r="X53">
        <v>0</v>
      </c>
      <c r="Y53" s="3">
        <v>0</v>
      </c>
      <c r="AS53" s="3"/>
      <c r="AY53" s="3"/>
    </row>
    <row r="54" spans="2:51" x14ac:dyDescent="0.25">
      <c r="B54" t="s">
        <v>1259</v>
      </c>
      <c r="C54" t="s">
        <v>1260</v>
      </c>
      <c r="D54" t="s">
        <v>1562</v>
      </c>
      <c r="E54" t="s">
        <v>1563</v>
      </c>
      <c r="F54">
        <v>0</v>
      </c>
      <c r="G54">
        <v>10000</v>
      </c>
      <c r="H54">
        <v>0</v>
      </c>
      <c r="I54">
        <v>1</v>
      </c>
      <c r="J54">
        <v>1</v>
      </c>
      <c r="K54">
        <v>1</v>
      </c>
      <c r="L54">
        <v>1</v>
      </c>
      <c r="M54">
        <v>0.01</v>
      </c>
      <c r="P54" t="s">
        <v>259</v>
      </c>
      <c r="Q54">
        <v>0</v>
      </c>
      <c r="R54">
        <v>0</v>
      </c>
      <c r="S54">
        <v>0</v>
      </c>
      <c r="V54" t="s">
        <v>259</v>
      </c>
      <c r="W54">
        <v>0</v>
      </c>
      <c r="X54">
        <v>0</v>
      </c>
      <c r="Y54">
        <v>0</v>
      </c>
    </row>
    <row r="55" spans="2:51" x14ac:dyDescent="0.25">
      <c r="B55" t="s">
        <v>1264</v>
      </c>
      <c r="C55" t="s">
        <v>1266</v>
      </c>
      <c r="D55" t="s">
        <v>1562</v>
      </c>
      <c r="E55" t="s">
        <v>1563</v>
      </c>
      <c r="F55">
        <v>0</v>
      </c>
      <c r="G55">
        <v>10000</v>
      </c>
      <c r="H55">
        <v>0</v>
      </c>
      <c r="I55">
        <v>1</v>
      </c>
      <c r="J55">
        <v>1</v>
      </c>
      <c r="K55">
        <v>1</v>
      </c>
      <c r="L55">
        <v>1</v>
      </c>
      <c r="M55">
        <v>0.01</v>
      </c>
      <c r="P55" t="s">
        <v>554</v>
      </c>
      <c r="Q55">
        <v>0</v>
      </c>
      <c r="R55">
        <v>0</v>
      </c>
      <c r="S55">
        <v>0</v>
      </c>
      <c r="V55" t="s">
        <v>554</v>
      </c>
      <c r="W55">
        <v>0</v>
      </c>
      <c r="X55">
        <v>0</v>
      </c>
      <c r="Y55">
        <v>0</v>
      </c>
    </row>
    <row r="56" spans="2:51" x14ac:dyDescent="0.25">
      <c r="B56" t="s">
        <v>1270</v>
      </c>
      <c r="C56" t="s">
        <v>1271</v>
      </c>
      <c r="D56" t="s">
        <v>1562</v>
      </c>
      <c r="E56" t="s">
        <v>1563</v>
      </c>
      <c r="F56">
        <v>0</v>
      </c>
      <c r="G56">
        <v>10000</v>
      </c>
      <c r="H56">
        <v>0</v>
      </c>
      <c r="I56">
        <v>1</v>
      </c>
      <c r="J56">
        <v>1</v>
      </c>
      <c r="K56">
        <v>1</v>
      </c>
      <c r="L56">
        <v>1</v>
      </c>
      <c r="M56">
        <v>0.01</v>
      </c>
      <c r="P56" t="s">
        <v>260</v>
      </c>
      <c r="Q56">
        <v>0</v>
      </c>
      <c r="R56">
        <v>0</v>
      </c>
      <c r="S56">
        <v>0</v>
      </c>
      <c r="V56" t="s">
        <v>260</v>
      </c>
      <c r="W56">
        <v>0</v>
      </c>
      <c r="X56">
        <v>0</v>
      </c>
      <c r="Y56">
        <v>0</v>
      </c>
    </row>
    <row r="57" spans="2:51" x14ac:dyDescent="0.25">
      <c r="B57" t="s">
        <v>1276</v>
      </c>
      <c r="C57" t="s">
        <v>1278</v>
      </c>
      <c r="D57" t="s">
        <v>1562</v>
      </c>
      <c r="E57" t="s">
        <v>1563</v>
      </c>
      <c r="F57">
        <v>0</v>
      </c>
      <c r="G57">
        <v>10000</v>
      </c>
      <c r="H57">
        <v>0</v>
      </c>
      <c r="I57">
        <v>1</v>
      </c>
      <c r="J57">
        <v>1</v>
      </c>
      <c r="K57">
        <v>1</v>
      </c>
      <c r="L57">
        <v>1</v>
      </c>
      <c r="M57">
        <v>0.01</v>
      </c>
      <c r="P57" t="s">
        <v>261</v>
      </c>
      <c r="Q57">
        <v>0</v>
      </c>
      <c r="R57">
        <v>0</v>
      </c>
      <c r="S57">
        <v>0</v>
      </c>
      <c r="V57" t="s">
        <v>261</v>
      </c>
      <c r="W57">
        <v>0</v>
      </c>
      <c r="X57">
        <v>0</v>
      </c>
      <c r="Y57">
        <v>0</v>
      </c>
    </row>
    <row r="58" spans="2:51" x14ac:dyDescent="0.25">
      <c r="B58" t="s">
        <v>1282</v>
      </c>
      <c r="C58" t="s">
        <v>1283</v>
      </c>
      <c r="D58" t="s">
        <v>1562</v>
      </c>
      <c r="E58" t="s">
        <v>1563</v>
      </c>
      <c r="F58">
        <v>0</v>
      </c>
      <c r="G58">
        <v>10000</v>
      </c>
      <c r="H58">
        <v>0</v>
      </c>
      <c r="I58">
        <v>1</v>
      </c>
      <c r="J58">
        <v>1</v>
      </c>
      <c r="K58">
        <v>1</v>
      </c>
      <c r="L58">
        <v>1</v>
      </c>
      <c r="M58">
        <v>0.01</v>
      </c>
      <c r="P58" t="s">
        <v>262</v>
      </c>
      <c r="Q58">
        <v>0</v>
      </c>
      <c r="R58">
        <v>0</v>
      </c>
      <c r="S58">
        <v>1</v>
      </c>
      <c r="V58" t="s">
        <v>262</v>
      </c>
      <c r="W58">
        <v>0</v>
      </c>
      <c r="X58">
        <v>0</v>
      </c>
      <c r="Y58">
        <v>1</v>
      </c>
    </row>
    <row r="59" spans="2:51" x14ac:dyDescent="0.25">
      <c r="B59" t="s">
        <v>1287</v>
      </c>
      <c r="C59" t="s">
        <v>1288</v>
      </c>
      <c r="D59" t="s">
        <v>1562</v>
      </c>
      <c r="E59" t="s">
        <v>1563</v>
      </c>
      <c r="F59">
        <v>0</v>
      </c>
      <c r="G59">
        <v>10000</v>
      </c>
      <c r="H59">
        <v>0</v>
      </c>
      <c r="I59">
        <v>1</v>
      </c>
      <c r="J59">
        <v>1</v>
      </c>
      <c r="K59">
        <v>1</v>
      </c>
      <c r="L59">
        <v>1</v>
      </c>
      <c r="M59">
        <v>0.01</v>
      </c>
      <c r="P59" t="s">
        <v>167</v>
      </c>
      <c r="Q59">
        <v>0</v>
      </c>
      <c r="R59">
        <v>0</v>
      </c>
      <c r="S59">
        <v>0</v>
      </c>
      <c r="V59" t="s">
        <v>167</v>
      </c>
      <c r="W59">
        <v>0</v>
      </c>
      <c r="X59">
        <v>0</v>
      </c>
      <c r="Y59">
        <v>0</v>
      </c>
    </row>
    <row r="60" spans="2:51" x14ac:dyDescent="0.25">
      <c r="B60" t="s">
        <v>1292</v>
      </c>
      <c r="C60" t="s">
        <v>1293</v>
      </c>
      <c r="D60" t="s">
        <v>1562</v>
      </c>
      <c r="E60" t="s">
        <v>1563</v>
      </c>
      <c r="F60">
        <v>0</v>
      </c>
      <c r="G60">
        <v>10000</v>
      </c>
      <c r="H60">
        <v>0</v>
      </c>
      <c r="I60">
        <v>1</v>
      </c>
      <c r="J60">
        <v>1</v>
      </c>
      <c r="K60">
        <v>1</v>
      </c>
      <c r="L60">
        <v>1</v>
      </c>
      <c r="M60">
        <v>0.01</v>
      </c>
      <c r="P60" t="s">
        <v>571</v>
      </c>
      <c r="Q60">
        <v>0</v>
      </c>
      <c r="R60">
        <v>0</v>
      </c>
      <c r="S60">
        <v>0</v>
      </c>
      <c r="V60" t="s">
        <v>571</v>
      </c>
      <c r="W60">
        <v>0</v>
      </c>
      <c r="X60">
        <v>0</v>
      </c>
      <c r="Y60">
        <v>0</v>
      </c>
    </row>
    <row r="61" spans="2:51" x14ac:dyDescent="0.25">
      <c r="B61" t="s">
        <v>590</v>
      </c>
      <c r="C61" t="s">
        <v>1297</v>
      </c>
      <c r="D61" t="s">
        <v>1562</v>
      </c>
      <c r="E61" t="s">
        <v>1563</v>
      </c>
      <c r="F61">
        <v>-10000</v>
      </c>
      <c r="G61">
        <v>10000</v>
      </c>
      <c r="H61">
        <v>0</v>
      </c>
      <c r="I61">
        <v>1</v>
      </c>
      <c r="J61">
        <v>1</v>
      </c>
      <c r="K61">
        <v>1</v>
      </c>
      <c r="L61">
        <v>1</v>
      </c>
      <c r="M61">
        <v>0.01</v>
      </c>
      <c r="P61" t="s">
        <v>264</v>
      </c>
      <c r="Q61">
        <v>0</v>
      </c>
      <c r="R61">
        <v>0</v>
      </c>
      <c r="S61">
        <v>0</v>
      </c>
      <c r="V61" t="s">
        <v>264</v>
      </c>
      <c r="W61">
        <v>0</v>
      </c>
      <c r="X61">
        <v>0</v>
      </c>
      <c r="Y61">
        <v>0</v>
      </c>
    </row>
    <row r="62" spans="2:51" x14ac:dyDescent="0.25">
      <c r="B62" t="s">
        <v>593</v>
      </c>
      <c r="C62" t="s">
        <v>1301</v>
      </c>
      <c r="D62" t="s">
        <v>1562</v>
      </c>
      <c r="E62" t="s">
        <v>1563</v>
      </c>
      <c r="F62">
        <v>-10000</v>
      </c>
      <c r="G62">
        <v>10000</v>
      </c>
      <c r="H62">
        <v>0</v>
      </c>
      <c r="I62">
        <v>1</v>
      </c>
      <c r="J62">
        <v>1</v>
      </c>
      <c r="K62">
        <v>1</v>
      </c>
      <c r="L62">
        <v>1</v>
      </c>
      <c r="M62">
        <v>0.01</v>
      </c>
      <c r="P62" t="s">
        <v>265</v>
      </c>
      <c r="Q62">
        <v>0</v>
      </c>
      <c r="R62">
        <v>0</v>
      </c>
      <c r="S62">
        <v>0</v>
      </c>
      <c r="V62" t="s">
        <v>265</v>
      </c>
      <c r="W62">
        <v>0</v>
      </c>
      <c r="X62">
        <v>0</v>
      </c>
      <c r="Y62">
        <v>0</v>
      </c>
    </row>
    <row r="63" spans="2:51" x14ac:dyDescent="0.25">
      <c r="B63" t="s">
        <v>598</v>
      </c>
      <c r="C63" t="s">
        <v>1303</v>
      </c>
      <c r="D63" t="s">
        <v>1562</v>
      </c>
      <c r="E63" t="s">
        <v>1563</v>
      </c>
      <c r="F63">
        <v>-10000</v>
      </c>
      <c r="G63">
        <v>10000</v>
      </c>
      <c r="H63">
        <v>0</v>
      </c>
      <c r="I63">
        <v>1</v>
      </c>
      <c r="J63">
        <v>1</v>
      </c>
      <c r="K63">
        <v>1</v>
      </c>
      <c r="L63">
        <v>1</v>
      </c>
      <c r="M63">
        <v>0.01</v>
      </c>
      <c r="P63" t="s">
        <v>159</v>
      </c>
      <c r="Q63">
        <v>0</v>
      </c>
      <c r="R63">
        <v>0</v>
      </c>
      <c r="S63">
        <v>0</v>
      </c>
      <c r="V63" t="s">
        <v>159</v>
      </c>
      <c r="W63">
        <v>0</v>
      </c>
      <c r="X63">
        <v>0</v>
      </c>
      <c r="Y63">
        <v>0</v>
      </c>
    </row>
    <row r="64" spans="2:51" x14ac:dyDescent="0.25">
      <c r="B64" t="s">
        <v>603</v>
      </c>
      <c r="C64" t="s">
        <v>1307</v>
      </c>
      <c r="D64" t="s">
        <v>1562</v>
      </c>
      <c r="E64" t="s">
        <v>1563</v>
      </c>
      <c r="F64">
        <v>-10000</v>
      </c>
      <c r="G64">
        <v>10000</v>
      </c>
      <c r="H64">
        <v>0</v>
      </c>
      <c r="I64">
        <v>1</v>
      </c>
      <c r="J64">
        <v>1</v>
      </c>
      <c r="K64">
        <v>1</v>
      </c>
      <c r="L64">
        <v>1</v>
      </c>
      <c r="M64">
        <v>0.01</v>
      </c>
      <c r="P64" t="s">
        <v>586</v>
      </c>
      <c r="Q64">
        <v>0</v>
      </c>
      <c r="R64">
        <v>0</v>
      </c>
      <c r="S64">
        <v>0</v>
      </c>
      <c r="V64" t="s">
        <v>586</v>
      </c>
      <c r="W64">
        <v>0</v>
      </c>
      <c r="X64">
        <v>0</v>
      </c>
      <c r="Y64">
        <v>0</v>
      </c>
    </row>
    <row r="65" spans="2:33" x14ac:dyDescent="0.25">
      <c r="B65" t="s">
        <v>607</v>
      </c>
      <c r="C65" t="s">
        <v>1311</v>
      </c>
      <c r="D65" t="s">
        <v>1562</v>
      </c>
      <c r="E65" t="s">
        <v>1563</v>
      </c>
      <c r="F65">
        <v>-10000</v>
      </c>
      <c r="G65">
        <v>10000</v>
      </c>
      <c r="H65">
        <v>0</v>
      </c>
      <c r="I65">
        <v>1</v>
      </c>
      <c r="J65">
        <v>1</v>
      </c>
      <c r="K65">
        <v>1</v>
      </c>
      <c r="L65">
        <v>1</v>
      </c>
      <c r="M65">
        <v>0.01</v>
      </c>
      <c r="P65" t="s">
        <v>157</v>
      </c>
      <c r="Q65">
        <v>0</v>
      </c>
      <c r="R65">
        <v>0</v>
      </c>
      <c r="S65">
        <v>0</v>
      </c>
      <c r="V65" t="s">
        <v>157</v>
      </c>
      <c r="W65">
        <v>0</v>
      </c>
      <c r="X65">
        <v>0</v>
      </c>
      <c r="Y65">
        <v>0</v>
      </c>
    </row>
    <row r="66" spans="2:33" x14ac:dyDescent="0.25">
      <c r="B66" t="s">
        <v>633</v>
      </c>
      <c r="C66" t="s">
        <v>1337</v>
      </c>
      <c r="D66" t="s">
        <v>1562</v>
      </c>
      <c r="E66" t="s">
        <v>1563</v>
      </c>
      <c r="F66">
        <v>-10000</v>
      </c>
      <c r="G66">
        <v>10000</v>
      </c>
      <c r="H66">
        <v>0</v>
      </c>
      <c r="I66">
        <v>1</v>
      </c>
      <c r="J66">
        <v>1</v>
      </c>
      <c r="K66">
        <v>1</v>
      </c>
      <c r="L66">
        <v>1</v>
      </c>
      <c r="M66">
        <v>0.01</v>
      </c>
      <c r="P66" t="s">
        <v>594</v>
      </c>
      <c r="Q66">
        <v>0</v>
      </c>
      <c r="R66">
        <v>0</v>
      </c>
      <c r="S66">
        <v>0</v>
      </c>
      <c r="V66" t="s">
        <v>594</v>
      </c>
      <c r="W66">
        <v>0</v>
      </c>
      <c r="X66">
        <v>0</v>
      </c>
      <c r="Y66">
        <v>0</v>
      </c>
    </row>
    <row r="67" spans="2:33" x14ac:dyDescent="0.25">
      <c r="B67" t="s">
        <v>636</v>
      </c>
      <c r="C67" t="s">
        <v>1341</v>
      </c>
      <c r="D67" t="s">
        <v>1562</v>
      </c>
      <c r="E67" t="s">
        <v>1563</v>
      </c>
      <c r="F67">
        <v>0</v>
      </c>
      <c r="G67">
        <v>10000</v>
      </c>
      <c r="H67">
        <v>0</v>
      </c>
      <c r="I67">
        <v>1</v>
      </c>
      <c r="J67">
        <v>1</v>
      </c>
      <c r="K67">
        <v>1</v>
      </c>
      <c r="L67">
        <v>1</v>
      </c>
      <c r="M67">
        <v>0.01</v>
      </c>
      <c r="P67" t="s">
        <v>599</v>
      </c>
      <c r="Q67">
        <v>0</v>
      </c>
      <c r="R67">
        <v>0</v>
      </c>
      <c r="S67">
        <v>0</v>
      </c>
      <c r="V67" t="s">
        <v>599</v>
      </c>
      <c r="W67">
        <v>0</v>
      </c>
      <c r="X67">
        <v>0</v>
      </c>
      <c r="Y67">
        <v>0</v>
      </c>
      <c r="AC67" s="60"/>
    </row>
    <row r="68" spans="2:33" x14ac:dyDescent="0.25">
      <c r="B68" t="s">
        <v>639</v>
      </c>
      <c r="C68" s="60" t="s">
        <v>1342</v>
      </c>
      <c r="D68" t="s">
        <v>1562</v>
      </c>
      <c r="E68" t="s">
        <v>1563</v>
      </c>
      <c r="F68">
        <v>0</v>
      </c>
      <c r="G68">
        <v>10000</v>
      </c>
      <c r="H68">
        <v>0</v>
      </c>
      <c r="I68">
        <v>1</v>
      </c>
      <c r="J68">
        <v>1</v>
      </c>
      <c r="K68">
        <v>1</v>
      </c>
      <c r="L68">
        <v>1</v>
      </c>
      <c r="M68">
        <v>0.01</v>
      </c>
      <c r="P68" t="s">
        <v>271</v>
      </c>
      <c r="Q68">
        <v>0</v>
      </c>
      <c r="R68">
        <v>0</v>
      </c>
      <c r="S68">
        <v>0</v>
      </c>
      <c r="V68" t="s">
        <v>271</v>
      </c>
      <c r="W68">
        <v>0</v>
      </c>
      <c r="X68">
        <v>0</v>
      </c>
      <c r="Y68">
        <v>0</v>
      </c>
      <c r="AC68" s="60"/>
    </row>
    <row r="69" spans="2:33" x14ac:dyDescent="0.25">
      <c r="B69" t="s">
        <v>642</v>
      </c>
      <c r="C69" s="60" t="s">
        <v>1348</v>
      </c>
      <c r="D69" t="s">
        <v>1562</v>
      </c>
      <c r="E69" t="s">
        <v>1563</v>
      </c>
      <c r="F69">
        <v>0</v>
      </c>
      <c r="G69">
        <v>10000</v>
      </c>
      <c r="H69">
        <v>0</v>
      </c>
      <c r="I69">
        <v>1</v>
      </c>
      <c r="J69">
        <v>1</v>
      </c>
      <c r="K69">
        <v>1</v>
      </c>
      <c r="L69">
        <v>1</v>
      </c>
      <c r="M69">
        <v>0.01</v>
      </c>
      <c r="P69" t="s">
        <v>158</v>
      </c>
      <c r="Q69">
        <v>0</v>
      </c>
      <c r="R69">
        <v>0</v>
      </c>
      <c r="S69">
        <v>0</v>
      </c>
      <c r="V69" t="s">
        <v>158</v>
      </c>
      <c r="W69">
        <v>0</v>
      </c>
      <c r="X69">
        <v>0</v>
      </c>
      <c r="Y69">
        <v>0</v>
      </c>
      <c r="AC69" s="60"/>
    </row>
    <row r="70" spans="2:33" x14ac:dyDescent="0.25">
      <c r="B70" t="s">
        <v>646</v>
      </c>
      <c r="C70" s="60" t="s">
        <v>1353</v>
      </c>
      <c r="D70" t="s">
        <v>1562</v>
      </c>
      <c r="E70" t="s">
        <v>1563</v>
      </c>
      <c r="F70">
        <v>0</v>
      </c>
      <c r="G70">
        <v>10000</v>
      </c>
      <c r="H70">
        <v>0</v>
      </c>
      <c r="I70">
        <v>1</v>
      </c>
      <c r="J70">
        <v>1</v>
      </c>
      <c r="K70">
        <v>1</v>
      </c>
      <c r="L70">
        <v>1</v>
      </c>
      <c r="M70">
        <v>0.01</v>
      </c>
      <c r="P70" t="s">
        <v>612</v>
      </c>
      <c r="Q70">
        <v>0</v>
      </c>
      <c r="R70">
        <v>0</v>
      </c>
      <c r="S70">
        <v>0</v>
      </c>
      <c r="V70" t="s">
        <v>612</v>
      </c>
      <c r="W70">
        <v>0</v>
      </c>
      <c r="X70">
        <v>0</v>
      </c>
      <c r="Y70">
        <v>0</v>
      </c>
      <c r="AC70" s="60"/>
    </row>
    <row r="71" spans="2:33" x14ac:dyDescent="0.25">
      <c r="B71" t="s">
        <v>649</v>
      </c>
      <c r="C71" s="60" t="s">
        <v>1357</v>
      </c>
      <c r="D71" t="s">
        <v>1562</v>
      </c>
      <c r="E71" t="s">
        <v>1563</v>
      </c>
      <c r="F71">
        <v>0</v>
      </c>
      <c r="G71">
        <v>10000</v>
      </c>
      <c r="H71">
        <v>0</v>
      </c>
      <c r="I71">
        <v>1</v>
      </c>
      <c r="J71">
        <v>1</v>
      </c>
      <c r="K71">
        <v>1</v>
      </c>
      <c r="L71">
        <v>1</v>
      </c>
      <c r="M71">
        <v>0.01</v>
      </c>
      <c r="P71" t="s">
        <v>616</v>
      </c>
      <c r="Q71">
        <v>0</v>
      </c>
      <c r="R71">
        <v>0</v>
      </c>
      <c r="S71">
        <v>0</v>
      </c>
      <c r="V71" t="s">
        <v>616</v>
      </c>
      <c r="W71">
        <v>0</v>
      </c>
      <c r="X71">
        <v>0</v>
      </c>
      <c r="Y71">
        <v>0</v>
      </c>
      <c r="AC71" s="60"/>
    </row>
    <row r="72" spans="2:33" x14ac:dyDescent="0.25">
      <c r="B72" t="s">
        <v>653</v>
      </c>
      <c r="C72" s="60" t="s">
        <v>1362</v>
      </c>
      <c r="D72" t="s">
        <v>1562</v>
      </c>
      <c r="E72" t="s">
        <v>1563</v>
      </c>
      <c r="F72">
        <v>0</v>
      </c>
      <c r="G72">
        <v>10000</v>
      </c>
      <c r="H72">
        <v>0</v>
      </c>
      <c r="I72">
        <v>1</v>
      </c>
      <c r="J72">
        <v>1</v>
      </c>
      <c r="K72">
        <v>1</v>
      </c>
      <c r="L72">
        <v>1</v>
      </c>
      <c r="M72">
        <v>0.01</v>
      </c>
      <c r="P72" t="s">
        <v>621</v>
      </c>
      <c r="Q72">
        <v>0</v>
      </c>
      <c r="R72">
        <v>0</v>
      </c>
      <c r="S72">
        <v>0</v>
      </c>
      <c r="V72" t="s">
        <v>621</v>
      </c>
      <c r="W72">
        <v>0</v>
      </c>
      <c r="X72">
        <v>0</v>
      </c>
      <c r="Y72">
        <v>0</v>
      </c>
      <c r="AC72" s="60"/>
    </row>
    <row r="73" spans="2:33" x14ac:dyDescent="0.25">
      <c r="B73" t="s">
        <v>656</v>
      </c>
      <c r="C73" s="60" t="s">
        <v>1365</v>
      </c>
      <c r="D73" t="s">
        <v>1562</v>
      </c>
      <c r="E73" t="s">
        <v>1563</v>
      </c>
      <c r="F73">
        <v>0</v>
      </c>
      <c r="G73">
        <v>10000</v>
      </c>
      <c r="H73">
        <v>0</v>
      </c>
      <c r="I73">
        <v>1</v>
      </c>
      <c r="J73">
        <v>1</v>
      </c>
      <c r="K73">
        <v>1</v>
      </c>
      <c r="L73">
        <v>1</v>
      </c>
      <c r="M73">
        <v>0.01</v>
      </c>
      <c r="P73" t="s">
        <v>626</v>
      </c>
      <c r="Q73">
        <v>0</v>
      </c>
      <c r="R73">
        <v>0</v>
      </c>
      <c r="S73">
        <v>0</v>
      </c>
      <c r="V73" t="s">
        <v>626</v>
      </c>
      <c r="W73">
        <v>0</v>
      </c>
      <c r="X73">
        <v>0</v>
      </c>
      <c r="Y73">
        <v>0</v>
      </c>
      <c r="AC73" s="60"/>
    </row>
    <row r="74" spans="2:33" x14ac:dyDescent="0.25">
      <c r="B74" t="s">
        <v>660</v>
      </c>
      <c r="C74" s="60" t="s">
        <v>1374</v>
      </c>
      <c r="D74" t="s">
        <v>1562</v>
      </c>
      <c r="E74" t="s">
        <v>1563</v>
      </c>
      <c r="F74">
        <v>0</v>
      </c>
      <c r="G74">
        <v>10000</v>
      </c>
      <c r="H74">
        <v>0</v>
      </c>
      <c r="I74">
        <v>1</v>
      </c>
      <c r="J74">
        <v>1</v>
      </c>
      <c r="K74">
        <v>1</v>
      </c>
      <c r="L74">
        <v>1</v>
      </c>
      <c r="M74">
        <v>0.01</v>
      </c>
      <c r="P74" t="s">
        <v>277</v>
      </c>
      <c r="Q74">
        <v>0</v>
      </c>
      <c r="R74">
        <v>0</v>
      </c>
      <c r="S74">
        <v>0</v>
      </c>
      <c r="V74" t="s">
        <v>277</v>
      </c>
      <c r="W74">
        <v>0</v>
      </c>
      <c r="X74">
        <v>0</v>
      </c>
      <c r="Y74">
        <v>0</v>
      </c>
      <c r="AC74" s="60"/>
    </row>
    <row r="75" spans="2:33" x14ac:dyDescent="0.25">
      <c r="B75" t="s">
        <v>665</v>
      </c>
      <c r="C75" s="60" t="s">
        <v>1378</v>
      </c>
      <c r="D75" t="s">
        <v>1562</v>
      </c>
      <c r="E75" t="s">
        <v>1563</v>
      </c>
      <c r="F75">
        <v>0</v>
      </c>
      <c r="G75">
        <v>10000</v>
      </c>
      <c r="H75">
        <v>0</v>
      </c>
      <c r="I75">
        <v>1</v>
      </c>
      <c r="J75">
        <v>1</v>
      </c>
      <c r="K75">
        <v>1</v>
      </c>
      <c r="L75">
        <v>1</v>
      </c>
      <c r="M75">
        <v>0.01</v>
      </c>
      <c r="P75" t="s">
        <v>278</v>
      </c>
      <c r="Q75">
        <v>0</v>
      </c>
      <c r="R75">
        <v>0</v>
      </c>
      <c r="S75">
        <v>1</v>
      </c>
      <c r="V75" t="s">
        <v>278</v>
      </c>
      <c r="W75">
        <v>0</v>
      </c>
      <c r="X75">
        <v>0</v>
      </c>
      <c r="Y75">
        <v>1</v>
      </c>
      <c r="AC75" s="60"/>
    </row>
    <row r="76" spans="2:33" x14ac:dyDescent="0.25">
      <c r="B76" t="s">
        <v>668</v>
      </c>
      <c r="C76" s="60" t="s">
        <v>1384</v>
      </c>
      <c r="D76" t="s">
        <v>1562</v>
      </c>
      <c r="E76" t="s">
        <v>1563</v>
      </c>
      <c r="F76">
        <v>-10000</v>
      </c>
      <c r="G76">
        <v>10000</v>
      </c>
      <c r="H76">
        <v>0</v>
      </c>
      <c r="I76">
        <v>1</v>
      </c>
      <c r="J76">
        <v>1</v>
      </c>
      <c r="K76">
        <v>1</v>
      </c>
      <c r="L76">
        <v>1</v>
      </c>
      <c r="M76">
        <v>0.01</v>
      </c>
      <c r="P76" t="s">
        <v>279</v>
      </c>
      <c r="Q76">
        <v>0</v>
      </c>
      <c r="R76">
        <v>0</v>
      </c>
      <c r="S76">
        <v>0</v>
      </c>
      <c r="V76" t="s">
        <v>279</v>
      </c>
      <c r="W76">
        <v>0</v>
      </c>
      <c r="X76">
        <v>0</v>
      </c>
      <c r="Y76">
        <v>0</v>
      </c>
    </row>
    <row r="77" spans="2:33" x14ac:dyDescent="0.25">
      <c r="B77" t="s">
        <v>672</v>
      </c>
      <c r="C77" t="s">
        <v>1389</v>
      </c>
      <c r="D77" t="s">
        <v>1562</v>
      </c>
      <c r="E77" t="s">
        <v>1563</v>
      </c>
      <c r="F77">
        <v>0</v>
      </c>
      <c r="G77">
        <v>10000</v>
      </c>
      <c r="H77">
        <v>0</v>
      </c>
      <c r="I77">
        <v>1</v>
      </c>
      <c r="J77">
        <v>1</v>
      </c>
      <c r="K77">
        <v>1</v>
      </c>
      <c r="L77">
        <v>1</v>
      </c>
      <c r="M77">
        <v>0.01</v>
      </c>
      <c r="P77" t="s">
        <v>280</v>
      </c>
      <c r="Q77">
        <v>0</v>
      </c>
      <c r="R77">
        <v>0</v>
      </c>
      <c r="S77">
        <v>0</v>
      </c>
      <c r="V77" t="s">
        <v>280</v>
      </c>
      <c r="W77">
        <v>0</v>
      </c>
      <c r="X77">
        <v>0</v>
      </c>
      <c r="Y77">
        <v>0</v>
      </c>
    </row>
    <row r="78" spans="2:33" x14ac:dyDescent="0.25">
      <c r="B78" t="s">
        <v>676</v>
      </c>
      <c r="C78" t="s">
        <v>1393</v>
      </c>
      <c r="D78" t="s">
        <v>1562</v>
      </c>
      <c r="E78" t="s">
        <v>1563</v>
      </c>
      <c r="F78">
        <v>0</v>
      </c>
      <c r="G78">
        <v>10000</v>
      </c>
      <c r="H78">
        <v>0</v>
      </c>
      <c r="I78">
        <v>1</v>
      </c>
      <c r="J78">
        <v>1</v>
      </c>
      <c r="K78">
        <v>1</v>
      </c>
      <c r="L78">
        <v>1</v>
      </c>
      <c r="M78">
        <v>0.01</v>
      </c>
      <c r="P78" t="s">
        <v>281</v>
      </c>
      <c r="Q78">
        <v>0</v>
      </c>
      <c r="R78">
        <v>0</v>
      </c>
      <c r="S78">
        <v>0</v>
      </c>
      <c r="V78" t="s">
        <v>281</v>
      </c>
      <c r="W78">
        <v>0</v>
      </c>
      <c r="X78">
        <v>0</v>
      </c>
      <c r="Y78">
        <v>0</v>
      </c>
      <c r="AC78" s="69"/>
      <c r="AF78" s="84"/>
      <c r="AG78" s="84"/>
    </row>
    <row r="79" spans="2:33" x14ac:dyDescent="0.25">
      <c r="B79" t="s">
        <v>679</v>
      </c>
      <c r="C79" s="69" t="s">
        <v>1397</v>
      </c>
      <c r="D79" t="s">
        <v>1562</v>
      </c>
      <c r="E79" t="s">
        <v>1563</v>
      </c>
      <c r="F79" s="71">
        <v>-10000</v>
      </c>
      <c r="G79">
        <v>10000</v>
      </c>
      <c r="H79">
        <v>0</v>
      </c>
      <c r="I79">
        <v>1</v>
      </c>
      <c r="J79">
        <v>1</v>
      </c>
      <c r="K79">
        <v>1</v>
      </c>
      <c r="L79">
        <v>1</v>
      </c>
      <c r="M79">
        <v>0.01</v>
      </c>
      <c r="P79" t="s">
        <v>282</v>
      </c>
      <c r="Q79">
        <v>0</v>
      </c>
      <c r="R79">
        <v>0</v>
      </c>
      <c r="S79">
        <v>1</v>
      </c>
      <c r="V79" t="s">
        <v>282</v>
      </c>
      <c r="W79">
        <v>0</v>
      </c>
      <c r="X79">
        <v>0</v>
      </c>
      <c r="Y79">
        <v>1</v>
      </c>
    </row>
    <row r="80" spans="2:33" x14ac:dyDescent="0.25">
      <c r="B80" t="s">
        <v>682</v>
      </c>
      <c r="C80" t="s">
        <v>1401</v>
      </c>
      <c r="D80" t="s">
        <v>1562</v>
      </c>
      <c r="E80" t="s">
        <v>1563</v>
      </c>
      <c r="F80">
        <v>0</v>
      </c>
      <c r="G80">
        <v>10000</v>
      </c>
      <c r="H80">
        <v>0</v>
      </c>
      <c r="I80">
        <v>1</v>
      </c>
      <c r="J80">
        <v>1</v>
      </c>
      <c r="K80">
        <v>1</v>
      </c>
      <c r="L80">
        <v>1</v>
      </c>
      <c r="M80">
        <v>0.01</v>
      </c>
      <c r="P80" t="s">
        <v>283</v>
      </c>
      <c r="Q80">
        <v>0</v>
      </c>
      <c r="R80">
        <v>0</v>
      </c>
      <c r="S80">
        <v>0</v>
      </c>
      <c r="V80" t="s">
        <v>283</v>
      </c>
      <c r="W80">
        <v>0</v>
      </c>
      <c r="X80">
        <v>0</v>
      </c>
      <c r="Y80">
        <v>0</v>
      </c>
    </row>
    <row r="81" spans="2:51" x14ac:dyDescent="0.25">
      <c r="B81" t="s">
        <v>685</v>
      </c>
      <c r="C81" t="s">
        <v>1407</v>
      </c>
      <c r="D81" t="s">
        <v>1562</v>
      </c>
      <c r="E81" t="s">
        <v>1563</v>
      </c>
      <c r="F81">
        <v>0</v>
      </c>
      <c r="G81">
        <v>10000</v>
      </c>
      <c r="H81">
        <v>0</v>
      </c>
      <c r="I81">
        <v>1</v>
      </c>
      <c r="J81">
        <v>1</v>
      </c>
      <c r="K81">
        <v>1</v>
      </c>
      <c r="L81">
        <v>1</v>
      </c>
      <c r="M81">
        <v>0.01</v>
      </c>
      <c r="P81" t="s">
        <v>284</v>
      </c>
      <c r="Q81">
        <v>0</v>
      </c>
      <c r="R81">
        <v>0</v>
      </c>
      <c r="S81">
        <v>1</v>
      </c>
      <c r="V81" t="s">
        <v>284</v>
      </c>
      <c r="W81">
        <v>0</v>
      </c>
      <c r="X81">
        <v>0</v>
      </c>
      <c r="Y81">
        <v>1</v>
      </c>
    </row>
    <row r="82" spans="2:51" x14ac:dyDescent="0.25">
      <c r="B82" t="s">
        <v>689</v>
      </c>
      <c r="C82" t="s">
        <v>1412</v>
      </c>
      <c r="D82" t="s">
        <v>1562</v>
      </c>
      <c r="E82" t="s">
        <v>1563</v>
      </c>
      <c r="F82">
        <v>0</v>
      </c>
      <c r="G82">
        <v>10000</v>
      </c>
      <c r="H82">
        <v>0</v>
      </c>
      <c r="I82">
        <v>1</v>
      </c>
      <c r="J82">
        <v>1</v>
      </c>
      <c r="K82">
        <v>1</v>
      </c>
      <c r="L82">
        <v>1</v>
      </c>
      <c r="M82">
        <v>0.01</v>
      </c>
      <c r="P82" t="s">
        <v>285</v>
      </c>
      <c r="Q82">
        <v>0</v>
      </c>
      <c r="R82">
        <v>0</v>
      </c>
      <c r="S82">
        <v>0</v>
      </c>
      <c r="V82" t="s">
        <v>285</v>
      </c>
      <c r="W82">
        <v>0</v>
      </c>
      <c r="X82">
        <v>0</v>
      </c>
      <c r="Y82">
        <v>0</v>
      </c>
    </row>
    <row r="83" spans="2:51" x14ac:dyDescent="0.25">
      <c r="B83" t="s">
        <v>692</v>
      </c>
      <c r="C83" t="s">
        <v>1417</v>
      </c>
      <c r="D83" t="s">
        <v>1562</v>
      </c>
      <c r="E83" t="s">
        <v>1563</v>
      </c>
      <c r="F83">
        <v>0</v>
      </c>
      <c r="G83">
        <v>10000</v>
      </c>
      <c r="H83">
        <v>0</v>
      </c>
      <c r="I83">
        <v>1</v>
      </c>
      <c r="J83">
        <v>1</v>
      </c>
      <c r="K83">
        <v>1</v>
      </c>
      <c r="L83">
        <v>1</v>
      </c>
      <c r="M83">
        <v>0.01</v>
      </c>
      <c r="P83" t="s">
        <v>661</v>
      </c>
      <c r="Q83">
        <v>0</v>
      </c>
      <c r="R83">
        <v>0</v>
      </c>
      <c r="S83">
        <v>0</v>
      </c>
      <c r="V83" t="s">
        <v>661</v>
      </c>
      <c r="W83">
        <v>0</v>
      </c>
      <c r="X83">
        <v>0</v>
      </c>
      <c r="Y83">
        <v>0</v>
      </c>
    </row>
    <row r="84" spans="2:51" x14ac:dyDescent="0.25">
      <c r="B84" t="s">
        <v>695</v>
      </c>
      <c r="C84" t="s">
        <v>1424</v>
      </c>
      <c r="D84" t="s">
        <v>1562</v>
      </c>
      <c r="E84" t="s">
        <v>1563</v>
      </c>
      <c r="F84">
        <v>0</v>
      </c>
      <c r="G84">
        <v>10000</v>
      </c>
      <c r="H84">
        <v>0</v>
      </c>
      <c r="I84">
        <v>1</v>
      </c>
      <c r="J84">
        <v>1</v>
      </c>
      <c r="K84">
        <v>1</v>
      </c>
      <c r="L84">
        <v>1</v>
      </c>
      <c r="M84">
        <v>0.01</v>
      </c>
      <c r="P84" t="s">
        <v>287</v>
      </c>
      <c r="Q84">
        <v>0</v>
      </c>
      <c r="R84">
        <v>0</v>
      </c>
      <c r="S84">
        <v>0</v>
      </c>
      <c r="V84" t="s">
        <v>287</v>
      </c>
      <c r="W84">
        <v>0</v>
      </c>
      <c r="X84">
        <v>0</v>
      </c>
      <c r="Y84">
        <v>0</v>
      </c>
    </row>
    <row r="85" spans="2:51" x14ac:dyDescent="0.25">
      <c r="B85" t="s">
        <v>698</v>
      </c>
      <c r="C85" t="s">
        <v>1429</v>
      </c>
      <c r="D85" t="s">
        <v>1562</v>
      </c>
      <c r="E85" t="s">
        <v>1563</v>
      </c>
      <c r="F85">
        <v>0</v>
      </c>
      <c r="G85">
        <v>10000</v>
      </c>
      <c r="H85">
        <v>0</v>
      </c>
      <c r="I85">
        <v>1</v>
      </c>
      <c r="J85">
        <v>1</v>
      </c>
      <c r="K85">
        <v>1</v>
      </c>
      <c r="L85">
        <v>1</v>
      </c>
      <c r="M85">
        <v>0.01</v>
      </c>
      <c r="P85" t="s">
        <v>33</v>
      </c>
      <c r="Q85">
        <v>0</v>
      </c>
      <c r="R85">
        <v>0</v>
      </c>
      <c r="S85">
        <v>0</v>
      </c>
      <c r="V85" t="s">
        <v>33</v>
      </c>
      <c r="W85">
        <v>0</v>
      </c>
      <c r="X85">
        <v>0</v>
      </c>
      <c r="Y85">
        <v>0</v>
      </c>
    </row>
    <row r="86" spans="2:51" x14ac:dyDescent="0.25">
      <c r="B86" t="s">
        <v>701</v>
      </c>
      <c r="C86" t="s">
        <v>1435</v>
      </c>
      <c r="D86" t="s">
        <v>1562</v>
      </c>
      <c r="E86" t="s">
        <v>1563</v>
      </c>
      <c r="F86">
        <v>0</v>
      </c>
      <c r="G86">
        <v>10000</v>
      </c>
      <c r="H86">
        <v>0</v>
      </c>
      <c r="I86">
        <v>1</v>
      </c>
      <c r="J86">
        <v>1</v>
      </c>
      <c r="K86">
        <v>1</v>
      </c>
      <c r="L86">
        <v>1</v>
      </c>
      <c r="M86">
        <v>0.01</v>
      </c>
      <c r="P86" t="s">
        <v>288</v>
      </c>
      <c r="Q86">
        <v>0</v>
      </c>
      <c r="R86">
        <v>0</v>
      </c>
      <c r="S86">
        <v>0</v>
      </c>
      <c r="V86" t="s">
        <v>288</v>
      </c>
      <c r="W86">
        <v>0</v>
      </c>
      <c r="X86">
        <v>0</v>
      </c>
      <c r="Y86">
        <v>0</v>
      </c>
    </row>
    <row r="87" spans="2:51" x14ac:dyDescent="0.25">
      <c r="B87" t="s">
        <v>705</v>
      </c>
      <c r="C87" t="s">
        <v>1440</v>
      </c>
      <c r="D87" t="s">
        <v>1562</v>
      </c>
      <c r="E87" t="s">
        <v>1563</v>
      </c>
      <c r="F87">
        <v>0</v>
      </c>
      <c r="G87">
        <v>10000</v>
      </c>
      <c r="H87">
        <v>0</v>
      </c>
      <c r="I87">
        <v>1</v>
      </c>
      <c r="J87">
        <v>1</v>
      </c>
      <c r="K87">
        <v>1</v>
      </c>
      <c r="L87">
        <v>1</v>
      </c>
      <c r="M87">
        <v>0.01</v>
      </c>
      <c r="P87" t="s">
        <v>289</v>
      </c>
      <c r="Q87">
        <v>0</v>
      </c>
      <c r="R87">
        <v>0</v>
      </c>
      <c r="S87" s="7">
        <v>0</v>
      </c>
      <c r="V87" t="s">
        <v>289</v>
      </c>
      <c r="W87">
        <v>0</v>
      </c>
      <c r="X87">
        <v>0</v>
      </c>
      <c r="Y87" s="7">
        <v>0</v>
      </c>
      <c r="AS87" s="7"/>
      <c r="AY87" s="7"/>
    </row>
    <row r="88" spans="2:51" x14ac:dyDescent="0.25">
      <c r="B88" t="s">
        <v>709</v>
      </c>
      <c r="C88" t="s">
        <v>1444</v>
      </c>
      <c r="D88" t="s">
        <v>1562</v>
      </c>
      <c r="E88" t="s">
        <v>1563</v>
      </c>
      <c r="F88">
        <v>-10000</v>
      </c>
      <c r="G88">
        <v>10000</v>
      </c>
      <c r="H88">
        <v>0</v>
      </c>
      <c r="I88">
        <v>1</v>
      </c>
      <c r="J88">
        <v>1</v>
      </c>
      <c r="K88">
        <v>1</v>
      </c>
      <c r="L88">
        <v>1</v>
      </c>
      <c r="M88">
        <v>0.01</v>
      </c>
      <c r="P88" t="s">
        <v>175</v>
      </c>
      <c r="Q88">
        <v>0</v>
      </c>
      <c r="R88">
        <v>0</v>
      </c>
      <c r="S88">
        <v>0</v>
      </c>
      <c r="V88" t="s">
        <v>175</v>
      </c>
      <c r="W88">
        <v>0</v>
      </c>
      <c r="X88">
        <v>0</v>
      </c>
      <c r="Y88">
        <v>0</v>
      </c>
    </row>
    <row r="89" spans="2:51" x14ac:dyDescent="0.25">
      <c r="B89" t="s">
        <v>712</v>
      </c>
      <c r="C89" t="s">
        <v>1446</v>
      </c>
      <c r="D89" t="s">
        <v>1562</v>
      </c>
      <c r="E89" t="s">
        <v>1563</v>
      </c>
      <c r="F89">
        <v>0</v>
      </c>
      <c r="G89">
        <v>10000</v>
      </c>
      <c r="H89">
        <v>0</v>
      </c>
      <c r="I89">
        <v>1</v>
      </c>
      <c r="J89">
        <v>1</v>
      </c>
      <c r="K89">
        <v>1</v>
      </c>
      <c r="L89">
        <v>1</v>
      </c>
      <c r="M89">
        <v>0.01</v>
      </c>
      <c r="P89" t="s">
        <v>290</v>
      </c>
      <c r="Q89">
        <v>0</v>
      </c>
      <c r="R89">
        <v>0</v>
      </c>
      <c r="S89" s="7">
        <v>1</v>
      </c>
      <c r="V89" t="s">
        <v>290</v>
      </c>
      <c r="W89">
        <v>0</v>
      </c>
      <c r="X89">
        <v>0</v>
      </c>
      <c r="Y89" s="7">
        <v>1</v>
      </c>
      <c r="AC89" s="60"/>
      <c r="AS89" s="7"/>
      <c r="AY89" s="7"/>
    </row>
    <row r="90" spans="2:51" x14ac:dyDescent="0.25">
      <c r="B90" t="s">
        <v>254</v>
      </c>
      <c r="C90" s="60" t="s">
        <v>1450</v>
      </c>
      <c r="D90" t="s">
        <v>1562</v>
      </c>
      <c r="E90" t="s">
        <v>1563</v>
      </c>
      <c r="F90">
        <v>0</v>
      </c>
      <c r="G90">
        <v>10000</v>
      </c>
      <c r="H90">
        <v>0</v>
      </c>
      <c r="I90">
        <v>1</v>
      </c>
      <c r="J90">
        <v>1</v>
      </c>
      <c r="K90">
        <v>1</v>
      </c>
      <c r="L90">
        <v>1</v>
      </c>
      <c r="M90">
        <v>0.01</v>
      </c>
      <c r="P90" t="s">
        <v>291</v>
      </c>
      <c r="Q90">
        <v>0</v>
      </c>
      <c r="R90">
        <v>0</v>
      </c>
      <c r="S90">
        <v>0</v>
      </c>
      <c r="V90" t="s">
        <v>291</v>
      </c>
      <c r="W90">
        <v>0</v>
      </c>
      <c r="X90">
        <v>0</v>
      </c>
      <c r="Y90">
        <v>0</v>
      </c>
      <c r="AC90" s="85"/>
      <c r="AF90" s="7"/>
      <c r="AG90" s="7"/>
    </row>
    <row r="91" spans="2:51" x14ac:dyDescent="0.25">
      <c r="B91" t="s">
        <v>718</v>
      </c>
      <c r="C91" s="73" t="s">
        <v>1453</v>
      </c>
      <c r="D91" t="s">
        <v>1562</v>
      </c>
      <c r="E91" t="s">
        <v>1563</v>
      </c>
      <c r="F91">
        <v>0</v>
      </c>
      <c r="G91">
        <v>10000</v>
      </c>
      <c r="H91">
        <v>0</v>
      </c>
      <c r="I91">
        <v>1</v>
      </c>
      <c r="J91">
        <v>1</v>
      </c>
      <c r="K91">
        <v>1</v>
      </c>
      <c r="L91">
        <v>1</v>
      </c>
      <c r="M91">
        <v>0.01</v>
      </c>
      <c r="P91" t="s">
        <v>292</v>
      </c>
      <c r="Q91">
        <v>0</v>
      </c>
      <c r="R91">
        <v>0</v>
      </c>
      <c r="S91">
        <v>1</v>
      </c>
      <c r="V91" t="s">
        <v>292</v>
      </c>
      <c r="W91">
        <v>0</v>
      </c>
      <c r="X91">
        <v>0</v>
      </c>
      <c r="Y91">
        <v>1</v>
      </c>
      <c r="AC91" s="60"/>
    </row>
    <row r="92" spans="2:51" x14ac:dyDescent="0.25">
      <c r="B92" t="s">
        <v>722</v>
      </c>
      <c r="C92" s="60" t="s">
        <v>1456</v>
      </c>
      <c r="D92" t="s">
        <v>1562</v>
      </c>
      <c r="E92" t="s">
        <v>1563</v>
      </c>
      <c r="F92">
        <v>0</v>
      </c>
      <c r="G92">
        <v>10000</v>
      </c>
      <c r="H92">
        <v>0</v>
      </c>
      <c r="I92">
        <v>1</v>
      </c>
      <c r="J92">
        <v>1</v>
      </c>
      <c r="K92">
        <v>1</v>
      </c>
      <c r="L92">
        <v>1</v>
      </c>
      <c r="M92">
        <v>0.01</v>
      </c>
      <c r="P92" t="s">
        <v>293</v>
      </c>
      <c r="Q92">
        <v>0</v>
      </c>
      <c r="R92">
        <v>0</v>
      </c>
      <c r="S92">
        <v>1</v>
      </c>
      <c r="V92" t="s">
        <v>293</v>
      </c>
      <c r="W92">
        <v>0</v>
      </c>
      <c r="X92">
        <v>0</v>
      </c>
      <c r="Y92">
        <v>1</v>
      </c>
    </row>
    <row r="93" spans="2:51" x14ac:dyDescent="0.25">
      <c r="B93" t="s">
        <v>726</v>
      </c>
      <c r="C93" t="s">
        <v>1461</v>
      </c>
      <c r="D93" t="s">
        <v>1562</v>
      </c>
      <c r="E93" t="s">
        <v>1563</v>
      </c>
      <c r="F93">
        <v>-10000</v>
      </c>
      <c r="G93">
        <v>10000</v>
      </c>
      <c r="H93">
        <v>0</v>
      </c>
      <c r="I93">
        <v>1</v>
      </c>
      <c r="J93">
        <v>1</v>
      </c>
      <c r="K93">
        <v>1</v>
      </c>
      <c r="L93">
        <v>1</v>
      </c>
      <c r="M93">
        <v>0.01</v>
      </c>
      <c r="P93" t="s">
        <v>294</v>
      </c>
      <c r="Q93">
        <v>0</v>
      </c>
      <c r="R93">
        <v>0</v>
      </c>
      <c r="S93">
        <v>0</v>
      </c>
      <c r="V93" t="s">
        <v>294</v>
      </c>
      <c r="W93">
        <v>0</v>
      </c>
      <c r="X93">
        <v>0</v>
      </c>
      <c r="Y93">
        <v>0</v>
      </c>
    </row>
    <row r="94" spans="2:51" x14ac:dyDescent="0.25">
      <c r="B94" t="s">
        <v>729</v>
      </c>
      <c r="C94" t="s">
        <v>1465</v>
      </c>
      <c r="D94" t="s">
        <v>1562</v>
      </c>
      <c r="E94" t="s">
        <v>1563</v>
      </c>
      <c r="F94">
        <v>0</v>
      </c>
      <c r="G94">
        <v>10000</v>
      </c>
      <c r="H94">
        <v>0</v>
      </c>
      <c r="I94">
        <v>1</v>
      </c>
      <c r="J94">
        <v>1</v>
      </c>
      <c r="K94">
        <v>1</v>
      </c>
      <c r="L94">
        <v>1</v>
      </c>
      <c r="M94">
        <v>0.01</v>
      </c>
      <c r="P94" t="s">
        <v>132</v>
      </c>
      <c r="Q94">
        <v>0</v>
      </c>
      <c r="R94">
        <v>0</v>
      </c>
      <c r="S94">
        <v>0</v>
      </c>
      <c r="V94" t="s">
        <v>132</v>
      </c>
      <c r="W94">
        <v>0</v>
      </c>
      <c r="X94">
        <v>0</v>
      </c>
      <c r="Y94">
        <v>0</v>
      </c>
    </row>
    <row r="95" spans="2:51" x14ac:dyDescent="0.25">
      <c r="B95" t="s">
        <v>733</v>
      </c>
      <c r="C95" t="s">
        <v>1469</v>
      </c>
      <c r="D95" t="s">
        <v>1562</v>
      </c>
      <c r="E95" t="s">
        <v>1563</v>
      </c>
      <c r="F95">
        <v>0</v>
      </c>
      <c r="G95">
        <v>10000</v>
      </c>
      <c r="H95">
        <v>0</v>
      </c>
      <c r="I95">
        <v>1</v>
      </c>
      <c r="J95">
        <v>1</v>
      </c>
      <c r="K95">
        <v>1</v>
      </c>
      <c r="L95">
        <v>1</v>
      </c>
      <c r="M95">
        <v>0.01</v>
      </c>
      <c r="P95" t="s">
        <v>702</v>
      </c>
      <c r="Q95">
        <v>0</v>
      </c>
      <c r="R95">
        <v>0</v>
      </c>
      <c r="S95">
        <v>1</v>
      </c>
      <c r="V95" t="s">
        <v>702</v>
      </c>
      <c r="W95">
        <v>0</v>
      </c>
      <c r="X95">
        <v>0</v>
      </c>
      <c r="Y95">
        <v>1</v>
      </c>
    </row>
    <row r="96" spans="2:51" x14ac:dyDescent="0.25">
      <c r="B96" t="s">
        <v>737</v>
      </c>
      <c r="C96" t="s">
        <v>1473</v>
      </c>
      <c r="D96" t="s">
        <v>1562</v>
      </c>
      <c r="E96" t="s">
        <v>1563</v>
      </c>
      <c r="F96">
        <v>0</v>
      </c>
      <c r="G96">
        <v>10000</v>
      </c>
      <c r="H96">
        <v>0</v>
      </c>
      <c r="I96">
        <v>1</v>
      </c>
      <c r="J96">
        <v>1</v>
      </c>
      <c r="K96">
        <v>1</v>
      </c>
      <c r="L96">
        <v>1</v>
      </c>
      <c r="M96">
        <v>0.01</v>
      </c>
      <c r="P96" t="s">
        <v>297</v>
      </c>
      <c r="Q96">
        <v>0</v>
      </c>
      <c r="R96">
        <v>0</v>
      </c>
      <c r="S96">
        <v>0</v>
      </c>
      <c r="V96" t="s">
        <v>297</v>
      </c>
      <c r="W96">
        <v>0</v>
      </c>
      <c r="X96">
        <v>0</v>
      </c>
      <c r="Y96">
        <v>0</v>
      </c>
    </row>
    <row r="97" spans="2:51" x14ac:dyDescent="0.25">
      <c r="B97" t="s">
        <v>746</v>
      </c>
      <c r="C97" t="s">
        <v>1480</v>
      </c>
      <c r="D97" t="s">
        <v>1562</v>
      </c>
      <c r="E97" t="s">
        <v>1563</v>
      </c>
      <c r="F97">
        <v>0</v>
      </c>
      <c r="G97">
        <v>10000</v>
      </c>
      <c r="H97">
        <v>0</v>
      </c>
      <c r="I97">
        <v>1</v>
      </c>
      <c r="J97">
        <v>1</v>
      </c>
      <c r="K97">
        <v>1</v>
      </c>
      <c r="L97">
        <v>1</v>
      </c>
      <c r="M97">
        <v>0.01</v>
      </c>
      <c r="P97" t="s">
        <v>298</v>
      </c>
      <c r="Q97">
        <v>0</v>
      </c>
      <c r="R97">
        <v>0</v>
      </c>
      <c r="S97">
        <v>1</v>
      </c>
      <c r="V97" t="s">
        <v>298</v>
      </c>
      <c r="W97">
        <v>0</v>
      </c>
      <c r="X97">
        <v>0</v>
      </c>
      <c r="Y97">
        <v>1</v>
      </c>
    </row>
    <row r="98" spans="2:51" x14ac:dyDescent="0.25">
      <c r="B98" t="s">
        <v>1484</v>
      </c>
      <c r="C98" t="s">
        <v>1486</v>
      </c>
      <c r="D98" t="s">
        <v>1562</v>
      </c>
      <c r="E98" t="s">
        <v>1563</v>
      </c>
      <c r="F98">
        <v>-10000</v>
      </c>
      <c r="G98">
        <v>10000</v>
      </c>
      <c r="H98">
        <v>0</v>
      </c>
      <c r="I98">
        <v>1</v>
      </c>
      <c r="J98">
        <v>1</v>
      </c>
      <c r="K98">
        <v>1</v>
      </c>
      <c r="L98">
        <v>1</v>
      </c>
      <c r="M98">
        <v>0.01</v>
      </c>
      <c r="P98" t="s">
        <v>141</v>
      </c>
      <c r="Q98">
        <v>0</v>
      </c>
      <c r="R98">
        <v>0</v>
      </c>
      <c r="S98">
        <v>0</v>
      </c>
      <c r="V98" t="s">
        <v>141</v>
      </c>
      <c r="W98">
        <v>0</v>
      </c>
      <c r="X98">
        <v>0</v>
      </c>
      <c r="Y98">
        <v>0</v>
      </c>
    </row>
    <row r="99" spans="2:51" x14ac:dyDescent="0.25">
      <c r="B99" t="s">
        <v>1490</v>
      </c>
      <c r="C99" t="s">
        <v>1491</v>
      </c>
      <c r="D99" t="s">
        <v>1562</v>
      </c>
      <c r="E99" t="s">
        <v>1563</v>
      </c>
      <c r="F99">
        <v>0</v>
      </c>
      <c r="G99">
        <v>10000</v>
      </c>
      <c r="H99">
        <v>0</v>
      </c>
      <c r="I99">
        <v>1</v>
      </c>
      <c r="J99">
        <v>1</v>
      </c>
      <c r="K99">
        <v>1</v>
      </c>
      <c r="L99">
        <v>1</v>
      </c>
      <c r="M99">
        <v>0.01</v>
      </c>
      <c r="P99" t="s">
        <v>299</v>
      </c>
      <c r="Q99">
        <v>0</v>
      </c>
      <c r="R99">
        <v>0</v>
      </c>
      <c r="S99">
        <v>1</v>
      </c>
      <c r="V99" t="s">
        <v>299</v>
      </c>
      <c r="W99">
        <v>0</v>
      </c>
      <c r="X99">
        <v>0</v>
      </c>
      <c r="Y99">
        <v>1</v>
      </c>
    </row>
    <row r="100" spans="2:51" x14ac:dyDescent="0.25">
      <c r="B100" t="s">
        <v>1495</v>
      </c>
      <c r="C100" t="s">
        <v>1496</v>
      </c>
      <c r="D100" t="s">
        <v>1562</v>
      </c>
      <c r="E100" t="s">
        <v>1563</v>
      </c>
      <c r="F100">
        <v>0</v>
      </c>
      <c r="G100">
        <v>10000</v>
      </c>
      <c r="H100">
        <v>0</v>
      </c>
      <c r="I100">
        <v>1</v>
      </c>
      <c r="J100">
        <v>1</v>
      </c>
      <c r="K100">
        <v>1</v>
      </c>
      <c r="L100">
        <v>1</v>
      </c>
      <c r="M100">
        <v>0.01</v>
      </c>
      <c r="P100" t="s">
        <v>719</v>
      </c>
      <c r="Q100">
        <v>0</v>
      </c>
      <c r="R100">
        <v>0</v>
      </c>
      <c r="S100">
        <v>0</v>
      </c>
      <c r="V100" t="s">
        <v>719</v>
      </c>
      <c r="W100">
        <v>0</v>
      </c>
      <c r="X100">
        <v>0</v>
      </c>
      <c r="Y100">
        <v>0</v>
      </c>
    </row>
    <row r="101" spans="2:51" x14ac:dyDescent="0.25">
      <c r="B101" t="s">
        <v>1500</v>
      </c>
      <c r="C101" t="s">
        <v>1502</v>
      </c>
      <c r="D101" t="s">
        <v>1562</v>
      </c>
      <c r="E101" t="s">
        <v>1563</v>
      </c>
      <c r="F101">
        <v>0</v>
      </c>
      <c r="G101">
        <v>10000</v>
      </c>
      <c r="H101">
        <v>0</v>
      </c>
      <c r="I101">
        <v>1</v>
      </c>
      <c r="J101">
        <v>1</v>
      </c>
      <c r="K101">
        <v>1</v>
      </c>
      <c r="L101">
        <v>1</v>
      </c>
      <c r="M101">
        <v>0.01</v>
      </c>
      <c r="P101" t="s">
        <v>301</v>
      </c>
      <c r="Q101">
        <v>0</v>
      </c>
      <c r="R101">
        <v>0</v>
      </c>
      <c r="S101">
        <v>0</v>
      </c>
      <c r="V101" t="s">
        <v>301</v>
      </c>
      <c r="W101">
        <v>0</v>
      </c>
      <c r="X101">
        <v>0</v>
      </c>
      <c r="Y101">
        <v>0</v>
      </c>
    </row>
    <row r="102" spans="2:51" x14ac:dyDescent="0.25">
      <c r="B102" t="s">
        <v>751</v>
      </c>
      <c r="C102" t="s">
        <v>1507</v>
      </c>
      <c r="D102" t="s">
        <v>1562</v>
      </c>
      <c r="E102" t="s">
        <v>1563</v>
      </c>
      <c r="F102">
        <v>0</v>
      </c>
      <c r="G102">
        <v>10000</v>
      </c>
      <c r="H102">
        <v>0</v>
      </c>
      <c r="I102">
        <v>1</v>
      </c>
      <c r="J102">
        <v>1</v>
      </c>
      <c r="K102">
        <v>1</v>
      </c>
      <c r="L102">
        <v>1</v>
      </c>
      <c r="M102">
        <v>0.01</v>
      </c>
      <c r="P102" t="s">
        <v>302</v>
      </c>
      <c r="Q102">
        <v>0</v>
      </c>
      <c r="R102">
        <v>0</v>
      </c>
      <c r="S102">
        <v>1</v>
      </c>
      <c r="V102" t="s">
        <v>302</v>
      </c>
      <c r="W102">
        <v>0</v>
      </c>
      <c r="X102">
        <v>0</v>
      </c>
      <c r="Y102">
        <v>1</v>
      </c>
    </row>
    <row r="103" spans="2:51" x14ac:dyDescent="0.25">
      <c r="B103" t="s">
        <v>756</v>
      </c>
      <c r="C103" t="s">
        <v>1508</v>
      </c>
      <c r="D103" t="s">
        <v>1562</v>
      </c>
      <c r="E103" t="s">
        <v>1563</v>
      </c>
      <c r="F103">
        <v>-10000</v>
      </c>
      <c r="G103">
        <v>10000</v>
      </c>
      <c r="H103">
        <v>0</v>
      </c>
      <c r="I103">
        <v>1</v>
      </c>
      <c r="J103">
        <v>1</v>
      </c>
      <c r="K103">
        <v>1</v>
      </c>
      <c r="L103">
        <v>1</v>
      </c>
      <c r="M103">
        <v>0.01</v>
      </c>
      <c r="P103" t="s">
        <v>303</v>
      </c>
      <c r="Q103">
        <v>0</v>
      </c>
      <c r="R103">
        <v>0</v>
      </c>
      <c r="S103">
        <v>0</v>
      </c>
      <c r="V103" t="s">
        <v>303</v>
      </c>
      <c r="W103">
        <v>0</v>
      </c>
      <c r="X103">
        <v>0</v>
      </c>
      <c r="Y103">
        <v>0</v>
      </c>
    </row>
    <row r="104" spans="2:51" x14ac:dyDescent="0.25">
      <c r="B104" t="s">
        <v>760</v>
      </c>
      <c r="C104" t="s">
        <v>1509</v>
      </c>
      <c r="D104" t="s">
        <v>1562</v>
      </c>
      <c r="E104" t="s">
        <v>1563</v>
      </c>
      <c r="F104">
        <v>-10000</v>
      </c>
      <c r="G104">
        <v>10000</v>
      </c>
      <c r="H104">
        <v>0</v>
      </c>
      <c r="I104">
        <v>1</v>
      </c>
      <c r="J104">
        <v>1</v>
      </c>
      <c r="K104">
        <v>1</v>
      </c>
      <c r="L104">
        <v>1</v>
      </c>
      <c r="M104">
        <v>0.01</v>
      </c>
      <c r="P104" t="s">
        <v>304</v>
      </c>
      <c r="Q104">
        <v>0</v>
      </c>
      <c r="R104">
        <v>0</v>
      </c>
      <c r="S104">
        <v>0</v>
      </c>
      <c r="V104" t="s">
        <v>304</v>
      </c>
      <c r="W104">
        <v>0</v>
      </c>
      <c r="X104">
        <v>0</v>
      </c>
      <c r="Y104">
        <v>0</v>
      </c>
    </row>
    <row r="105" spans="2:51" x14ac:dyDescent="0.25">
      <c r="B105" t="s">
        <v>765</v>
      </c>
      <c r="C105" t="s">
        <v>1510</v>
      </c>
      <c r="D105" t="s">
        <v>1562</v>
      </c>
      <c r="E105" t="s">
        <v>1563</v>
      </c>
      <c r="F105">
        <v>0</v>
      </c>
      <c r="G105">
        <v>10000</v>
      </c>
      <c r="H105">
        <v>0</v>
      </c>
      <c r="I105">
        <v>1</v>
      </c>
      <c r="J105">
        <v>1</v>
      </c>
      <c r="K105">
        <v>1</v>
      </c>
      <c r="L105">
        <v>1</v>
      </c>
      <c r="M105">
        <v>0.01</v>
      </c>
      <c r="P105" t="s">
        <v>305</v>
      </c>
      <c r="Q105">
        <v>0</v>
      </c>
      <c r="R105">
        <v>0</v>
      </c>
      <c r="S105">
        <v>0</v>
      </c>
      <c r="V105" t="s">
        <v>305</v>
      </c>
      <c r="W105">
        <v>0</v>
      </c>
      <c r="X105">
        <v>0</v>
      </c>
      <c r="Y105">
        <v>0</v>
      </c>
    </row>
    <row r="106" spans="2:51" x14ac:dyDescent="0.25">
      <c r="B106" t="s">
        <v>770</v>
      </c>
      <c r="C106" t="s">
        <v>1511</v>
      </c>
      <c r="D106" t="s">
        <v>1562</v>
      </c>
      <c r="E106" t="s">
        <v>1563</v>
      </c>
      <c r="F106">
        <v>0</v>
      </c>
      <c r="G106">
        <v>10000</v>
      </c>
      <c r="H106">
        <v>0</v>
      </c>
      <c r="I106">
        <v>1</v>
      </c>
      <c r="J106">
        <v>1</v>
      </c>
      <c r="K106">
        <v>1</v>
      </c>
      <c r="L106">
        <v>1</v>
      </c>
      <c r="M106">
        <v>0.01</v>
      </c>
      <c r="P106" t="s">
        <v>742</v>
      </c>
      <c r="Q106">
        <v>0</v>
      </c>
      <c r="R106">
        <v>0</v>
      </c>
      <c r="S106">
        <v>0</v>
      </c>
      <c r="V106" t="s">
        <v>742</v>
      </c>
      <c r="W106">
        <v>0</v>
      </c>
      <c r="X106">
        <v>0</v>
      </c>
      <c r="Y106">
        <v>0</v>
      </c>
    </row>
    <row r="107" spans="2:51" x14ac:dyDescent="0.25">
      <c r="B107" t="s">
        <v>774</v>
      </c>
      <c r="C107" t="s">
        <v>1512</v>
      </c>
      <c r="D107" t="s">
        <v>1562</v>
      </c>
      <c r="E107" t="s">
        <v>1563</v>
      </c>
      <c r="F107">
        <v>0</v>
      </c>
      <c r="G107">
        <v>10000</v>
      </c>
      <c r="H107">
        <v>0</v>
      </c>
      <c r="I107">
        <v>1</v>
      </c>
      <c r="J107">
        <v>1</v>
      </c>
      <c r="K107">
        <v>1</v>
      </c>
      <c r="L107">
        <v>1</v>
      </c>
      <c r="M107">
        <v>0.01</v>
      </c>
      <c r="P107" t="s">
        <v>747</v>
      </c>
      <c r="Q107">
        <v>0</v>
      </c>
      <c r="R107">
        <v>0</v>
      </c>
      <c r="S107">
        <v>0</v>
      </c>
      <c r="V107" t="s">
        <v>747</v>
      </c>
      <c r="W107">
        <v>0</v>
      </c>
      <c r="X107">
        <v>0</v>
      </c>
      <c r="Y107">
        <v>0</v>
      </c>
    </row>
    <row r="108" spans="2:51" x14ac:dyDescent="0.25">
      <c r="B108" t="s">
        <v>778</v>
      </c>
      <c r="C108" t="s">
        <v>1513</v>
      </c>
      <c r="D108" t="s">
        <v>1562</v>
      </c>
      <c r="E108" t="s">
        <v>1563</v>
      </c>
      <c r="F108">
        <v>0</v>
      </c>
      <c r="G108">
        <v>10000</v>
      </c>
      <c r="H108">
        <v>0</v>
      </c>
      <c r="I108">
        <v>1</v>
      </c>
      <c r="J108">
        <v>1</v>
      </c>
      <c r="K108">
        <v>1</v>
      </c>
      <c r="L108">
        <v>1</v>
      </c>
      <c r="M108">
        <v>0.01</v>
      </c>
      <c r="P108" t="s">
        <v>752</v>
      </c>
      <c r="Q108">
        <v>0</v>
      </c>
      <c r="R108">
        <v>0</v>
      </c>
      <c r="S108">
        <v>0</v>
      </c>
      <c r="V108" t="s">
        <v>752</v>
      </c>
      <c r="W108">
        <v>0</v>
      </c>
      <c r="X108">
        <v>0</v>
      </c>
      <c r="Y108">
        <v>0</v>
      </c>
    </row>
    <row r="109" spans="2:51" x14ac:dyDescent="0.25">
      <c r="B109" t="s">
        <v>781</v>
      </c>
      <c r="C109" t="s">
        <v>1514</v>
      </c>
      <c r="D109" t="s">
        <v>1562</v>
      </c>
      <c r="E109" t="s">
        <v>1563</v>
      </c>
      <c r="F109">
        <v>0</v>
      </c>
      <c r="G109">
        <v>10000</v>
      </c>
      <c r="H109">
        <v>0</v>
      </c>
      <c r="I109">
        <v>1</v>
      </c>
      <c r="J109">
        <v>1</v>
      </c>
      <c r="K109">
        <v>1</v>
      </c>
      <c r="L109">
        <v>1</v>
      </c>
      <c r="M109">
        <v>0.01</v>
      </c>
      <c r="P109" t="s">
        <v>85</v>
      </c>
      <c r="Q109">
        <v>0</v>
      </c>
      <c r="R109">
        <v>0</v>
      </c>
      <c r="S109">
        <v>0</v>
      </c>
      <c r="V109" t="s">
        <v>85</v>
      </c>
      <c r="W109">
        <v>0</v>
      </c>
      <c r="X109">
        <v>0</v>
      </c>
      <c r="Y109">
        <v>0</v>
      </c>
    </row>
    <row r="110" spans="2:51" x14ac:dyDescent="0.25">
      <c r="B110" t="s">
        <v>785</v>
      </c>
      <c r="C110" t="s">
        <v>1515</v>
      </c>
      <c r="D110" t="s">
        <v>1562</v>
      </c>
      <c r="E110" t="s">
        <v>1563</v>
      </c>
      <c r="F110">
        <v>0</v>
      </c>
      <c r="G110">
        <v>10000</v>
      </c>
      <c r="H110">
        <v>0</v>
      </c>
      <c r="I110">
        <v>1</v>
      </c>
      <c r="J110">
        <v>1</v>
      </c>
      <c r="K110">
        <v>1</v>
      </c>
      <c r="L110">
        <v>1</v>
      </c>
      <c r="M110">
        <v>0.01</v>
      </c>
      <c r="P110" t="s">
        <v>761</v>
      </c>
      <c r="Q110">
        <v>0</v>
      </c>
      <c r="R110">
        <v>0</v>
      </c>
      <c r="S110">
        <v>0</v>
      </c>
      <c r="V110" t="s">
        <v>761</v>
      </c>
      <c r="W110">
        <v>0</v>
      </c>
      <c r="X110">
        <v>0</v>
      </c>
      <c r="Y110">
        <v>0</v>
      </c>
      <c r="AC110" s="60"/>
    </row>
    <row r="111" spans="2:51" x14ac:dyDescent="0.25">
      <c r="B111" t="s">
        <v>788</v>
      </c>
      <c r="C111" s="60" t="s">
        <v>1516</v>
      </c>
      <c r="D111" t="s">
        <v>1562</v>
      </c>
      <c r="E111" t="s">
        <v>1563</v>
      </c>
      <c r="F111">
        <v>0</v>
      </c>
      <c r="G111">
        <v>10000</v>
      </c>
      <c r="H111">
        <v>0</v>
      </c>
      <c r="I111">
        <v>1</v>
      </c>
      <c r="J111">
        <v>1</v>
      </c>
      <c r="K111">
        <v>1</v>
      </c>
      <c r="L111">
        <v>1</v>
      </c>
      <c r="M111">
        <v>0.01</v>
      </c>
      <c r="P111" t="s">
        <v>766</v>
      </c>
      <c r="Q111">
        <v>0</v>
      </c>
      <c r="R111">
        <v>0</v>
      </c>
      <c r="S111">
        <v>0</v>
      </c>
      <c r="V111" t="s">
        <v>766</v>
      </c>
      <c r="W111">
        <v>0</v>
      </c>
      <c r="X111">
        <v>0</v>
      </c>
      <c r="Y111">
        <v>0</v>
      </c>
    </row>
    <row r="112" spans="2:51" x14ac:dyDescent="0.25">
      <c r="B112" t="s">
        <v>792</v>
      </c>
      <c r="C112" t="s">
        <v>1519</v>
      </c>
      <c r="D112" t="s">
        <v>1562</v>
      </c>
      <c r="E112" t="s">
        <v>1563</v>
      </c>
      <c r="F112">
        <v>0</v>
      </c>
      <c r="G112">
        <v>10000</v>
      </c>
      <c r="H112">
        <v>0</v>
      </c>
      <c r="I112">
        <v>1</v>
      </c>
      <c r="J112">
        <v>1</v>
      </c>
      <c r="K112">
        <v>1</v>
      </c>
      <c r="L112">
        <v>1</v>
      </c>
      <c r="M112">
        <v>0.01</v>
      </c>
      <c r="P112" t="s">
        <v>312</v>
      </c>
      <c r="Q112">
        <v>0</v>
      </c>
      <c r="R112">
        <v>0</v>
      </c>
      <c r="S112">
        <v>1</v>
      </c>
      <c r="V112" t="s">
        <v>312</v>
      </c>
      <c r="W112">
        <v>0</v>
      </c>
      <c r="X112">
        <v>0</v>
      </c>
      <c r="Y112">
        <v>1</v>
      </c>
      <c r="AS112" s="7"/>
      <c r="AY112" s="7"/>
    </row>
    <row r="113" spans="2:51" x14ac:dyDescent="0.25">
      <c r="B113" t="s">
        <v>795</v>
      </c>
      <c r="C113" t="s">
        <v>1520</v>
      </c>
      <c r="D113" t="s">
        <v>1562</v>
      </c>
      <c r="E113" t="s">
        <v>1563</v>
      </c>
      <c r="F113">
        <v>0</v>
      </c>
      <c r="G113">
        <v>10000</v>
      </c>
      <c r="H113">
        <v>0</v>
      </c>
      <c r="I113">
        <v>1</v>
      </c>
      <c r="J113">
        <v>1</v>
      </c>
      <c r="K113">
        <v>1</v>
      </c>
      <c r="L113">
        <v>1</v>
      </c>
      <c r="M113">
        <v>0.01</v>
      </c>
      <c r="P113" t="s">
        <v>313</v>
      </c>
      <c r="Q113">
        <v>0</v>
      </c>
      <c r="R113">
        <v>0</v>
      </c>
      <c r="S113">
        <v>0</v>
      </c>
      <c r="V113" t="s">
        <v>313</v>
      </c>
      <c r="W113">
        <v>0</v>
      </c>
      <c r="X113">
        <v>0</v>
      </c>
      <c r="Y113">
        <v>0</v>
      </c>
    </row>
    <row r="114" spans="2:51" x14ac:dyDescent="0.25">
      <c r="B114" t="s">
        <v>798</v>
      </c>
      <c r="C114" t="s">
        <v>1521</v>
      </c>
      <c r="D114" t="s">
        <v>1562</v>
      </c>
      <c r="E114" t="s">
        <v>1563</v>
      </c>
      <c r="F114">
        <v>0</v>
      </c>
      <c r="G114">
        <v>10000</v>
      </c>
      <c r="H114">
        <v>0</v>
      </c>
      <c r="I114">
        <v>1</v>
      </c>
      <c r="J114">
        <v>1</v>
      </c>
      <c r="K114">
        <v>1</v>
      </c>
      <c r="L114">
        <v>1</v>
      </c>
      <c r="M114">
        <v>0.01</v>
      </c>
      <c r="P114" t="s">
        <v>314</v>
      </c>
      <c r="Q114">
        <v>0</v>
      </c>
      <c r="R114">
        <v>0</v>
      </c>
      <c r="S114">
        <v>1</v>
      </c>
      <c r="V114" t="s">
        <v>314</v>
      </c>
      <c r="W114">
        <v>0</v>
      </c>
      <c r="X114">
        <v>0</v>
      </c>
      <c r="Y114">
        <v>1</v>
      </c>
    </row>
    <row r="115" spans="2:51" x14ac:dyDescent="0.25">
      <c r="B115" t="s">
        <v>802</v>
      </c>
      <c r="C115" t="s">
        <v>1523</v>
      </c>
      <c r="D115" t="s">
        <v>1562</v>
      </c>
      <c r="E115" t="s">
        <v>1563</v>
      </c>
      <c r="F115">
        <v>0</v>
      </c>
      <c r="G115">
        <v>10000</v>
      </c>
      <c r="H115">
        <v>0</v>
      </c>
      <c r="I115">
        <v>1</v>
      </c>
      <c r="J115">
        <v>1</v>
      </c>
      <c r="K115">
        <v>1</v>
      </c>
      <c r="L115">
        <v>1</v>
      </c>
      <c r="M115">
        <v>0.01</v>
      </c>
      <c r="P115" t="s">
        <v>96</v>
      </c>
      <c r="Q115">
        <v>0</v>
      </c>
      <c r="R115">
        <v>0</v>
      </c>
      <c r="S115">
        <v>0</v>
      </c>
      <c r="V115" t="s">
        <v>96</v>
      </c>
      <c r="W115">
        <v>0</v>
      </c>
      <c r="X115">
        <v>0</v>
      </c>
      <c r="Y115">
        <v>0</v>
      </c>
    </row>
    <row r="116" spans="2:51" x14ac:dyDescent="0.25">
      <c r="B116" t="s">
        <v>805</v>
      </c>
      <c r="C116" t="s">
        <v>1524</v>
      </c>
      <c r="D116" t="s">
        <v>1562</v>
      </c>
      <c r="E116" t="s">
        <v>1563</v>
      </c>
      <c r="F116">
        <v>0</v>
      </c>
      <c r="G116">
        <v>10000</v>
      </c>
      <c r="H116">
        <v>0</v>
      </c>
      <c r="I116">
        <v>1</v>
      </c>
      <c r="J116">
        <v>1</v>
      </c>
      <c r="K116">
        <v>1</v>
      </c>
      <c r="L116">
        <v>1</v>
      </c>
      <c r="M116">
        <v>0.01</v>
      </c>
      <c r="P116" t="s">
        <v>97</v>
      </c>
      <c r="Q116">
        <v>0</v>
      </c>
      <c r="R116">
        <v>0</v>
      </c>
      <c r="S116">
        <v>0</v>
      </c>
      <c r="V116" t="s">
        <v>97</v>
      </c>
      <c r="W116">
        <v>0</v>
      </c>
      <c r="X116">
        <v>0</v>
      </c>
      <c r="Y116">
        <v>0</v>
      </c>
    </row>
    <row r="117" spans="2:51" x14ac:dyDescent="0.25">
      <c r="B117" t="s">
        <v>809</v>
      </c>
      <c r="C117" t="s">
        <v>1526</v>
      </c>
      <c r="D117" t="s">
        <v>1562</v>
      </c>
      <c r="E117" t="s">
        <v>1563</v>
      </c>
      <c r="F117">
        <v>0</v>
      </c>
      <c r="G117">
        <v>10000</v>
      </c>
      <c r="H117">
        <v>0</v>
      </c>
      <c r="I117">
        <v>1</v>
      </c>
      <c r="J117">
        <v>1</v>
      </c>
      <c r="K117">
        <v>1</v>
      </c>
      <c r="L117">
        <v>1</v>
      </c>
      <c r="M117">
        <v>0.01</v>
      </c>
      <c r="P117" t="s">
        <v>315</v>
      </c>
      <c r="Q117">
        <v>0</v>
      </c>
      <c r="R117">
        <v>0</v>
      </c>
      <c r="S117">
        <v>0</v>
      </c>
      <c r="V117" t="s">
        <v>315</v>
      </c>
      <c r="W117">
        <v>0</v>
      </c>
      <c r="X117">
        <v>0</v>
      </c>
      <c r="Y117">
        <v>0</v>
      </c>
    </row>
    <row r="118" spans="2:51" x14ac:dyDescent="0.25">
      <c r="B118" t="s">
        <v>813</v>
      </c>
      <c r="C118" t="s">
        <v>1528</v>
      </c>
      <c r="D118" t="s">
        <v>1562</v>
      </c>
      <c r="E118" t="s">
        <v>1563</v>
      </c>
      <c r="F118">
        <v>0</v>
      </c>
      <c r="G118">
        <v>10000</v>
      </c>
      <c r="H118">
        <v>0</v>
      </c>
      <c r="I118">
        <v>1</v>
      </c>
      <c r="J118">
        <v>1</v>
      </c>
      <c r="K118">
        <v>1</v>
      </c>
      <c r="L118">
        <v>1</v>
      </c>
      <c r="M118">
        <v>0.01</v>
      </c>
      <c r="P118" t="s">
        <v>316</v>
      </c>
      <c r="Q118">
        <v>0</v>
      </c>
      <c r="R118">
        <v>0</v>
      </c>
      <c r="S118" s="3">
        <v>0</v>
      </c>
      <c r="V118" t="s">
        <v>316</v>
      </c>
      <c r="W118">
        <v>0</v>
      </c>
      <c r="X118">
        <v>0</v>
      </c>
      <c r="Y118" s="3">
        <v>0</v>
      </c>
      <c r="AS118" s="3"/>
      <c r="AY118" s="3"/>
    </row>
    <row r="119" spans="2:51" x14ac:dyDescent="0.25">
      <c r="B119" t="s">
        <v>816</v>
      </c>
      <c r="C119" t="s">
        <v>1529</v>
      </c>
      <c r="D119" t="s">
        <v>1562</v>
      </c>
      <c r="E119" t="s">
        <v>1563</v>
      </c>
      <c r="F119">
        <v>0</v>
      </c>
      <c r="G119">
        <v>10000</v>
      </c>
      <c r="H119">
        <v>0</v>
      </c>
      <c r="I119">
        <v>1</v>
      </c>
      <c r="J119">
        <v>1</v>
      </c>
      <c r="K119">
        <v>1</v>
      </c>
      <c r="L119">
        <v>1</v>
      </c>
      <c r="M119">
        <v>0.01</v>
      </c>
      <c r="P119" t="s">
        <v>133</v>
      </c>
      <c r="Q119">
        <v>0</v>
      </c>
      <c r="R119">
        <v>0</v>
      </c>
      <c r="S119">
        <v>0</v>
      </c>
      <c r="V119" t="s">
        <v>133</v>
      </c>
      <c r="W119">
        <v>0</v>
      </c>
      <c r="X119">
        <v>0</v>
      </c>
      <c r="Y119">
        <v>0</v>
      </c>
    </row>
    <row r="120" spans="2:51" x14ac:dyDescent="0.25">
      <c r="B120" t="s">
        <v>820</v>
      </c>
      <c r="C120" t="s">
        <v>1530</v>
      </c>
      <c r="D120" t="s">
        <v>1562</v>
      </c>
      <c r="E120" t="s">
        <v>1563</v>
      </c>
      <c r="F120">
        <v>0</v>
      </c>
      <c r="G120">
        <v>10000</v>
      </c>
      <c r="H120">
        <v>0</v>
      </c>
      <c r="I120">
        <v>1</v>
      </c>
      <c r="J120">
        <v>1</v>
      </c>
      <c r="K120">
        <v>1</v>
      </c>
      <c r="L120">
        <v>1</v>
      </c>
      <c r="M120">
        <v>0.01</v>
      </c>
      <c r="P120" t="s">
        <v>166</v>
      </c>
      <c r="Q120">
        <v>0</v>
      </c>
      <c r="R120">
        <v>0</v>
      </c>
      <c r="S120">
        <v>0</v>
      </c>
      <c r="V120" t="s">
        <v>166</v>
      </c>
      <c r="W120">
        <v>0</v>
      </c>
      <c r="X120">
        <v>0</v>
      </c>
      <c r="Y120">
        <v>0</v>
      </c>
    </row>
    <row r="121" spans="2:51" x14ac:dyDescent="0.25">
      <c r="B121" t="s">
        <v>825</v>
      </c>
      <c r="C121" t="s">
        <v>1531</v>
      </c>
      <c r="D121" t="s">
        <v>1562</v>
      </c>
      <c r="E121" t="s">
        <v>1563</v>
      </c>
      <c r="F121">
        <v>0</v>
      </c>
      <c r="G121">
        <v>10000</v>
      </c>
      <c r="H121">
        <v>0</v>
      </c>
      <c r="I121">
        <v>1</v>
      </c>
      <c r="J121">
        <v>1</v>
      </c>
      <c r="K121">
        <v>1</v>
      </c>
      <c r="L121">
        <v>1</v>
      </c>
      <c r="M121">
        <v>0.01</v>
      </c>
      <c r="P121" t="s">
        <v>134</v>
      </c>
      <c r="Q121">
        <v>0</v>
      </c>
      <c r="R121">
        <v>0</v>
      </c>
      <c r="S121">
        <v>0</v>
      </c>
      <c r="V121" t="s">
        <v>134</v>
      </c>
      <c r="W121">
        <v>0</v>
      </c>
      <c r="X121">
        <v>0</v>
      </c>
      <c r="Y121">
        <v>0</v>
      </c>
    </row>
    <row r="122" spans="2:51" x14ac:dyDescent="0.25">
      <c r="B122" t="s">
        <v>1533</v>
      </c>
      <c r="C122" t="s">
        <v>1534</v>
      </c>
      <c r="D122" t="s">
        <v>1562</v>
      </c>
      <c r="E122" t="s">
        <v>1563</v>
      </c>
      <c r="F122">
        <v>0</v>
      </c>
      <c r="G122">
        <v>10000</v>
      </c>
      <c r="H122">
        <v>0</v>
      </c>
      <c r="I122">
        <v>1</v>
      </c>
      <c r="J122">
        <v>1</v>
      </c>
      <c r="K122">
        <v>1</v>
      </c>
      <c r="L122">
        <v>1</v>
      </c>
      <c r="M122">
        <v>0.01</v>
      </c>
      <c r="P122" t="s">
        <v>165</v>
      </c>
      <c r="Q122">
        <v>0</v>
      </c>
      <c r="R122">
        <v>0</v>
      </c>
      <c r="S122">
        <v>0</v>
      </c>
      <c r="V122" t="s">
        <v>165</v>
      </c>
      <c r="W122">
        <v>0</v>
      </c>
      <c r="X122">
        <v>0</v>
      </c>
      <c r="Y122">
        <v>0</v>
      </c>
    </row>
    <row r="123" spans="2:51" x14ac:dyDescent="0.25">
      <c r="B123" t="s">
        <v>1535</v>
      </c>
      <c r="C123" t="s">
        <v>1536</v>
      </c>
      <c r="D123" t="s">
        <v>1562</v>
      </c>
      <c r="E123" t="s">
        <v>1563</v>
      </c>
      <c r="F123">
        <v>0</v>
      </c>
      <c r="G123">
        <v>10000</v>
      </c>
      <c r="H123">
        <v>0</v>
      </c>
      <c r="I123">
        <v>1</v>
      </c>
      <c r="J123">
        <v>1</v>
      </c>
      <c r="K123">
        <v>1</v>
      </c>
      <c r="L123">
        <v>1</v>
      </c>
      <c r="M123">
        <v>0.01</v>
      </c>
      <c r="P123" t="s">
        <v>319</v>
      </c>
      <c r="Q123">
        <v>0</v>
      </c>
      <c r="R123">
        <v>0</v>
      </c>
      <c r="S123">
        <v>0</v>
      </c>
      <c r="V123" t="s">
        <v>319</v>
      </c>
      <c r="W123">
        <v>0</v>
      </c>
      <c r="X123">
        <v>0</v>
      </c>
      <c r="Y123">
        <v>0</v>
      </c>
    </row>
    <row r="124" spans="2:51" x14ac:dyDescent="0.25">
      <c r="B124" t="s">
        <v>837</v>
      </c>
      <c r="C124" t="s">
        <v>1539</v>
      </c>
      <c r="D124" t="s">
        <v>1562</v>
      </c>
      <c r="E124" t="s">
        <v>1563</v>
      </c>
      <c r="F124">
        <v>0</v>
      </c>
      <c r="G124">
        <v>10000</v>
      </c>
      <c r="H124">
        <v>0</v>
      </c>
      <c r="I124">
        <v>1</v>
      </c>
      <c r="J124">
        <v>1</v>
      </c>
      <c r="K124">
        <v>1</v>
      </c>
      <c r="L124">
        <v>1</v>
      </c>
      <c r="M124">
        <v>0.01</v>
      </c>
      <c r="P124" t="s">
        <v>320</v>
      </c>
      <c r="Q124">
        <v>0</v>
      </c>
      <c r="R124">
        <v>0</v>
      </c>
      <c r="S124">
        <v>1</v>
      </c>
      <c r="V124" t="s">
        <v>320</v>
      </c>
      <c r="W124">
        <v>0</v>
      </c>
      <c r="X124">
        <v>0</v>
      </c>
      <c r="Y124">
        <v>1</v>
      </c>
    </row>
    <row r="125" spans="2:51" x14ac:dyDescent="0.25">
      <c r="B125" t="s">
        <v>840</v>
      </c>
      <c r="C125" t="s">
        <v>1540</v>
      </c>
      <c r="D125" t="s">
        <v>1562</v>
      </c>
      <c r="E125" t="s">
        <v>1563</v>
      </c>
      <c r="F125">
        <v>-10000</v>
      </c>
      <c r="G125">
        <v>10000</v>
      </c>
      <c r="H125">
        <v>0</v>
      </c>
      <c r="I125">
        <v>1</v>
      </c>
      <c r="J125">
        <v>1</v>
      </c>
      <c r="K125">
        <v>1</v>
      </c>
      <c r="L125">
        <v>1</v>
      </c>
      <c r="M125">
        <v>0.01</v>
      </c>
      <c r="P125" t="s">
        <v>321</v>
      </c>
      <c r="Q125">
        <v>0</v>
      </c>
      <c r="R125">
        <v>0</v>
      </c>
      <c r="S125">
        <v>0</v>
      </c>
      <c r="V125" t="s">
        <v>321</v>
      </c>
      <c r="W125">
        <v>0</v>
      </c>
      <c r="X125">
        <v>0</v>
      </c>
      <c r="Y125">
        <v>0</v>
      </c>
    </row>
    <row r="126" spans="2:51" x14ac:dyDescent="0.25">
      <c r="B126" t="s">
        <v>844</v>
      </c>
      <c r="C126" t="s">
        <v>1542</v>
      </c>
      <c r="D126" t="s">
        <v>1562</v>
      </c>
      <c r="E126" t="s">
        <v>1563</v>
      </c>
      <c r="F126">
        <v>0</v>
      </c>
      <c r="G126">
        <v>10000</v>
      </c>
      <c r="H126">
        <v>0</v>
      </c>
      <c r="I126">
        <v>1</v>
      </c>
      <c r="J126">
        <v>1</v>
      </c>
      <c r="K126">
        <v>1</v>
      </c>
      <c r="L126">
        <v>1</v>
      </c>
      <c r="M126">
        <v>0.01</v>
      </c>
      <c r="P126" t="s">
        <v>821</v>
      </c>
      <c r="Q126">
        <v>0</v>
      </c>
      <c r="R126">
        <v>0</v>
      </c>
      <c r="S126">
        <v>0</v>
      </c>
      <c r="V126" t="s">
        <v>821</v>
      </c>
      <c r="W126">
        <v>0</v>
      </c>
      <c r="X126">
        <v>0</v>
      </c>
      <c r="Y126">
        <v>0</v>
      </c>
    </row>
    <row r="127" spans="2:51" x14ac:dyDescent="0.25">
      <c r="B127" t="s">
        <v>847</v>
      </c>
      <c r="C127" t="s">
        <v>1544</v>
      </c>
      <c r="D127" t="s">
        <v>1562</v>
      </c>
      <c r="E127" t="s">
        <v>1563</v>
      </c>
      <c r="F127">
        <v>0</v>
      </c>
      <c r="G127">
        <v>10000</v>
      </c>
      <c r="H127">
        <v>0</v>
      </c>
      <c r="I127">
        <v>1</v>
      </c>
      <c r="J127">
        <v>1</v>
      </c>
      <c r="K127">
        <v>1</v>
      </c>
      <c r="L127">
        <v>1</v>
      </c>
      <c r="M127">
        <v>0.01</v>
      </c>
      <c r="P127" t="s">
        <v>323</v>
      </c>
      <c r="Q127">
        <v>0</v>
      </c>
      <c r="R127">
        <v>0</v>
      </c>
      <c r="S127">
        <v>0</v>
      </c>
      <c r="V127" t="s">
        <v>323</v>
      </c>
      <c r="W127">
        <v>0</v>
      </c>
      <c r="X127">
        <v>0</v>
      </c>
      <c r="Y127">
        <v>0</v>
      </c>
      <c r="AC127" s="60"/>
    </row>
    <row r="128" spans="2:51" x14ac:dyDescent="0.25">
      <c r="B128" t="s">
        <v>1547</v>
      </c>
      <c r="C128" s="60" t="s">
        <v>1564</v>
      </c>
      <c r="D128" t="s">
        <v>1562</v>
      </c>
      <c r="E128" t="s">
        <v>1563</v>
      </c>
      <c r="F128">
        <v>0</v>
      </c>
      <c r="G128">
        <v>10000</v>
      </c>
      <c r="H128">
        <v>0</v>
      </c>
      <c r="I128">
        <v>1</v>
      </c>
      <c r="J128">
        <v>1</v>
      </c>
      <c r="K128">
        <v>1</v>
      </c>
      <c r="L128">
        <v>1</v>
      </c>
      <c r="M128">
        <v>0.01</v>
      </c>
      <c r="P128" t="s">
        <v>324</v>
      </c>
      <c r="Q128">
        <v>0</v>
      </c>
      <c r="R128">
        <v>0</v>
      </c>
      <c r="S128">
        <v>1</v>
      </c>
      <c r="V128" t="s">
        <v>324</v>
      </c>
      <c r="W128">
        <v>0</v>
      </c>
      <c r="X128">
        <v>0</v>
      </c>
      <c r="Y128">
        <v>1</v>
      </c>
    </row>
    <row r="129" spans="2:51" x14ac:dyDescent="0.25">
      <c r="B129" t="s">
        <v>292</v>
      </c>
      <c r="C129" t="s">
        <v>1551</v>
      </c>
      <c r="D129" t="s">
        <v>1562</v>
      </c>
      <c r="E129" t="s">
        <v>1563</v>
      </c>
      <c r="F129">
        <v>-10000</v>
      </c>
      <c r="G129">
        <v>10000</v>
      </c>
      <c r="H129">
        <v>0</v>
      </c>
      <c r="I129">
        <v>1</v>
      </c>
      <c r="J129">
        <v>1</v>
      </c>
      <c r="K129">
        <v>1</v>
      </c>
      <c r="L129">
        <v>1</v>
      </c>
      <c r="M129">
        <v>0.01</v>
      </c>
      <c r="P129" t="s">
        <v>833</v>
      </c>
      <c r="Q129">
        <v>0</v>
      </c>
      <c r="R129">
        <v>0</v>
      </c>
      <c r="S129">
        <v>0</v>
      </c>
      <c r="V129" t="s">
        <v>833</v>
      </c>
      <c r="W129">
        <v>0</v>
      </c>
      <c r="X129">
        <v>0</v>
      </c>
      <c r="Y129">
        <v>0</v>
      </c>
    </row>
    <row r="130" spans="2:51" x14ac:dyDescent="0.25">
      <c r="B130" t="s">
        <v>293</v>
      </c>
      <c r="C130" t="s">
        <v>1553</v>
      </c>
      <c r="D130" t="s">
        <v>1562</v>
      </c>
      <c r="E130" t="s">
        <v>1563</v>
      </c>
      <c r="F130">
        <v>-10000</v>
      </c>
      <c r="G130">
        <v>10000</v>
      </c>
      <c r="H130">
        <v>0</v>
      </c>
      <c r="I130">
        <v>1</v>
      </c>
      <c r="J130">
        <v>1</v>
      </c>
      <c r="K130">
        <v>1</v>
      </c>
      <c r="L130">
        <v>1</v>
      </c>
      <c r="M130">
        <v>0.01</v>
      </c>
      <c r="P130" t="s">
        <v>326</v>
      </c>
      <c r="Q130">
        <v>0</v>
      </c>
      <c r="R130">
        <v>0</v>
      </c>
      <c r="S130">
        <v>1</v>
      </c>
      <c r="V130" t="s">
        <v>326</v>
      </c>
      <c r="W130">
        <v>0</v>
      </c>
      <c r="X130">
        <v>0</v>
      </c>
      <c r="Y130">
        <v>1</v>
      </c>
    </row>
    <row r="131" spans="2:51" x14ac:dyDescent="0.25">
      <c r="P131" t="s">
        <v>164</v>
      </c>
      <c r="Q131">
        <v>0</v>
      </c>
      <c r="R131">
        <v>0</v>
      </c>
      <c r="S131">
        <v>0</v>
      </c>
      <c r="V131" t="s">
        <v>164</v>
      </c>
      <c r="W131">
        <v>0</v>
      </c>
      <c r="X131">
        <v>0</v>
      </c>
      <c r="Y131">
        <v>0</v>
      </c>
    </row>
    <row r="132" spans="2:51" x14ac:dyDescent="0.25">
      <c r="P132" t="s">
        <v>127</v>
      </c>
      <c r="Q132">
        <v>0</v>
      </c>
      <c r="R132">
        <v>0</v>
      </c>
      <c r="S132">
        <v>0</v>
      </c>
      <c r="V132" t="s">
        <v>127</v>
      </c>
      <c r="W132">
        <v>0</v>
      </c>
      <c r="X132">
        <v>0</v>
      </c>
      <c r="Y132">
        <v>0</v>
      </c>
    </row>
    <row r="133" spans="2:51" x14ac:dyDescent="0.25">
      <c r="P133" t="s">
        <v>327</v>
      </c>
      <c r="Q133">
        <v>0</v>
      </c>
      <c r="R133">
        <v>0</v>
      </c>
      <c r="S133">
        <v>1</v>
      </c>
      <c r="V133" t="s">
        <v>327</v>
      </c>
      <c r="W133">
        <v>0</v>
      </c>
      <c r="X133">
        <v>0</v>
      </c>
      <c r="Y133">
        <v>1</v>
      </c>
    </row>
    <row r="134" spans="2:51" x14ac:dyDescent="0.25">
      <c r="P134" t="s">
        <v>160</v>
      </c>
      <c r="Q134">
        <v>0</v>
      </c>
      <c r="R134">
        <v>0</v>
      </c>
      <c r="S134">
        <v>0</v>
      </c>
      <c r="V134" t="s">
        <v>160</v>
      </c>
      <c r="W134">
        <v>0</v>
      </c>
      <c r="X134">
        <v>0</v>
      </c>
      <c r="Y134">
        <v>0</v>
      </c>
    </row>
    <row r="135" spans="2:51" x14ac:dyDescent="0.25">
      <c r="P135" t="s">
        <v>328</v>
      </c>
      <c r="Q135">
        <v>0</v>
      </c>
      <c r="R135">
        <v>0</v>
      </c>
      <c r="S135">
        <v>0</v>
      </c>
      <c r="V135" t="s">
        <v>328</v>
      </c>
      <c r="W135">
        <v>0</v>
      </c>
      <c r="X135">
        <v>0</v>
      </c>
      <c r="Y135">
        <v>0</v>
      </c>
    </row>
    <row r="136" spans="2:51" x14ac:dyDescent="0.25">
      <c r="P136" t="s">
        <v>329</v>
      </c>
      <c r="Q136">
        <v>0</v>
      </c>
      <c r="R136">
        <v>0</v>
      </c>
      <c r="S136" s="3">
        <v>0</v>
      </c>
      <c r="V136" t="s">
        <v>329</v>
      </c>
      <c r="W136">
        <v>0</v>
      </c>
      <c r="X136">
        <v>0</v>
      </c>
      <c r="Y136" s="3">
        <v>0</v>
      </c>
      <c r="AS136" s="3"/>
      <c r="AY136" s="3"/>
    </row>
    <row r="137" spans="2:51" x14ac:dyDescent="0.25">
      <c r="P137" t="s">
        <v>168</v>
      </c>
      <c r="Q137">
        <v>0</v>
      </c>
      <c r="R137">
        <v>0</v>
      </c>
      <c r="S137">
        <v>0</v>
      </c>
      <c r="V137" t="s">
        <v>168</v>
      </c>
      <c r="W137">
        <v>0</v>
      </c>
      <c r="X137">
        <v>0</v>
      </c>
      <c r="Y137">
        <v>0</v>
      </c>
    </row>
    <row r="138" spans="2:51" x14ac:dyDescent="0.25">
      <c r="P138" t="s">
        <v>84</v>
      </c>
      <c r="Q138">
        <v>0</v>
      </c>
      <c r="R138">
        <v>0</v>
      </c>
      <c r="S138" s="3">
        <v>0</v>
      </c>
      <c r="V138" t="s">
        <v>84</v>
      </c>
      <c r="W138">
        <v>0</v>
      </c>
      <c r="X138">
        <v>0</v>
      </c>
      <c r="Y138" s="3">
        <v>0</v>
      </c>
      <c r="AS138" s="3"/>
      <c r="AY138" s="3"/>
    </row>
    <row r="139" spans="2:51" x14ac:dyDescent="0.25">
      <c r="P139" t="s">
        <v>861</v>
      </c>
      <c r="Q139">
        <v>0</v>
      </c>
      <c r="R139">
        <v>0</v>
      </c>
      <c r="S139">
        <v>0</v>
      </c>
      <c r="V139" t="s">
        <v>861</v>
      </c>
      <c r="W139">
        <v>0</v>
      </c>
      <c r="X139">
        <v>0</v>
      </c>
      <c r="Y139">
        <v>0</v>
      </c>
    </row>
    <row r="140" spans="2:51" x14ac:dyDescent="0.25">
      <c r="P140" t="s">
        <v>331</v>
      </c>
      <c r="Q140">
        <v>0</v>
      </c>
      <c r="R140">
        <v>0</v>
      </c>
      <c r="S140">
        <v>0</v>
      </c>
      <c r="V140" t="s">
        <v>331</v>
      </c>
      <c r="W140">
        <v>0</v>
      </c>
      <c r="X140">
        <v>0</v>
      </c>
      <c r="Y140">
        <v>0</v>
      </c>
    </row>
    <row r="141" spans="2:51" x14ac:dyDescent="0.25">
      <c r="P141" t="s">
        <v>332</v>
      </c>
      <c r="Q141">
        <v>0</v>
      </c>
      <c r="R141">
        <v>0</v>
      </c>
      <c r="S141" s="3">
        <v>0</v>
      </c>
      <c r="V141" t="s">
        <v>332</v>
      </c>
      <c r="W141">
        <v>0</v>
      </c>
      <c r="X141">
        <v>0</v>
      </c>
      <c r="Y141" s="3">
        <v>0</v>
      </c>
      <c r="AS141" s="3"/>
      <c r="AY141" s="3"/>
    </row>
    <row r="142" spans="2:51" x14ac:dyDescent="0.25">
      <c r="P142" t="s">
        <v>161</v>
      </c>
      <c r="Q142">
        <v>0</v>
      </c>
      <c r="R142">
        <v>0</v>
      </c>
      <c r="S142">
        <v>0</v>
      </c>
      <c r="V142" t="s">
        <v>161</v>
      </c>
      <c r="W142">
        <v>0</v>
      </c>
      <c r="X142">
        <v>0</v>
      </c>
      <c r="Y142">
        <v>0</v>
      </c>
    </row>
    <row r="143" spans="2:51" x14ac:dyDescent="0.25">
      <c r="P143" t="s">
        <v>333</v>
      </c>
      <c r="Q143">
        <v>0</v>
      </c>
      <c r="R143">
        <v>0</v>
      </c>
      <c r="S143">
        <v>1</v>
      </c>
      <c r="V143" t="s">
        <v>333</v>
      </c>
      <c r="W143">
        <v>0</v>
      </c>
      <c r="X143">
        <v>0</v>
      </c>
      <c r="Y143">
        <v>1</v>
      </c>
    </row>
    <row r="144" spans="2:51" x14ac:dyDescent="0.25">
      <c r="P144" t="s">
        <v>334</v>
      </c>
      <c r="Q144">
        <v>0</v>
      </c>
      <c r="R144">
        <v>0</v>
      </c>
      <c r="S144">
        <v>0</v>
      </c>
      <c r="V144" t="s">
        <v>334</v>
      </c>
      <c r="W144">
        <v>0</v>
      </c>
      <c r="X144">
        <v>0</v>
      </c>
      <c r="Y144">
        <v>0</v>
      </c>
    </row>
    <row r="145" spans="4:48" x14ac:dyDescent="0.25">
      <c r="P145" t="s">
        <v>335</v>
      </c>
      <c r="Q145">
        <v>0</v>
      </c>
      <c r="R145">
        <v>0</v>
      </c>
      <c r="S145">
        <v>0</v>
      </c>
      <c r="V145" t="s">
        <v>335</v>
      </c>
      <c r="W145">
        <v>0</v>
      </c>
      <c r="X145">
        <v>0</v>
      </c>
      <c r="Y145">
        <v>0</v>
      </c>
    </row>
    <row r="146" spans="4:48" x14ac:dyDescent="0.25">
      <c r="P146" t="s">
        <v>336</v>
      </c>
      <c r="Q146">
        <v>0</v>
      </c>
      <c r="R146">
        <v>0</v>
      </c>
      <c r="S146">
        <v>0</v>
      </c>
      <c r="V146" t="s">
        <v>336</v>
      </c>
      <c r="W146">
        <v>0</v>
      </c>
      <c r="X146">
        <v>0</v>
      </c>
      <c r="Y146">
        <v>0</v>
      </c>
    </row>
    <row r="147" spans="4:48" x14ac:dyDescent="0.25">
      <c r="P147" t="s">
        <v>337</v>
      </c>
      <c r="Q147">
        <v>0</v>
      </c>
      <c r="R147">
        <v>0</v>
      </c>
      <c r="S147">
        <v>1</v>
      </c>
      <c r="V147" t="s">
        <v>337</v>
      </c>
      <c r="W147">
        <v>0</v>
      </c>
      <c r="X147">
        <v>0</v>
      </c>
      <c r="Y147">
        <v>1</v>
      </c>
    </row>
    <row r="148" spans="4:48" x14ac:dyDescent="0.25">
      <c r="P148" t="s">
        <v>866</v>
      </c>
      <c r="Q148">
        <v>0</v>
      </c>
      <c r="R148">
        <v>0</v>
      </c>
      <c r="S148">
        <v>0</v>
      </c>
      <c r="V148" t="s">
        <v>866</v>
      </c>
      <c r="W148">
        <v>0</v>
      </c>
      <c r="X148">
        <v>0</v>
      </c>
      <c r="Y148">
        <v>0</v>
      </c>
    </row>
    <row r="149" spans="4:48" x14ac:dyDescent="0.25">
      <c r="P149" t="s">
        <v>867</v>
      </c>
      <c r="Q149">
        <v>0</v>
      </c>
      <c r="R149">
        <v>0</v>
      </c>
      <c r="S149">
        <v>0</v>
      </c>
      <c r="V149" t="s">
        <v>867</v>
      </c>
      <c r="W149">
        <v>0</v>
      </c>
      <c r="X149">
        <v>0</v>
      </c>
      <c r="Y149">
        <v>0</v>
      </c>
    </row>
    <row r="150" spans="4:48" x14ac:dyDescent="0.25">
      <c r="P150" t="s">
        <v>340</v>
      </c>
      <c r="Q150">
        <v>0</v>
      </c>
      <c r="R150">
        <v>0</v>
      </c>
      <c r="S150">
        <v>0</v>
      </c>
      <c r="V150" t="s">
        <v>340</v>
      </c>
      <c r="W150">
        <v>0</v>
      </c>
      <c r="X150">
        <v>0</v>
      </c>
      <c r="Y150">
        <v>0</v>
      </c>
    </row>
    <row r="151" spans="4:48" x14ac:dyDescent="0.25">
      <c r="D151" s="60"/>
    </row>
    <row r="152" spans="4:48" x14ac:dyDescent="0.25">
      <c r="P152" s="6"/>
      <c r="AP152" s="6"/>
      <c r="AV152" s="6"/>
    </row>
    <row r="172" spans="4:4" x14ac:dyDescent="0.25">
      <c r="D172" s="60"/>
    </row>
    <row r="173" spans="4:4" x14ac:dyDescent="0.25">
      <c r="D173" s="60"/>
    </row>
    <row r="225" spans="4:8" x14ac:dyDescent="0.25">
      <c r="D225" s="77"/>
      <c r="G225" s="71"/>
      <c r="H225" s="71"/>
    </row>
    <row r="247" spans="18:50" x14ac:dyDescent="0.25">
      <c r="AR247" s="60"/>
      <c r="AX247" s="60"/>
    </row>
    <row r="248" spans="18:50" x14ac:dyDescent="0.25">
      <c r="AR248" s="60"/>
      <c r="AX248" s="60"/>
    </row>
    <row r="249" spans="18:50" x14ac:dyDescent="0.25">
      <c r="R249" s="60"/>
      <c r="AR249" s="60"/>
      <c r="AX249" s="60"/>
    </row>
    <row r="250" spans="18:50" x14ac:dyDescent="0.25">
      <c r="R250" s="60"/>
      <c r="AX250" s="60"/>
    </row>
    <row r="251" spans="18:50" x14ac:dyDescent="0.25">
      <c r="R251" s="60"/>
      <c r="AR251" s="60"/>
      <c r="AX251" s="60"/>
    </row>
    <row r="252" spans="18:50" x14ac:dyDescent="0.25">
      <c r="AR252" s="60"/>
      <c r="AX252" s="60"/>
    </row>
    <row r="253" spans="18:50" x14ac:dyDescent="0.25">
      <c r="R253" s="60"/>
    </row>
    <row r="254" spans="18:50" x14ac:dyDescent="0.25">
      <c r="R254" s="60"/>
    </row>
    <row r="255" spans="18:50" x14ac:dyDescent="0.25">
      <c r="AX255" s="69"/>
    </row>
    <row r="257" spans="16:50" x14ac:dyDescent="0.25">
      <c r="AX257" s="60"/>
    </row>
    <row r="264" spans="16:50" x14ac:dyDescent="0.25">
      <c r="P264" s="6"/>
    </row>
    <row r="266" spans="16:50" x14ac:dyDescent="0.25">
      <c r="P266"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2736-42FF-4844-952B-A6346EFCD457}">
  <sheetPr codeName="Sheet13"/>
  <dimension ref="B1:BI262"/>
  <sheetViews>
    <sheetView workbookViewId="0"/>
  </sheetViews>
  <sheetFormatPr defaultRowHeight="15" x14ac:dyDescent="0.25"/>
  <cols>
    <col min="3" max="3" width="81" customWidth="1"/>
    <col min="15" max="15" width="41.28515625" customWidth="1"/>
    <col min="21" max="21" width="39.7109375" customWidth="1"/>
    <col min="27" max="27" width="29.5703125" customWidth="1"/>
    <col min="33" max="33" width="23.85546875" customWidth="1"/>
    <col min="40" max="40" width="86.42578125" customWidth="1"/>
    <col min="53" max="53" width="40" customWidth="1"/>
    <col min="59" max="59" width="25.7109375" customWidth="1"/>
  </cols>
  <sheetData>
    <row r="1" spans="2:59" ht="15" customHeight="1" thickBot="1" x14ac:dyDescent="0.3">
      <c r="B1" s="79" t="s">
        <v>1565</v>
      </c>
      <c r="C1" s="80"/>
      <c r="D1" s="80"/>
      <c r="E1" s="80"/>
      <c r="F1" s="80"/>
      <c r="G1" s="80"/>
      <c r="H1" s="83"/>
    </row>
    <row r="2" spans="2:59" ht="15" customHeight="1" x14ac:dyDescent="0.25">
      <c r="B2" s="6" t="s">
        <v>1555</v>
      </c>
    </row>
    <row r="3" spans="2:59" ht="15" customHeight="1" x14ac:dyDescent="0.25">
      <c r="B3" s="6" t="s">
        <v>145</v>
      </c>
    </row>
    <row r="4" spans="2:59" ht="15" customHeight="1" x14ac:dyDescent="0.25">
      <c r="B4" s="6" t="s">
        <v>145</v>
      </c>
      <c r="O4" t="s">
        <v>1556</v>
      </c>
    </row>
    <row r="5" spans="2:59" ht="15" customHeight="1" thickBot="1" x14ac:dyDescent="0.3">
      <c r="B5" s="6"/>
      <c r="O5" t="s">
        <v>1557</v>
      </c>
    </row>
    <row r="6" spans="2:59" ht="15" customHeight="1" thickBot="1" x14ac:dyDescent="0.3">
      <c r="B6" s="81" t="s">
        <v>1558</v>
      </c>
      <c r="C6" s="80"/>
      <c r="D6" s="80"/>
      <c r="E6" s="80"/>
      <c r="F6" s="80"/>
      <c r="G6" s="80"/>
      <c r="H6" s="80"/>
      <c r="I6" s="83"/>
      <c r="O6" s="81" t="s">
        <v>1559</v>
      </c>
      <c r="P6" s="80"/>
      <c r="Q6" s="80"/>
      <c r="R6" s="83"/>
      <c r="U6" s="81" t="s">
        <v>1566</v>
      </c>
      <c r="V6" s="80"/>
      <c r="W6" s="80"/>
      <c r="X6" s="83"/>
      <c r="AA6" s="81" t="s">
        <v>1567</v>
      </c>
      <c r="AB6" s="80"/>
      <c r="AC6" s="80"/>
      <c r="AD6" s="83"/>
      <c r="AG6" s="81" t="s">
        <v>1568</v>
      </c>
      <c r="AH6" s="80"/>
      <c r="AI6" s="80"/>
      <c r="AJ6" s="83"/>
      <c r="AM6" s="6"/>
      <c r="BA6" s="6"/>
      <c r="BG6" s="6"/>
    </row>
    <row r="7" spans="2:59" ht="15" customHeight="1" x14ac:dyDescent="0.25">
      <c r="O7" s="6" t="s">
        <v>1561</v>
      </c>
      <c r="U7" s="6" t="s">
        <v>1561</v>
      </c>
      <c r="AA7" s="6" t="s">
        <v>1561</v>
      </c>
      <c r="AG7" s="6" t="s">
        <v>1561</v>
      </c>
      <c r="BA7" s="6"/>
      <c r="BG7" s="6"/>
    </row>
    <row r="8" spans="2:59" ht="15" customHeight="1" x14ac:dyDescent="0.25">
      <c r="B8" t="s">
        <v>343</v>
      </c>
      <c r="C8" t="s">
        <v>987</v>
      </c>
      <c r="D8" t="s">
        <v>1562</v>
      </c>
      <c r="E8" t="s">
        <v>1563</v>
      </c>
      <c r="F8">
        <v>0</v>
      </c>
      <c r="G8">
        <v>10000</v>
      </c>
      <c r="H8">
        <v>0</v>
      </c>
      <c r="I8">
        <v>1</v>
      </c>
      <c r="J8">
        <v>1</v>
      </c>
      <c r="K8">
        <v>1</v>
      </c>
      <c r="L8">
        <v>1</v>
      </c>
      <c r="M8">
        <v>0.01</v>
      </c>
      <c r="O8" t="s">
        <v>344</v>
      </c>
      <c r="P8">
        <v>0</v>
      </c>
      <c r="Q8">
        <v>0</v>
      </c>
      <c r="R8">
        <v>0</v>
      </c>
      <c r="U8" t="s">
        <v>344</v>
      </c>
      <c r="V8">
        <v>0</v>
      </c>
      <c r="W8">
        <v>0</v>
      </c>
      <c r="X8">
        <v>0</v>
      </c>
      <c r="AA8" t="s">
        <v>344</v>
      </c>
      <c r="AB8">
        <v>0</v>
      </c>
      <c r="AC8">
        <v>0</v>
      </c>
      <c r="AD8">
        <v>0</v>
      </c>
      <c r="AG8" t="s">
        <v>344</v>
      </c>
      <c r="AH8">
        <v>0</v>
      </c>
      <c r="AI8">
        <v>0</v>
      </c>
      <c r="AJ8">
        <v>0</v>
      </c>
    </row>
    <row r="9" spans="2:59" ht="15" customHeight="1" x14ac:dyDescent="0.25">
      <c r="B9" t="s">
        <v>348</v>
      </c>
      <c r="C9" t="s">
        <v>992</v>
      </c>
      <c r="D9" t="s">
        <v>1562</v>
      </c>
      <c r="E9" t="s">
        <v>1563</v>
      </c>
      <c r="F9">
        <v>0</v>
      </c>
      <c r="G9">
        <v>10000</v>
      </c>
      <c r="H9">
        <v>0</v>
      </c>
      <c r="I9">
        <v>1</v>
      </c>
      <c r="J9">
        <v>1</v>
      </c>
      <c r="K9">
        <v>1</v>
      </c>
      <c r="L9">
        <v>1</v>
      </c>
      <c r="M9">
        <v>0.01</v>
      </c>
      <c r="O9" t="s">
        <v>349</v>
      </c>
      <c r="P9">
        <v>0</v>
      </c>
      <c r="Q9">
        <v>0</v>
      </c>
      <c r="R9">
        <v>0</v>
      </c>
      <c r="U9" t="s">
        <v>349</v>
      </c>
      <c r="V9">
        <v>0</v>
      </c>
      <c r="W9">
        <v>0</v>
      </c>
      <c r="X9">
        <v>0</v>
      </c>
      <c r="AA9" t="s">
        <v>349</v>
      </c>
      <c r="AB9">
        <v>0</v>
      </c>
      <c r="AC9">
        <v>0</v>
      </c>
      <c r="AD9">
        <v>0</v>
      </c>
      <c r="AG9" t="s">
        <v>349</v>
      </c>
      <c r="AH9">
        <v>0</v>
      </c>
      <c r="AI9">
        <v>0</v>
      </c>
      <c r="AJ9">
        <v>0</v>
      </c>
    </row>
    <row r="10" spans="2:59" ht="15" customHeight="1" x14ac:dyDescent="0.25">
      <c r="B10" t="s">
        <v>353</v>
      </c>
      <c r="C10" t="s">
        <v>997</v>
      </c>
      <c r="D10" t="s">
        <v>1562</v>
      </c>
      <c r="E10" t="s">
        <v>1563</v>
      </c>
      <c r="F10">
        <v>0</v>
      </c>
      <c r="G10">
        <v>10000</v>
      </c>
      <c r="H10">
        <v>0</v>
      </c>
      <c r="I10">
        <v>1</v>
      </c>
      <c r="J10">
        <v>1</v>
      </c>
      <c r="K10">
        <v>1</v>
      </c>
      <c r="L10">
        <v>1</v>
      </c>
      <c r="M10">
        <v>0.01</v>
      </c>
      <c r="O10" t="s">
        <v>354</v>
      </c>
      <c r="P10">
        <v>0</v>
      </c>
      <c r="Q10">
        <v>0</v>
      </c>
      <c r="R10">
        <v>0</v>
      </c>
      <c r="U10" t="s">
        <v>354</v>
      </c>
      <c r="V10">
        <v>0</v>
      </c>
      <c r="W10">
        <v>0</v>
      </c>
      <c r="X10">
        <v>0</v>
      </c>
      <c r="AA10" t="s">
        <v>354</v>
      </c>
      <c r="AB10">
        <v>0</v>
      </c>
      <c r="AC10">
        <v>0</v>
      </c>
      <c r="AD10">
        <v>0</v>
      </c>
      <c r="AG10" t="s">
        <v>354</v>
      </c>
      <c r="AH10">
        <v>0</v>
      </c>
      <c r="AI10">
        <v>0</v>
      </c>
      <c r="AJ10">
        <v>0</v>
      </c>
    </row>
    <row r="11" spans="2:59" x14ac:dyDescent="0.25">
      <c r="B11" t="s">
        <v>357</v>
      </c>
      <c r="C11" t="s">
        <v>999</v>
      </c>
      <c r="D11" t="s">
        <v>1562</v>
      </c>
      <c r="E11" t="s">
        <v>1563</v>
      </c>
      <c r="F11">
        <v>0</v>
      </c>
      <c r="G11">
        <v>10000</v>
      </c>
      <c r="H11">
        <v>0</v>
      </c>
      <c r="I11">
        <v>1</v>
      </c>
      <c r="J11">
        <v>1</v>
      </c>
      <c r="K11">
        <v>1</v>
      </c>
      <c r="L11">
        <v>1</v>
      </c>
      <c r="M11">
        <v>0.01</v>
      </c>
      <c r="O11" t="s">
        <v>358</v>
      </c>
      <c r="P11">
        <v>0</v>
      </c>
      <c r="Q11">
        <v>0</v>
      </c>
      <c r="R11">
        <v>0</v>
      </c>
      <c r="U11" t="s">
        <v>358</v>
      </c>
      <c r="V11">
        <v>0</v>
      </c>
      <c r="W11">
        <v>0</v>
      </c>
      <c r="X11">
        <v>0</v>
      </c>
      <c r="AA11" t="s">
        <v>358</v>
      </c>
      <c r="AB11">
        <v>0</v>
      </c>
      <c r="AC11">
        <v>0</v>
      </c>
      <c r="AD11">
        <v>0</v>
      </c>
      <c r="AG11" t="s">
        <v>358</v>
      </c>
      <c r="AH11">
        <v>0</v>
      </c>
      <c r="AI11">
        <v>0</v>
      </c>
      <c r="AJ11">
        <v>0</v>
      </c>
    </row>
    <row r="12" spans="2:59" x14ac:dyDescent="0.25">
      <c r="B12" t="s">
        <v>361</v>
      </c>
      <c r="C12" t="s">
        <v>1005</v>
      </c>
      <c r="D12" t="s">
        <v>1562</v>
      </c>
      <c r="E12" t="s">
        <v>1563</v>
      </c>
      <c r="F12">
        <v>0</v>
      </c>
      <c r="G12">
        <v>10000</v>
      </c>
      <c r="H12">
        <v>0</v>
      </c>
      <c r="I12">
        <v>1</v>
      </c>
      <c r="J12">
        <v>1</v>
      </c>
      <c r="K12">
        <v>1</v>
      </c>
      <c r="L12">
        <v>1</v>
      </c>
      <c r="M12">
        <v>0.01</v>
      </c>
      <c r="O12" t="s">
        <v>362</v>
      </c>
      <c r="P12">
        <v>0</v>
      </c>
      <c r="Q12">
        <v>0</v>
      </c>
      <c r="R12">
        <v>0</v>
      </c>
      <c r="U12" t="s">
        <v>362</v>
      </c>
      <c r="V12">
        <v>0</v>
      </c>
      <c r="W12">
        <v>0</v>
      </c>
      <c r="X12">
        <v>0</v>
      </c>
      <c r="AA12" t="s">
        <v>362</v>
      </c>
      <c r="AB12">
        <v>0</v>
      </c>
      <c r="AC12">
        <v>0</v>
      </c>
      <c r="AD12">
        <v>0</v>
      </c>
      <c r="AG12" t="s">
        <v>362</v>
      </c>
      <c r="AH12">
        <v>0</v>
      </c>
      <c r="AI12">
        <v>0</v>
      </c>
      <c r="AJ12">
        <v>0</v>
      </c>
    </row>
    <row r="13" spans="2:59" x14ac:dyDescent="0.25">
      <c r="B13" t="s">
        <v>366</v>
      </c>
      <c r="C13" t="s">
        <v>1009</v>
      </c>
      <c r="D13" t="s">
        <v>1562</v>
      </c>
      <c r="E13" t="s">
        <v>1563</v>
      </c>
      <c r="F13">
        <v>0</v>
      </c>
      <c r="G13">
        <v>10000</v>
      </c>
      <c r="H13">
        <v>0</v>
      </c>
      <c r="I13">
        <v>1</v>
      </c>
      <c r="J13">
        <v>1</v>
      </c>
      <c r="K13">
        <v>1</v>
      </c>
      <c r="L13">
        <v>1</v>
      </c>
      <c r="M13">
        <v>0.01</v>
      </c>
      <c r="O13" t="s">
        <v>367</v>
      </c>
      <c r="P13">
        <v>0</v>
      </c>
      <c r="Q13">
        <v>0</v>
      </c>
      <c r="R13">
        <v>0</v>
      </c>
      <c r="U13" t="s">
        <v>367</v>
      </c>
      <c r="V13">
        <v>0</v>
      </c>
      <c r="W13">
        <v>0</v>
      </c>
      <c r="X13">
        <v>0</v>
      </c>
      <c r="AA13" t="s">
        <v>367</v>
      </c>
      <c r="AB13">
        <v>0</v>
      </c>
      <c r="AC13">
        <v>0</v>
      </c>
      <c r="AD13">
        <v>0</v>
      </c>
      <c r="AG13" t="s">
        <v>367</v>
      </c>
      <c r="AH13">
        <v>0</v>
      </c>
      <c r="AI13">
        <v>0</v>
      </c>
      <c r="AJ13">
        <v>0</v>
      </c>
    </row>
    <row r="14" spans="2:59" x14ac:dyDescent="0.25">
      <c r="B14" t="s">
        <v>371</v>
      </c>
      <c r="C14" t="s">
        <v>1027</v>
      </c>
      <c r="D14" t="s">
        <v>1562</v>
      </c>
      <c r="E14" t="s">
        <v>1563</v>
      </c>
      <c r="F14">
        <v>0</v>
      </c>
      <c r="G14">
        <v>10000</v>
      </c>
      <c r="H14">
        <v>0</v>
      </c>
      <c r="I14">
        <v>1</v>
      </c>
      <c r="J14">
        <v>1</v>
      </c>
      <c r="K14">
        <v>1</v>
      </c>
      <c r="L14">
        <v>1</v>
      </c>
      <c r="M14">
        <v>0.01</v>
      </c>
      <c r="O14" t="s">
        <v>372</v>
      </c>
      <c r="P14">
        <v>0</v>
      </c>
      <c r="Q14">
        <v>0</v>
      </c>
      <c r="R14">
        <v>1</v>
      </c>
      <c r="U14" t="s">
        <v>372</v>
      </c>
      <c r="V14">
        <v>0</v>
      </c>
      <c r="W14">
        <v>0</v>
      </c>
      <c r="X14">
        <v>1</v>
      </c>
      <c r="AA14" t="s">
        <v>372</v>
      </c>
      <c r="AB14">
        <v>0</v>
      </c>
      <c r="AC14">
        <v>0</v>
      </c>
      <c r="AD14">
        <v>1</v>
      </c>
      <c r="AG14" t="s">
        <v>372</v>
      </c>
      <c r="AH14">
        <v>0</v>
      </c>
      <c r="AI14">
        <v>0</v>
      </c>
      <c r="AJ14">
        <v>1</v>
      </c>
    </row>
    <row r="15" spans="2:59" x14ac:dyDescent="0.25">
      <c r="B15" t="s">
        <v>375</v>
      </c>
      <c r="C15" t="s">
        <v>1031</v>
      </c>
      <c r="D15" t="s">
        <v>1562</v>
      </c>
      <c r="E15" t="s">
        <v>1563</v>
      </c>
      <c r="F15">
        <v>0</v>
      </c>
      <c r="G15">
        <v>10000</v>
      </c>
      <c r="H15">
        <v>0</v>
      </c>
      <c r="I15">
        <v>1</v>
      </c>
      <c r="J15">
        <v>1</v>
      </c>
      <c r="K15">
        <v>1</v>
      </c>
      <c r="L15">
        <v>1</v>
      </c>
      <c r="M15">
        <v>0.01</v>
      </c>
      <c r="O15" t="s">
        <v>376</v>
      </c>
      <c r="P15">
        <v>0</v>
      </c>
      <c r="Q15">
        <v>0</v>
      </c>
      <c r="R15">
        <v>0</v>
      </c>
      <c r="U15" t="s">
        <v>376</v>
      </c>
      <c r="V15">
        <v>0</v>
      </c>
      <c r="W15">
        <v>0</v>
      </c>
      <c r="X15">
        <v>0</v>
      </c>
      <c r="AA15" t="s">
        <v>376</v>
      </c>
      <c r="AB15">
        <v>0</v>
      </c>
      <c r="AC15">
        <v>0</v>
      </c>
      <c r="AD15">
        <v>0</v>
      </c>
      <c r="AG15" t="s">
        <v>376</v>
      </c>
      <c r="AH15">
        <v>0</v>
      </c>
      <c r="AI15">
        <v>0</v>
      </c>
      <c r="AJ15">
        <v>0</v>
      </c>
    </row>
    <row r="16" spans="2:59" x14ac:dyDescent="0.25">
      <c r="B16" t="s">
        <v>380</v>
      </c>
      <c r="C16" t="s">
        <v>1035</v>
      </c>
      <c r="D16" t="s">
        <v>1562</v>
      </c>
      <c r="E16" t="s">
        <v>1563</v>
      </c>
      <c r="F16">
        <v>0</v>
      </c>
      <c r="G16">
        <v>10000</v>
      </c>
      <c r="H16">
        <v>0</v>
      </c>
      <c r="I16">
        <v>1</v>
      </c>
      <c r="J16">
        <v>1</v>
      </c>
      <c r="K16">
        <v>1</v>
      </c>
      <c r="L16">
        <v>1</v>
      </c>
      <c r="M16">
        <v>0.01</v>
      </c>
      <c r="O16" t="s">
        <v>381</v>
      </c>
      <c r="P16">
        <v>0</v>
      </c>
      <c r="Q16">
        <v>0</v>
      </c>
      <c r="R16">
        <v>0</v>
      </c>
      <c r="U16" t="s">
        <v>381</v>
      </c>
      <c r="V16">
        <v>0</v>
      </c>
      <c r="W16">
        <v>0</v>
      </c>
      <c r="X16">
        <v>0</v>
      </c>
      <c r="AA16" t="s">
        <v>381</v>
      </c>
      <c r="AB16">
        <v>0</v>
      </c>
      <c r="AC16">
        <v>0</v>
      </c>
      <c r="AD16">
        <v>0</v>
      </c>
      <c r="AG16" t="s">
        <v>381</v>
      </c>
      <c r="AH16">
        <v>0</v>
      </c>
      <c r="AI16">
        <v>0</v>
      </c>
      <c r="AJ16">
        <v>0</v>
      </c>
    </row>
    <row r="17" spans="2:36" x14ac:dyDescent="0.25">
      <c r="B17" t="s">
        <v>385</v>
      </c>
      <c r="C17" t="s">
        <v>1036</v>
      </c>
      <c r="D17" t="s">
        <v>1562</v>
      </c>
      <c r="E17" t="s">
        <v>1563</v>
      </c>
      <c r="F17">
        <v>-10000</v>
      </c>
      <c r="G17">
        <v>10000</v>
      </c>
      <c r="H17">
        <v>0</v>
      </c>
      <c r="I17">
        <v>1</v>
      </c>
      <c r="J17">
        <v>1</v>
      </c>
      <c r="K17">
        <v>1</v>
      </c>
      <c r="L17">
        <v>1</v>
      </c>
      <c r="M17">
        <v>0.01</v>
      </c>
      <c r="O17" t="s">
        <v>386</v>
      </c>
      <c r="P17">
        <v>0</v>
      </c>
      <c r="Q17">
        <v>0</v>
      </c>
      <c r="R17">
        <v>0</v>
      </c>
      <c r="U17" t="s">
        <v>386</v>
      </c>
      <c r="V17">
        <v>0</v>
      </c>
      <c r="W17">
        <v>0</v>
      </c>
      <c r="X17">
        <v>0</v>
      </c>
      <c r="AA17" t="s">
        <v>386</v>
      </c>
      <c r="AB17">
        <v>0</v>
      </c>
      <c r="AC17">
        <v>0</v>
      </c>
      <c r="AD17">
        <v>0</v>
      </c>
      <c r="AG17" t="s">
        <v>386</v>
      </c>
      <c r="AH17">
        <v>0</v>
      </c>
      <c r="AI17">
        <v>0</v>
      </c>
      <c r="AJ17">
        <v>0</v>
      </c>
    </row>
    <row r="18" spans="2:36" x14ac:dyDescent="0.25">
      <c r="B18" t="s">
        <v>390</v>
      </c>
      <c r="C18" t="s">
        <v>1040</v>
      </c>
      <c r="D18" t="s">
        <v>1562</v>
      </c>
      <c r="E18" t="s">
        <v>1563</v>
      </c>
      <c r="F18">
        <v>0</v>
      </c>
      <c r="G18">
        <v>10000</v>
      </c>
      <c r="H18">
        <v>0</v>
      </c>
      <c r="I18">
        <v>1</v>
      </c>
      <c r="J18">
        <v>1</v>
      </c>
      <c r="K18">
        <v>1</v>
      </c>
      <c r="L18">
        <v>1</v>
      </c>
      <c r="M18">
        <v>0.01</v>
      </c>
      <c r="O18" t="s">
        <v>391</v>
      </c>
      <c r="P18">
        <v>0</v>
      </c>
      <c r="Q18">
        <v>0</v>
      </c>
      <c r="R18">
        <v>0</v>
      </c>
      <c r="U18" t="s">
        <v>391</v>
      </c>
      <c r="V18">
        <v>0</v>
      </c>
      <c r="W18">
        <v>0</v>
      </c>
      <c r="X18">
        <v>0</v>
      </c>
      <c r="AA18" t="s">
        <v>391</v>
      </c>
      <c r="AB18">
        <v>0</v>
      </c>
      <c r="AC18">
        <v>0</v>
      </c>
      <c r="AD18">
        <v>0</v>
      </c>
      <c r="AG18" t="s">
        <v>391</v>
      </c>
      <c r="AH18">
        <v>0</v>
      </c>
      <c r="AI18">
        <v>0</v>
      </c>
      <c r="AJ18">
        <v>0</v>
      </c>
    </row>
    <row r="19" spans="2:36" x14ac:dyDescent="0.25">
      <c r="B19" t="s">
        <v>394</v>
      </c>
      <c r="C19" t="s">
        <v>1044</v>
      </c>
      <c r="D19" t="s">
        <v>1562</v>
      </c>
      <c r="E19" t="s">
        <v>1563</v>
      </c>
      <c r="F19">
        <v>0</v>
      </c>
      <c r="G19">
        <v>10000</v>
      </c>
      <c r="H19">
        <v>0</v>
      </c>
      <c r="I19">
        <v>1</v>
      </c>
      <c r="J19">
        <v>1</v>
      </c>
      <c r="K19">
        <v>1</v>
      </c>
      <c r="L19">
        <v>1</v>
      </c>
      <c r="M19">
        <v>0.01</v>
      </c>
      <c r="O19" t="s">
        <v>395</v>
      </c>
      <c r="P19">
        <v>0</v>
      </c>
      <c r="Q19">
        <v>0</v>
      </c>
      <c r="R19">
        <v>0</v>
      </c>
      <c r="U19" t="s">
        <v>395</v>
      </c>
      <c r="V19">
        <v>0</v>
      </c>
      <c r="W19">
        <v>0</v>
      </c>
      <c r="X19">
        <v>0</v>
      </c>
      <c r="AA19" t="s">
        <v>395</v>
      </c>
      <c r="AB19">
        <v>0</v>
      </c>
      <c r="AC19">
        <v>0</v>
      </c>
      <c r="AD19">
        <v>0</v>
      </c>
      <c r="AG19" t="s">
        <v>395</v>
      </c>
      <c r="AH19">
        <v>0</v>
      </c>
      <c r="AI19">
        <v>0</v>
      </c>
      <c r="AJ19">
        <v>0</v>
      </c>
    </row>
    <row r="20" spans="2:36" x14ac:dyDescent="0.25">
      <c r="B20" t="s">
        <v>399</v>
      </c>
      <c r="C20" t="s">
        <v>1046</v>
      </c>
      <c r="D20" t="s">
        <v>1562</v>
      </c>
      <c r="E20" t="s">
        <v>1563</v>
      </c>
      <c r="F20">
        <v>0</v>
      </c>
      <c r="G20">
        <v>10000</v>
      </c>
      <c r="H20">
        <v>0</v>
      </c>
      <c r="I20">
        <v>1</v>
      </c>
      <c r="J20">
        <v>1</v>
      </c>
      <c r="K20">
        <v>1</v>
      </c>
      <c r="L20">
        <v>1</v>
      </c>
      <c r="M20">
        <v>0.01</v>
      </c>
      <c r="O20" t="s">
        <v>400</v>
      </c>
      <c r="P20">
        <v>0</v>
      </c>
      <c r="Q20">
        <v>0</v>
      </c>
      <c r="R20">
        <v>0</v>
      </c>
      <c r="U20" t="s">
        <v>400</v>
      </c>
      <c r="V20">
        <v>0</v>
      </c>
      <c r="W20">
        <v>0</v>
      </c>
      <c r="X20">
        <v>0</v>
      </c>
      <c r="AA20" t="s">
        <v>400</v>
      </c>
      <c r="AB20">
        <v>0</v>
      </c>
      <c r="AC20">
        <v>0</v>
      </c>
      <c r="AD20">
        <v>0</v>
      </c>
      <c r="AG20" t="s">
        <v>400</v>
      </c>
      <c r="AH20">
        <v>0</v>
      </c>
      <c r="AI20">
        <v>0</v>
      </c>
      <c r="AJ20">
        <v>0</v>
      </c>
    </row>
    <row r="21" spans="2:36" x14ac:dyDescent="0.25">
      <c r="B21" t="s">
        <v>404</v>
      </c>
      <c r="C21" t="s">
        <v>1051</v>
      </c>
      <c r="D21" t="s">
        <v>1562</v>
      </c>
      <c r="E21" t="s">
        <v>1563</v>
      </c>
      <c r="F21">
        <v>-10000</v>
      </c>
      <c r="G21">
        <v>10000</v>
      </c>
      <c r="H21">
        <v>0</v>
      </c>
      <c r="I21">
        <v>1</v>
      </c>
      <c r="J21">
        <v>1</v>
      </c>
      <c r="K21">
        <v>1</v>
      </c>
      <c r="L21">
        <v>1</v>
      </c>
      <c r="M21">
        <v>0.01</v>
      </c>
      <c r="O21" t="s">
        <v>405</v>
      </c>
      <c r="P21">
        <v>0</v>
      </c>
      <c r="Q21">
        <v>0</v>
      </c>
      <c r="R21">
        <v>0</v>
      </c>
      <c r="U21" t="s">
        <v>405</v>
      </c>
      <c r="V21">
        <v>0</v>
      </c>
      <c r="W21">
        <v>0</v>
      </c>
      <c r="X21">
        <v>0</v>
      </c>
      <c r="AA21" t="s">
        <v>405</v>
      </c>
      <c r="AB21">
        <v>0</v>
      </c>
      <c r="AC21">
        <v>0</v>
      </c>
      <c r="AD21">
        <v>0</v>
      </c>
      <c r="AG21" t="s">
        <v>405</v>
      </c>
      <c r="AH21">
        <v>0</v>
      </c>
      <c r="AI21">
        <v>0</v>
      </c>
      <c r="AJ21">
        <v>0</v>
      </c>
    </row>
    <row r="22" spans="2:36" x14ac:dyDescent="0.25">
      <c r="B22" t="s">
        <v>409</v>
      </c>
      <c r="C22" t="s">
        <v>1055</v>
      </c>
      <c r="D22" t="s">
        <v>1562</v>
      </c>
      <c r="E22" t="s">
        <v>1563</v>
      </c>
      <c r="F22">
        <v>-10000</v>
      </c>
      <c r="G22">
        <v>10000</v>
      </c>
      <c r="H22">
        <v>0</v>
      </c>
      <c r="I22">
        <v>1</v>
      </c>
      <c r="J22">
        <v>1</v>
      </c>
      <c r="K22">
        <v>1</v>
      </c>
      <c r="L22">
        <v>1</v>
      </c>
      <c r="M22">
        <v>0.01</v>
      </c>
      <c r="O22" t="s">
        <v>163</v>
      </c>
      <c r="P22">
        <v>0</v>
      </c>
      <c r="Q22">
        <v>0</v>
      </c>
      <c r="R22">
        <v>0</v>
      </c>
      <c r="U22" t="s">
        <v>163</v>
      </c>
      <c r="V22">
        <v>0</v>
      </c>
      <c r="W22">
        <v>0</v>
      </c>
      <c r="X22">
        <v>0</v>
      </c>
      <c r="AA22" t="s">
        <v>163</v>
      </c>
      <c r="AB22">
        <v>0</v>
      </c>
      <c r="AC22">
        <v>0</v>
      </c>
      <c r="AD22">
        <v>0</v>
      </c>
      <c r="AG22" t="s">
        <v>163</v>
      </c>
      <c r="AH22">
        <v>0</v>
      </c>
      <c r="AI22">
        <v>0</v>
      </c>
      <c r="AJ22">
        <v>0</v>
      </c>
    </row>
    <row r="23" spans="2:36" x14ac:dyDescent="0.25">
      <c r="B23" t="s">
        <v>413</v>
      </c>
      <c r="C23" t="s">
        <v>1060</v>
      </c>
      <c r="D23" t="s">
        <v>1562</v>
      </c>
      <c r="E23" t="s">
        <v>1563</v>
      </c>
      <c r="F23">
        <v>0</v>
      </c>
      <c r="G23">
        <v>10000</v>
      </c>
      <c r="H23">
        <v>0</v>
      </c>
      <c r="I23">
        <v>1</v>
      </c>
      <c r="J23">
        <v>1</v>
      </c>
      <c r="K23">
        <v>1</v>
      </c>
      <c r="L23">
        <v>1</v>
      </c>
      <c r="M23">
        <v>0.01</v>
      </c>
      <c r="O23" t="s">
        <v>414</v>
      </c>
      <c r="P23">
        <v>0</v>
      </c>
      <c r="Q23">
        <v>0</v>
      </c>
      <c r="R23">
        <v>0</v>
      </c>
      <c r="U23" t="s">
        <v>414</v>
      </c>
      <c r="V23">
        <v>0</v>
      </c>
      <c r="W23">
        <v>0</v>
      </c>
      <c r="X23">
        <v>0</v>
      </c>
      <c r="AA23" t="s">
        <v>414</v>
      </c>
      <c r="AB23">
        <v>0</v>
      </c>
      <c r="AC23">
        <v>0</v>
      </c>
      <c r="AD23">
        <v>0</v>
      </c>
      <c r="AG23" t="s">
        <v>414</v>
      </c>
      <c r="AH23">
        <v>0</v>
      </c>
      <c r="AI23">
        <v>0</v>
      </c>
      <c r="AJ23">
        <v>0</v>
      </c>
    </row>
    <row r="24" spans="2:36" x14ac:dyDescent="0.25">
      <c r="B24" t="s">
        <v>418</v>
      </c>
      <c r="C24" t="s">
        <v>1065</v>
      </c>
      <c r="D24" t="s">
        <v>1562</v>
      </c>
      <c r="E24" t="s">
        <v>1563</v>
      </c>
      <c r="F24">
        <v>-10000</v>
      </c>
      <c r="G24">
        <v>10000</v>
      </c>
      <c r="H24">
        <v>0</v>
      </c>
      <c r="I24">
        <v>1</v>
      </c>
      <c r="J24">
        <v>1</v>
      </c>
      <c r="K24">
        <v>1</v>
      </c>
      <c r="L24">
        <v>1</v>
      </c>
      <c r="M24">
        <v>0.01</v>
      </c>
      <c r="O24" t="s">
        <v>419</v>
      </c>
      <c r="P24">
        <v>0</v>
      </c>
      <c r="Q24">
        <v>0</v>
      </c>
      <c r="R24">
        <v>0</v>
      </c>
      <c r="U24" t="s">
        <v>419</v>
      </c>
      <c r="V24">
        <v>0</v>
      </c>
      <c r="W24">
        <v>0</v>
      </c>
      <c r="X24">
        <v>0</v>
      </c>
      <c r="AA24" t="s">
        <v>419</v>
      </c>
      <c r="AB24">
        <v>0</v>
      </c>
      <c r="AC24">
        <v>0</v>
      </c>
      <c r="AD24">
        <v>0</v>
      </c>
      <c r="AG24" t="s">
        <v>419</v>
      </c>
      <c r="AH24">
        <v>0</v>
      </c>
      <c r="AI24">
        <v>0</v>
      </c>
      <c r="AJ24">
        <v>0</v>
      </c>
    </row>
    <row r="25" spans="2:36" x14ac:dyDescent="0.25">
      <c r="B25" t="s">
        <v>423</v>
      </c>
      <c r="C25" t="s">
        <v>1070</v>
      </c>
      <c r="D25" t="s">
        <v>1562</v>
      </c>
      <c r="E25" t="s">
        <v>1563</v>
      </c>
      <c r="F25">
        <v>-10000</v>
      </c>
      <c r="G25">
        <v>10000</v>
      </c>
      <c r="H25">
        <v>0</v>
      </c>
      <c r="I25">
        <v>1</v>
      </c>
      <c r="J25">
        <v>1</v>
      </c>
      <c r="K25">
        <v>1</v>
      </c>
      <c r="L25">
        <v>1</v>
      </c>
      <c r="M25">
        <v>0.01</v>
      </c>
      <c r="O25" t="s">
        <v>424</v>
      </c>
      <c r="P25">
        <v>0</v>
      </c>
      <c r="Q25">
        <v>0</v>
      </c>
      <c r="R25">
        <v>0</v>
      </c>
      <c r="U25" t="s">
        <v>424</v>
      </c>
      <c r="V25">
        <v>0</v>
      </c>
      <c r="W25">
        <v>0</v>
      </c>
      <c r="X25">
        <v>0</v>
      </c>
      <c r="AA25" t="s">
        <v>424</v>
      </c>
      <c r="AB25">
        <v>0</v>
      </c>
      <c r="AC25">
        <v>0</v>
      </c>
      <c r="AD25">
        <v>0</v>
      </c>
      <c r="AG25" t="s">
        <v>424</v>
      </c>
      <c r="AH25">
        <v>0</v>
      </c>
      <c r="AI25">
        <v>0</v>
      </c>
      <c r="AJ25">
        <v>0</v>
      </c>
    </row>
    <row r="26" spans="2:36" x14ac:dyDescent="0.25">
      <c r="B26" t="s">
        <v>427</v>
      </c>
      <c r="C26" t="s">
        <v>1075</v>
      </c>
      <c r="D26" t="s">
        <v>1562</v>
      </c>
      <c r="E26" t="s">
        <v>1563</v>
      </c>
      <c r="F26">
        <v>0</v>
      </c>
      <c r="G26">
        <v>10000</v>
      </c>
      <c r="H26">
        <v>0</v>
      </c>
      <c r="I26">
        <v>1</v>
      </c>
      <c r="J26">
        <v>1</v>
      </c>
      <c r="K26">
        <v>1</v>
      </c>
      <c r="L26">
        <v>1</v>
      </c>
      <c r="M26">
        <v>0.01</v>
      </c>
      <c r="O26" t="s">
        <v>428</v>
      </c>
      <c r="P26">
        <v>0</v>
      </c>
      <c r="Q26">
        <v>0</v>
      </c>
      <c r="R26">
        <v>0</v>
      </c>
      <c r="U26" t="s">
        <v>428</v>
      </c>
      <c r="V26">
        <v>0</v>
      </c>
      <c r="W26">
        <v>0</v>
      </c>
      <c r="X26">
        <v>0</v>
      </c>
      <c r="AA26" t="s">
        <v>428</v>
      </c>
      <c r="AB26">
        <v>0</v>
      </c>
      <c r="AC26">
        <v>0</v>
      </c>
      <c r="AD26">
        <v>0</v>
      </c>
      <c r="AG26" t="s">
        <v>428</v>
      </c>
      <c r="AH26">
        <v>0</v>
      </c>
      <c r="AI26">
        <v>0</v>
      </c>
      <c r="AJ26">
        <v>0</v>
      </c>
    </row>
    <row r="27" spans="2:36" x14ac:dyDescent="0.25">
      <c r="B27" t="s">
        <v>432</v>
      </c>
      <c r="C27" t="s">
        <v>1080</v>
      </c>
      <c r="D27" t="s">
        <v>1562</v>
      </c>
      <c r="E27" t="s">
        <v>1563</v>
      </c>
      <c r="F27">
        <v>0</v>
      </c>
      <c r="G27">
        <v>10000</v>
      </c>
      <c r="H27">
        <v>0</v>
      </c>
      <c r="I27">
        <v>1</v>
      </c>
      <c r="J27">
        <v>1</v>
      </c>
      <c r="K27">
        <v>1</v>
      </c>
      <c r="L27">
        <v>1</v>
      </c>
      <c r="M27">
        <v>0.01</v>
      </c>
      <c r="O27" t="s">
        <v>433</v>
      </c>
      <c r="P27">
        <v>0</v>
      </c>
      <c r="Q27">
        <v>0</v>
      </c>
      <c r="R27">
        <v>0</v>
      </c>
      <c r="U27" t="s">
        <v>433</v>
      </c>
      <c r="V27">
        <v>0</v>
      </c>
      <c r="W27">
        <v>0</v>
      </c>
      <c r="X27">
        <v>0</v>
      </c>
      <c r="AA27" t="s">
        <v>433</v>
      </c>
      <c r="AB27">
        <v>0</v>
      </c>
      <c r="AC27">
        <v>0</v>
      </c>
      <c r="AD27">
        <v>0</v>
      </c>
      <c r="AG27" t="s">
        <v>433</v>
      </c>
      <c r="AH27">
        <v>0</v>
      </c>
      <c r="AI27">
        <v>0</v>
      </c>
      <c r="AJ27">
        <v>0</v>
      </c>
    </row>
    <row r="28" spans="2:36" x14ac:dyDescent="0.25">
      <c r="B28" t="s">
        <v>437</v>
      </c>
      <c r="C28" t="s">
        <v>1081</v>
      </c>
      <c r="D28" t="s">
        <v>1562</v>
      </c>
      <c r="E28" t="s">
        <v>1563</v>
      </c>
      <c r="F28">
        <v>0</v>
      </c>
      <c r="G28">
        <v>10000</v>
      </c>
      <c r="H28">
        <v>0</v>
      </c>
      <c r="I28">
        <v>1</v>
      </c>
      <c r="J28">
        <v>1</v>
      </c>
      <c r="K28">
        <v>1</v>
      </c>
      <c r="L28">
        <v>1</v>
      </c>
      <c r="M28">
        <v>0.01</v>
      </c>
      <c r="O28" t="s">
        <v>438</v>
      </c>
      <c r="P28">
        <v>0</v>
      </c>
      <c r="Q28">
        <v>0</v>
      </c>
      <c r="R28">
        <v>0</v>
      </c>
      <c r="U28" t="s">
        <v>438</v>
      </c>
      <c r="V28">
        <v>0</v>
      </c>
      <c r="W28">
        <v>0</v>
      </c>
      <c r="X28">
        <v>0</v>
      </c>
      <c r="AA28" t="s">
        <v>438</v>
      </c>
      <c r="AB28">
        <v>0</v>
      </c>
      <c r="AC28">
        <v>0</v>
      </c>
      <c r="AD28">
        <v>0</v>
      </c>
      <c r="AG28" t="s">
        <v>438</v>
      </c>
      <c r="AH28">
        <v>0</v>
      </c>
      <c r="AI28">
        <v>0</v>
      </c>
      <c r="AJ28">
        <v>0</v>
      </c>
    </row>
    <row r="29" spans="2:36" x14ac:dyDescent="0.25">
      <c r="B29" t="s">
        <v>442</v>
      </c>
      <c r="C29" t="s">
        <v>1086</v>
      </c>
      <c r="D29" t="s">
        <v>1562</v>
      </c>
      <c r="E29" t="s">
        <v>1563</v>
      </c>
      <c r="F29">
        <v>-10000</v>
      </c>
      <c r="G29">
        <v>10000</v>
      </c>
      <c r="H29">
        <v>0</v>
      </c>
      <c r="I29">
        <v>1</v>
      </c>
      <c r="J29">
        <v>1</v>
      </c>
      <c r="K29">
        <v>1</v>
      </c>
      <c r="L29">
        <v>1</v>
      </c>
      <c r="M29">
        <v>0.01</v>
      </c>
      <c r="O29" t="s">
        <v>443</v>
      </c>
      <c r="P29">
        <v>0</v>
      </c>
      <c r="Q29">
        <v>0</v>
      </c>
      <c r="R29">
        <v>0</v>
      </c>
      <c r="U29" t="s">
        <v>443</v>
      </c>
      <c r="V29">
        <v>0</v>
      </c>
      <c r="W29">
        <v>0</v>
      </c>
      <c r="X29">
        <v>0</v>
      </c>
      <c r="AA29" t="s">
        <v>443</v>
      </c>
      <c r="AB29">
        <v>0</v>
      </c>
      <c r="AC29">
        <v>0</v>
      </c>
      <c r="AD29">
        <v>0</v>
      </c>
      <c r="AG29" t="s">
        <v>443</v>
      </c>
      <c r="AH29">
        <v>0</v>
      </c>
      <c r="AI29">
        <v>0</v>
      </c>
      <c r="AJ29">
        <v>0</v>
      </c>
    </row>
    <row r="30" spans="2:36" x14ac:dyDescent="0.25">
      <c r="B30" t="s">
        <v>447</v>
      </c>
      <c r="C30" t="s">
        <v>1090</v>
      </c>
      <c r="D30" t="s">
        <v>1562</v>
      </c>
      <c r="E30" t="s">
        <v>1563</v>
      </c>
      <c r="F30">
        <v>-10000</v>
      </c>
      <c r="G30">
        <v>10000</v>
      </c>
      <c r="H30">
        <v>0</v>
      </c>
      <c r="I30">
        <v>1</v>
      </c>
      <c r="J30">
        <v>1</v>
      </c>
      <c r="K30">
        <v>1</v>
      </c>
      <c r="L30">
        <v>1</v>
      </c>
      <c r="M30">
        <v>0.01</v>
      </c>
      <c r="O30" t="s">
        <v>448</v>
      </c>
      <c r="P30">
        <v>0</v>
      </c>
      <c r="Q30">
        <v>0</v>
      </c>
      <c r="R30">
        <v>0</v>
      </c>
      <c r="U30" t="s">
        <v>448</v>
      </c>
      <c r="V30">
        <v>0</v>
      </c>
      <c r="W30">
        <v>0</v>
      </c>
      <c r="X30">
        <v>0</v>
      </c>
      <c r="AA30" t="s">
        <v>448</v>
      </c>
      <c r="AB30">
        <v>0</v>
      </c>
      <c r="AC30">
        <v>0</v>
      </c>
      <c r="AD30">
        <v>0</v>
      </c>
      <c r="AG30" t="s">
        <v>448</v>
      </c>
      <c r="AH30">
        <v>0</v>
      </c>
      <c r="AI30">
        <v>0</v>
      </c>
      <c r="AJ30">
        <v>0</v>
      </c>
    </row>
    <row r="31" spans="2:36" x14ac:dyDescent="0.25">
      <c r="B31" t="s">
        <v>452</v>
      </c>
      <c r="C31" t="s">
        <v>1096</v>
      </c>
      <c r="D31" t="s">
        <v>1562</v>
      </c>
      <c r="E31" t="s">
        <v>1563</v>
      </c>
      <c r="F31">
        <v>0</v>
      </c>
      <c r="G31">
        <v>10000</v>
      </c>
      <c r="H31">
        <v>0</v>
      </c>
      <c r="I31">
        <v>1</v>
      </c>
      <c r="J31">
        <v>1</v>
      </c>
      <c r="K31">
        <v>1</v>
      </c>
      <c r="L31">
        <v>1</v>
      </c>
      <c r="M31">
        <v>0.01</v>
      </c>
      <c r="O31" t="s">
        <v>453</v>
      </c>
      <c r="P31">
        <v>0</v>
      </c>
      <c r="Q31">
        <v>0</v>
      </c>
      <c r="R31">
        <v>0</v>
      </c>
      <c r="U31" t="s">
        <v>453</v>
      </c>
      <c r="V31">
        <v>0</v>
      </c>
      <c r="W31">
        <v>0</v>
      </c>
      <c r="X31">
        <v>0</v>
      </c>
      <c r="AA31" t="s">
        <v>453</v>
      </c>
      <c r="AB31">
        <v>0</v>
      </c>
      <c r="AC31">
        <v>0</v>
      </c>
      <c r="AD31">
        <v>0</v>
      </c>
      <c r="AG31" t="s">
        <v>453</v>
      </c>
      <c r="AH31">
        <v>0</v>
      </c>
      <c r="AI31">
        <v>0</v>
      </c>
      <c r="AJ31">
        <v>0</v>
      </c>
    </row>
    <row r="32" spans="2:36" x14ac:dyDescent="0.25">
      <c r="B32" t="s">
        <v>457</v>
      </c>
      <c r="C32" t="s">
        <v>1101</v>
      </c>
      <c r="D32" t="s">
        <v>1562</v>
      </c>
      <c r="E32" t="s">
        <v>1563</v>
      </c>
      <c r="F32">
        <v>-10000</v>
      </c>
      <c r="G32">
        <v>10000</v>
      </c>
      <c r="H32">
        <v>0</v>
      </c>
      <c r="I32">
        <v>1</v>
      </c>
      <c r="J32">
        <v>1</v>
      </c>
      <c r="K32">
        <v>1</v>
      </c>
      <c r="L32">
        <v>1</v>
      </c>
      <c r="M32">
        <v>0.01</v>
      </c>
      <c r="O32" t="s">
        <v>458</v>
      </c>
      <c r="P32">
        <v>0</v>
      </c>
      <c r="Q32">
        <v>0</v>
      </c>
      <c r="R32">
        <v>0</v>
      </c>
      <c r="U32" t="s">
        <v>458</v>
      </c>
      <c r="V32">
        <v>0</v>
      </c>
      <c r="W32">
        <v>0</v>
      </c>
      <c r="X32">
        <v>0</v>
      </c>
      <c r="AA32" t="s">
        <v>458</v>
      </c>
      <c r="AB32">
        <v>0</v>
      </c>
      <c r="AC32">
        <v>0</v>
      </c>
      <c r="AD32">
        <v>0</v>
      </c>
      <c r="AG32" t="s">
        <v>458</v>
      </c>
      <c r="AH32">
        <v>0</v>
      </c>
      <c r="AI32">
        <v>0</v>
      </c>
      <c r="AJ32">
        <v>0</v>
      </c>
    </row>
    <row r="33" spans="2:40" x14ac:dyDescent="0.25">
      <c r="B33" t="s">
        <v>462</v>
      </c>
      <c r="C33" t="s">
        <v>1105</v>
      </c>
      <c r="D33" t="s">
        <v>1562</v>
      </c>
      <c r="E33" t="s">
        <v>1563</v>
      </c>
      <c r="F33">
        <v>-10000</v>
      </c>
      <c r="G33">
        <v>10000</v>
      </c>
      <c r="H33">
        <v>0</v>
      </c>
      <c r="I33">
        <v>1</v>
      </c>
      <c r="J33">
        <v>1</v>
      </c>
      <c r="K33">
        <v>1</v>
      </c>
      <c r="L33">
        <v>1</v>
      </c>
      <c r="M33">
        <v>0.01</v>
      </c>
      <c r="O33" t="s">
        <v>239</v>
      </c>
      <c r="P33">
        <v>0</v>
      </c>
      <c r="Q33">
        <v>0</v>
      </c>
      <c r="R33">
        <v>0</v>
      </c>
      <c r="U33" t="s">
        <v>239</v>
      </c>
      <c r="V33">
        <v>0</v>
      </c>
      <c r="W33">
        <v>0</v>
      </c>
      <c r="X33">
        <v>0</v>
      </c>
      <c r="AA33" t="s">
        <v>239</v>
      </c>
      <c r="AB33">
        <v>0</v>
      </c>
      <c r="AC33">
        <v>0</v>
      </c>
      <c r="AD33">
        <v>0</v>
      </c>
      <c r="AG33" t="s">
        <v>239</v>
      </c>
      <c r="AH33">
        <v>0</v>
      </c>
      <c r="AI33">
        <v>0</v>
      </c>
      <c r="AJ33">
        <v>0</v>
      </c>
    </row>
    <row r="34" spans="2:40" x14ac:dyDescent="0.25">
      <c r="B34" t="s">
        <v>466</v>
      </c>
      <c r="C34" t="s">
        <v>1111</v>
      </c>
      <c r="D34" t="s">
        <v>1562</v>
      </c>
      <c r="E34" t="s">
        <v>1563</v>
      </c>
      <c r="F34" s="7">
        <v>-10000</v>
      </c>
      <c r="G34">
        <v>10000</v>
      </c>
      <c r="H34">
        <v>0</v>
      </c>
      <c r="I34">
        <v>1</v>
      </c>
      <c r="J34">
        <v>1</v>
      </c>
      <c r="K34">
        <v>1</v>
      </c>
      <c r="L34">
        <v>1</v>
      </c>
      <c r="M34">
        <v>0.01</v>
      </c>
      <c r="O34" t="s">
        <v>240</v>
      </c>
      <c r="P34">
        <v>0</v>
      </c>
      <c r="Q34">
        <v>0</v>
      </c>
      <c r="R34">
        <v>0</v>
      </c>
      <c r="U34" t="s">
        <v>240</v>
      </c>
      <c r="V34">
        <v>0</v>
      </c>
      <c r="W34">
        <v>0</v>
      </c>
      <c r="X34">
        <v>0</v>
      </c>
      <c r="AA34" t="s">
        <v>240</v>
      </c>
      <c r="AB34">
        <v>0</v>
      </c>
      <c r="AC34">
        <v>0</v>
      </c>
      <c r="AD34">
        <v>0</v>
      </c>
      <c r="AG34" t="s">
        <v>240</v>
      </c>
      <c r="AH34">
        <v>0</v>
      </c>
      <c r="AI34">
        <v>0</v>
      </c>
      <c r="AJ34">
        <v>0</v>
      </c>
    </row>
    <row r="35" spans="2:40" x14ac:dyDescent="0.25">
      <c r="B35" t="s">
        <v>470</v>
      </c>
      <c r="C35" t="s">
        <v>1116</v>
      </c>
      <c r="D35" t="s">
        <v>1562</v>
      </c>
      <c r="E35" t="s">
        <v>1563</v>
      </c>
      <c r="F35">
        <v>-10000</v>
      </c>
      <c r="G35">
        <v>10000</v>
      </c>
      <c r="H35">
        <v>0</v>
      </c>
      <c r="I35">
        <v>1</v>
      </c>
      <c r="J35">
        <v>1</v>
      </c>
      <c r="K35">
        <v>1</v>
      </c>
      <c r="L35">
        <v>1</v>
      </c>
      <c r="M35">
        <v>0.01</v>
      </c>
      <c r="O35" t="s">
        <v>241</v>
      </c>
      <c r="P35">
        <v>0</v>
      </c>
      <c r="Q35">
        <v>0</v>
      </c>
      <c r="R35">
        <v>1</v>
      </c>
      <c r="U35" t="s">
        <v>241</v>
      </c>
      <c r="V35">
        <v>0</v>
      </c>
      <c r="W35">
        <v>0</v>
      </c>
      <c r="X35">
        <v>1</v>
      </c>
      <c r="AA35" t="s">
        <v>241</v>
      </c>
      <c r="AB35">
        <v>0</v>
      </c>
      <c r="AC35">
        <v>0</v>
      </c>
      <c r="AD35">
        <v>1</v>
      </c>
      <c r="AG35" t="s">
        <v>241</v>
      </c>
      <c r="AH35">
        <v>0</v>
      </c>
      <c r="AI35">
        <v>0</v>
      </c>
      <c r="AJ35">
        <v>1</v>
      </c>
    </row>
    <row r="36" spans="2:40" x14ac:dyDescent="0.25">
      <c r="B36" t="s">
        <v>473</v>
      </c>
      <c r="C36" t="s">
        <v>1120</v>
      </c>
      <c r="D36" t="s">
        <v>1562</v>
      </c>
      <c r="E36" t="s">
        <v>1563</v>
      </c>
      <c r="F36">
        <v>0</v>
      </c>
      <c r="G36">
        <v>10000</v>
      </c>
      <c r="H36">
        <v>0</v>
      </c>
      <c r="I36">
        <v>1</v>
      </c>
      <c r="J36">
        <v>1</v>
      </c>
      <c r="K36">
        <v>1</v>
      </c>
      <c r="L36">
        <v>1</v>
      </c>
      <c r="M36">
        <v>0.01</v>
      </c>
      <c r="O36" t="s">
        <v>242</v>
      </c>
      <c r="P36">
        <v>0</v>
      </c>
      <c r="Q36">
        <v>0</v>
      </c>
      <c r="R36">
        <v>0</v>
      </c>
      <c r="U36" t="s">
        <v>242</v>
      </c>
      <c r="V36">
        <v>0</v>
      </c>
      <c r="W36">
        <v>0</v>
      </c>
      <c r="X36">
        <v>0</v>
      </c>
      <c r="AA36" t="s">
        <v>242</v>
      </c>
      <c r="AB36">
        <v>0</v>
      </c>
      <c r="AC36">
        <v>0</v>
      </c>
      <c r="AD36">
        <v>0</v>
      </c>
      <c r="AG36" t="s">
        <v>242</v>
      </c>
      <c r="AH36">
        <v>0</v>
      </c>
      <c r="AI36">
        <v>0</v>
      </c>
      <c r="AJ36">
        <v>0</v>
      </c>
    </row>
    <row r="37" spans="2:40" x14ac:dyDescent="0.25">
      <c r="B37" t="s">
        <v>477</v>
      </c>
      <c r="C37" t="s">
        <v>1125</v>
      </c>
      <c r="D37" t="s">
        <v>1562</v>
      </c>
      <c r="E37" t="s">
        <v>1563</v>
      </c>
      <c r="F37">
        <v>-10000</v>
      </c>
      <c r="G37">
        <v>10000</v>
      </c>
      <c r="H37">
        <v>0</v>
      </c>
      <c r="I37">
        <v>1</v>
      </c>
      <c r="J37">
        <v>1</v>
      </c>
      <c r="K37">
        <v>1</v>
      </c>
      <c r="L37">
        <v>1</v>
      </c>
      <c r="M37">
        <v>0.01</v>
      </c>
      <c r="O37" t="s">
        <v>478</v>
      </c>
      <c r="P37">
        <v>0</v>
      </c>
      <c r="Q37">
        <v>0</v>
      </c>
      <c r="R37">
        <v>0</v>
      </c>
      <c r="U37" t="s">
        <v>478</v>
      </c>
      <c r="V37">
        <v>0</v>
      </c>
      <c r="W37">
        <v>0</v>
      </c>
      <c r="X37">
        <v>0</v>
      </c>
      <c r="AA37" t="s">
        <v>478</v>
      </c>
      <c r="AB37">
        <v>0</v>
      </c>
      <c r="AC37">
        <v>0</v>
      </c>
      <c r="AD37">
        <v>0</v>
      </c>
      <c r="AG37" t="s">
        <v>478</v>
      </c>
      <c r="AH37">
        <v>0</v>
      </c>
      <c r="AI37">
        <v>0</v>
      </c>
      <c r="AJ37">
        <v>0</v>
      </c>
    </row>
    <row r="38" spans="2:40" x14ac:dyDescent="0.25">
      <c r="B38" t="s">
        <v>482</v>
      </c>
      <c r="C38" t="s">
        <v>1129</v>
      </c>
      <c r="D38" t="s">
        <v>1562</v>
      </c>
      <c r="E38" t="s">
        <v>1563</v>
      </c>
      <c r="F38">
        <v>0</v>
      </c>
      <c r="G38">
        <v>10000</v>
      </c>
      <c r="H38">
        <v>0</v>
      </c>
      <c r="I38">
        <v>1</v>
      </c>
      <c r="J38">
        <v>1</v>
      </c>
      <c r="K38">
        <v>1</v>
      </c>
      <c r="L38">
        <v>1</v>
      </c>
      <c r="M38">
        <v>0.01</v>
      </c>
      <c r="O38" t="s">
        <v>244</v>
      </c>
      <c r="P38">
        <v>0</v>
      </c>
      <c r="Q38">
        <v>0</v>
      </c>
      <c r="R38">
        <v>0</v>
      </c>
      <c r="U38" t="s">
        <v>244</v>
      </c>
      <c r="V38">
        <v>0</v>
      </c>
      <c r="W38">
        <v>0</v>
      </c>
      <c r="X38">
        <v>0</v>
      </c>
      <c r="AA38" t="s">
        <v>244</v>
      </c>
      <c r="AB38">
        <v>0</v>
      </c>
      <c r="AC38">
        <v>0</v>
      </c>
      <c r="AD38">
        <v>0</v>
      </c>
      <c r="AG38" t="s">
        <v>244</v>
      </c>
      <c r="AH38">
        <v>0</v>
      </c>
      <c r="AI38">
        <v>0</v>
      </c>
      <c r="AJ38">
        <v>0</v>
      </c>
    </row>
    <row r="39" spans="2:40" x14ac:dyDescent="0.25">
      <c r="B39" t="s">
        <v>486</v>
      </c>
      <c r="C39" t="s">
        <v>1133</v>
      </c>
      <c r="D39" t="s">
        <v>1562</v>
      </c>
      <c r="E39" t="s">
        <v>1563</v>
      </c>
      <c r="F39">
        <v>0</v>
      </c>
      <c r="G39">
        <v>10000</v>
      </c>
      <c r="H39">
        <v>0</v>
      </c>
      <c r="I39">
        <v>1</v>
      </c>
      <c r="J39">
        <v>1</v>
      </c>
      <c r="K39">
        <v>1</v>
      </c>
      <c r="L39">
        <v>1</v>
      </c>
      <c r="M39">
        <v>0.01</v>
      </c>
      <c r="O39" t="s">
        <v>245</v>
      </c>
      <c r="P39">
        <v>0</v>
      </c>
      <c r="Q39">
        <v>0</v>
      </c>
      <c r="R39">
        <v>1</v>
      </c>
      <c r="U39" t="s">
        <v>245</v>
      </c>
      <c r="V39">
        <v>0</v>
      </c>
      <c r="W39">
        <v>0</v>
      </c>
      <c r="X39">
        <v>1</v>
      </c>
      <c r="AA39" t="s">
        <v>245</v>
      </c>
      <c r="AB39">
        <v>0</v>
      </c>
      <c r="AC39">
        <v>0</v>
      </c>
      <c r="AD39">
        <v>1</v>
      </c>
      <c r="AG39" t="s">
        <v>245</v>
      </c>
      <c r="AH39">
        <v>0</v>
      </c>
      <c r="AI39">
        <v>0</v>
      </c>
      <c r="AJ39">
        <v>1</v>
      </c>
    </row>
    <row r="40" spans="2:40" x14ac:dyDescent="0.25">
      <c r="B40" t="s">
        <v>489</v>
      </c>
      <c r="C40" t="s">
        <v>1137</v>
      </c>
      <c r="D40" t="s">
        <v>1562</v>
      </c>
      <c r="E40" t="s">
        <v>1563</v>
      </c>
      <c r="F40">
        <v>0</v>
      </c>
      <c r="G40">
        <v>10000</v>
      </c>
      <c r="H40">
        <v>0</v>
      </c>
      <c r="I40">
        <v>1</v>
      </c>
      <c r="J40">
        <v>1</v>
      </c>
      <c r="K40">
        <v>1</v>
      </c>
      <c r="L40">
        <v>1</v>
      </c>
      <c r="M40">
        <v>0.01</v>
      </c>
      <c r="O40" t="s">
        <v>246</v>
      </c>
      <c r="P40">
        <v>0</v>
      </c>
      <c r="Q40">
        <v>0</v>
      </c>
      <c r="R40">
        <v>0</v>
      </c>
      <c r="U40" t="s">
        <v>246</v>
      </c>
      <c r="V40">
        <v>0</v>
      </c>
      <c r="W40">
        <v>0</v>
      </c>
      <c r="X40">
        <v>0</v>
      </c>
      <c r="AA40" t="s">
        <v>246</v>
      </c>
      <c r="AB40">
        <v>0</v>
      </c>
      <c r="AC40">
        <v>0</v>
      </c>
      <c r="AD40">
        <v>0</v>
      </c>
      <c r="AG40" t="s">
        <v>246</v>
      </c>
      <c r="AH40">
        <v>0</v>
      </c>
      <c r="AI40">
        <v>0</v>
      </c>
      <c r="AJ40">
        <v>0</v>
      </c>
    </row>
    <row r="41" spans="2:40" x14ac:dyDescent="0.25">
      <c r="B41" t="s">
        <v>493</v>
      </c>
      <c r="C41" s="60" t="s">
        <v>1142</v>
      </c>
      <c r="D41" t="s">
        <v>1562</v>
      </c>
      <c r="E41" t="s">
        <v>1563</v>
      </c>
      <c r="F41">
        <v>0</v>
      </c>
      <c r="G41">
        <v>10000</v>
      </c>
      <c r="H41">
        <v>0</v>
      </c>
      <c r="I41">
        <v>1</v>
      </c>
      <c r="J41">
        <v>1</v>
      </c>
      <c r="K41">
        <v>1</v>
      </c>
      <c r="L41">
        <v>1</v>
      </c>
      <c r="M41">
        <v>0.01</v>
      </c>
      <c r="O41" t="s">
        <v>162</v>
      </c>
      <c r="P41">
        <v>0</v>
      </c>
      <c r="Q41">
        <v>0</v>
      </c>
      <c r="R41">
        <v>0</v>
      </c>
      <c r="U41" t="s">
        <v>162</v>
      </c>
      <c r="V41">
        <v>0</v>
      </c>
      <c r="W41">
        <v>0</v>
      </c>
      <c r="X41">
        <v>0</v>
      </c>
      <c r="AA41" t="s">
        <v>162</v>
      </c>
      <c r="AB41">
        <v>0</v>
      </c>
      <c r="AC41">
        <v>0</v>
      </c>
      <c r="AD41">
        <v>0</v>
      </c>
      <c r="AG41" t="s">
        <v>162</v>
      </c>
      <c r="AH41">
        <v>0</v>
      </c>
      <c r="AI41">
        <v>0</v>
      </c>
      <c r="AJ41">
        <v>0</v>
      </c>
      <c r="AN41" s="60"/>
    </row>
    <row r="42" spans="2:40" x14ac:dyDescent="0.25">
      <c r="B42" t="s">
        <v>497</v>
      </c>
      <c r="C42" t="s">
        <v>1147</v>
      </c>
      <c r="D42" t="s">
        <v>1562</v>
      </c>
      <c r="E42" t="s">
        <v>1563</v>
      </c>
      <c r="F42">
        <v>-10000</v>
      </c>
      <c r="G42">
        <v>10000</v>
      </c>
      <c r="H42">
        <v>0</v>
      </c>
      <c r="I42">
        <v>1</v>
      </c>
      <c r="J42">
        <v>1</v>
      </c>
      <c r="K42">
        <v>1</v>
      </c>
      <c r="L42">
        <v>1</v>
      </c>
      <c r="M42">
        <v>0.01</v>
      </c>
      <c r="O42" t="s">
        <v>498</v>
      </c>
      <c r="P42">
        <v>0</v>
      </c>
      <c r="Q42">
        <v>0</v>
      </c>
      <c r="R42">
        <v>0</v>
      </c>
      <c r="U42" t="s">
        <v>498</v>
      </c>
      <c r="V42">
        <v>0</v>
      </c>
      <c r="W42">
        <v>0</v>
      </c>
      <c r="X42">
        <v>0</v>
      </c>
      <c r="AA42" t="s">
        <v>498</v>
      </c>
      <c r="AB42">
        <v>0</v>
      </c>
      <c r="AC42">
        <v>0</v>
      </c>
      <c r="AD42">
        <v>0</v>
      </c>
      <c r="AG42" t="s">
        <v>498</v>
      </c>
      <c r="AH42">
        <v>0</v>
      </c>
      <c r="AI42">
        <v>0</v>
      </c>
      <c r="AJ42">
        <v>0</v>
      </c>
    </row>
    <row r="43" spans="2:40" x14ac:dyDescent="0.25">
      <c r="B43" t="s">
        <v>502</v>
      </c>
      <c r="C43" t="s">
        <v>1152</v>
      </c>
      <c r="D43" t="s">
        <v>1562</v>
      </c>
      <c r="E43" t="s">
        <v>1563</v>
      </c>
      <c r="F43">
        <v>-10000</v>
      </c>
      <c r="G43">
        <v>10000</v>
      </c>
      <c r="H43">
        <v>0</v>
      </c>
      <c r="I43">
        <v>1</v>
      </c>
      <c r="J43">
        <v>1</v>
      </c>
      <c r="K43">
        <v>1</v>
      </c>
      <c r="L43">
        <v>1</v>
      </c>
      <c r="M43">
        <v>0.01</v>
      </c>
      <c r="O43" t="s">
        <v>130</v>
      </c>
      <c r="P43">
        <v>0</v>
      </c>
      <c r="Q43">
        <v>0</v>
      </c>
      <c r="R43">
        <v>0</v>
      </c>
      <c r="U43" t="s">
        <v>130</v>
      </c>
      <c r="V43">
        <v>0</v>
      </c>
      <c r="W43">
        <v>0</v>
      </c>
      <c r="X43">
        <v>0</v>
      </c>
      <c r="AA43" t="s">
        <v>130</v>
      </c>
      <c r="AB43">
        <v>0</v>
      </c>
      <c r="AC43">
        <v>0</v>
      </c>
      <c r="AD43">
        <v>0</v>
      </c>
      <c r="AG43" t="s">
        <v>130</v>
      </c>
      <c r="AH43">
        <v>0</v>
      </c>
      <c r="AI43">
        <v>0</v>
      </c>
      <c r="AJ43">
        <v>0</v>
      </c>
    </row>
    <row r="44" spans="2:40" x14ac:dyDescent="0.25">
      <c r="B44" t="s">
        <v>505</v>
      </c>
      <c r="C44" t="s">
        <v>1156</v>
      </c>
      <c r="D44" t="s">
        <v>1562</v>
      </c>
      <c r="E44" t="s">
        <v>1563</v>
      </c>
      <c r="F44">
        <v>-10000</v>
      </c>
      <c r="G44">
        <v>10000</v>
      </c>
      <c r="H44">
        <v>0</v>
      </c>
      <c r="I44">
        <v>1</v>
      </c>
      <c r="J44">
        <v>1</v>
      </c>
      <c r="K44">
        <v>1</v>
      </c>
      <c r="L44">
        <v>1</v>
      </c>
      <c r="M44">
        <v>0.01</v>
      </c>
      <c r="O44" t="s">
        <v>506</v>
      </c>
      <c r="P44">
        <v>0</v>
      </c>
      <c r="Q44">
        <v>0</v>
      </c>
      <c r="R44">
        <v>0</v>
      </c>
      <c r="U44" t="s">
        <v>506</v>
      </c>
      <c r="V44">
        <v>0</v>
      </c>
      <c r="W44">
        <v>0</v>
      </c>
      <c r="X44">
        <v>0</v>
      </c>
      <c r="AA44" t="s">
        <v>506</v>
      </c>
      <c r="AB44">
        <v>0</v>
      </c>
      <c r="AC44">
        <v>0</v>
      </c>
      <c r="AD44">
        <v>0</v>
      </c>
      <c r="AG44" t="s">
        <v>506</v>
      </c>
      <c r="AH44">
        <v>0</v>
      </c>
      <c r="AI44">
        <v>0</v>
      </c>
      <c r="AJ44">
        <v>0</v>
      </c>
    </row>
    <row r="45" spans="2:40" x14ac:dyDescent="0.25">
      <c r="B45" t="s">
        <v>510</v>
      </c>
      <c r="C45" t="s">
        <v>1160</v>
      </c>
      <c r="D45" t="s">
        <v>1562</v>
      </c>
      <c r="E45" t="s">
        <v>1563</v>
      </c>
      <c r="F45">
        <v>-10000</v>
      </c>
      <c r="G45">
        <v>10000</v>
      </c>
      <c r="H45">
        <v>0</v>
      </c>
      <c r="I45">
        <v>1</v>
      </c>
      <c r="J45">
        <v>1</v>
      </c>
      <c r="K45">
        <v>1</v>
      </c>
      <c r="L45">
        <v>1</v>
      </c>
      <c r="M45">
        <v>0.01</v>
      </c>
      <c r="O45" t="s">
        <v>250</v>
      </c>
      <c r="P45">
        <v>0</v>
      </c>
      <c r="Q45">
        <v>0</v>
      </c>
      <c r="R45">
        <v>0</v>
      </c>
      <c r="U45" t="s">
        <v>250</v>
      </c>
      <c r="V45">
        <v>0</v>
      </c>
      <c r="W45">
        <v>0</v>
      </c>
      <c r="X45">
        <v>0</v>
      </c>
      <c r="AA45" t="s">
        <v>250</v>
      </c>
      <c r="AB45">
        <v>0</v>
      </c>
      <c r="AC45">
        <v>0</v>
      </c>
      <c r="AD45">
        <v>0</v>
      </c>
      <c r="AG45" t="s">
        <v>250</v>
      </c>
      <c r="AH45">
        <v>0</v>
      </c>
      <c r="AI45">
        <v>0</v>
      </c>
      <c r="AJ45">
        <v>0</v>
      </c>
    </row>
    <row r="46" spans="2:40" x14ac:dyDescent="0.25">
      <c r="B46" t="s">
        <v>514</v>
      </c>
      <c r="C46" t="s">
        <v>1162</v>
      </c>
      <c r="D46" t="s">
        <v>1562</v>
      </c>
      <c r="E46" t="s">
        <v>1563</v>
      </c>
      <c r="F46">
        <v>-10000</v>
      </c>
      <c r="G46">
        <v>10000</v>
      </c>
      <c r="H46">
        <v>0</v>
      </c>
      <c r="I46">
        <v>1</v>
      </c>
      <c r="J46">
        <v>1</v>
      </c>
      <c r="K46">
        <v>1</v>
      </c>
      <c r="L46">
        <v>1</v>
      </c>
      <c r="M46">
        <v>0.01</v>
      </c>
      <c r="O46" t="s">
        <v>251</v>
      </c>
      <c r="P46">
        <v>0</v>
      </c>
      <c r="Q46">
        <v>0</v>
      </c>
      <c r="R46">
        <v>0</v>
      </c>
      <c r="U46" t="s">
        <v>251</v>
      </c>
      <c r="V46">
        <v>0</v>
      </c>
      <c r="W46">
        <v>0</v>
      </c>
      <c r="X46">
        <v>0</v>
      </c>
      <c r="AA46" t="s">
        <v>251</v>
      </c>
      <c r="AB46">
        <v>0</v>
      </c>
      <c r="AC46">
        <v>0</v>
      </c>
      <c r="AD46">
        <v>0</v>
      </c>
      <c r="AG46" t="s">
        <v>251</v>
      </c>
      <c r="AH46">
        <v>0</v>
      </c>
      <c r="AI46">
        <v>0</v>
      </c>
      <c r="AJ46">
        <v>0</v>
      </c>
    </row>
    <row r="47" spans="2:40" x14ac:dyDescent="0.25">
      <c r="B47" t="s">
        <v>518</v>
      </c>
      <c r="C47" t="s">
        <v>1167</v>
      </c>
      <c r="D47" t="s">
        <v>1562</v>
      </c>
      <c r="E47" t="s">
        <v>1563</v>
      </c>
      <c r="F47">
        <v>0</v>
      </c>
      <c r="G47">
        <v>10000</v>
      </c>
      <c r="H47">
        <v>0</v>
      </c>
      <c r="I47">
        <v>1</v>
      </c>
      <c r="J47">
        <v>1</v>
      </c>
      <c r="K47">
        <v>1</v>
      </c>
      <c r="L47">
        <v>1</v>
      </c>
      <c r="M47">
        <v>0.01</v>
      </c>
      <c r="O47" t="s">
        <v>252</v>
      </c>
      <c r="P47">
        <v>0</v>
      </c>
      <c r="Q47">
        <v>0</v>
      </c>
      <c r="R47" s="7">
        <v>0</v>
      </c>
      <c r="U47" t="s">
        <v>252</v>
      </c>
      <c r="V47">
        <v>0</v>
      </c>
      <c r="W47">
        <v>0</v>
      </c>
      <c r="X47" s="7">
        <v>0</v>
      </c>
      <c r="AA47" t="s">
        <v>252</v>
      </c>
      <c r="AB47">
        <v>0</v>
      </c>
      <c r="AC47">
        <v>0</v>
      </c>
      <c r="AD47" s="7">
        <v>0</v>
      </c>
      <c r="AG47" t="s">
        <v>252</v>
      </c>
      <c r="AH47">
        <v>0</v>
      </c>
      <c r="AI47">
        <v>0</v>
      </c>
      <c r="AJ47" s="7">
        <v>0</v>
      </c>
    </row>
    <row r="48" spans="2:40" x14ac:dyDescent="0.25">
      <c r="B48" t="s">
        <v>521</v>
      </c>
      <c r="C48" t="s">
        <v>1172</v>
      </c>
      <c r="D48" t="s">
        <v>1562</v>
      </c>
      <c r="E48" t="s">
        <v>1563</v>
      </c>
      <c r="F48">
        <v>0</v>
      </c>
      <c r="G48">
        <v>10000</v>
      </c>
      <c r="H48">
        <v>0</v>
      </c>
      <c r="I48">
        <v>1</v>
      </c>
      <c r="J48">
        <v>1</v>
      </c>
      <c r="K48">
        <v>1</v>
      </c>
      <c r="L48">
        <v>1</v>
      </c>
      <c r="M48">
        <v>0.01</v>
      </c>
      <c r="O48" t="s">
        <v>253</v>
      </c>
      <c r="P48">
        <v>0</v>
      </c>
      <c r="Q48">
        <v>0</v>
      </c>
      <c r="R48">
        <v>0</v>
      </c>
      <c r="U48" t="s">
        <v>253</v>
      </c>
      <c r="V48">
        <v>0</v>
      </c>
      <c r="W48">
        <v>0</v>
      </c>
      <c r="X48">
        <v>0</v>
      </c>
      <c r="AA48" t="s">
        <v>253</v>
      </c>
      <c r="AB48">
        <v>0</v>
      </c>
      <c r="AC48">
        <v>0</v>
      </c>
      <c r="AD48">
        <v>0</v>
      </c>
      <c r="AG48" t="s">
        <v>253</v>
      </c>
      <c r="AH48">
        <v>0</v>
      </c>
      <c r="AI48">
        <v>0</v>
      </c>
      <c r="AJ48">
        <v>0</v>
      </c>
    </row>
    <row r="49" spans="2:36" x14ac:dyDescent="0.25">
      <c r="B49" t="s">
        <v>525</v>
      </c>
      <c r="C49" t="s">
        <v>1176</v>
      </c>
      <c r="D49" t="s">
        <v>1562</v>
      </c>
      <c r="E49" t="s">
        <v>1563</v>
      </c>
      <c r="F49">
        <v>-10000</v>
      </c>
      <c r="G49">
        <v>10000</v>
      </c>
      <c r="H49">
        <v>0</v>
      </c>
      <c r="I49">
        <v>1</v>
      </c>
      <c r="J49">
        <v>1</v>
      </c>
      <c r="K49">
        <v>1</v>
      </c>
      <c r="L49">
        <v>1</v>
      </c>
      <c r="M49">
        <v>0.01</v>
      </c>
      <c r="O49" t="s">
        <v>52</v>
      </c>
      <c r="P49">
        <v>0</v>
      </c>
      <c r="Q49">
        <v>0</v>
      </c>
      <c r="R49">
        <v>0</v>
      </c>
      <c r="U49" t="s">
        <v>52</v>
      </c>
      <c r="V49">
        <v>0</v>
      </c>
      <c r="W49">
        <v>0</v>
      </c>
      <c r="X49">
        <v>0</v>
      </c>
      <c r="AA49" t="s">
        <v>52</v>
      </c>
      <c r="AB49">
        <v>0</v>
      </c>
      <c r="AC49">
        <v>0</v>
      </c>
      <c r="AD49">
        <v>0</v>
      </c>
      <c r="AG49" t="s">
        <v>52</v>
      </c>
      <c r="AH49">
        <v>0</v>
      </c>
      <c r="AI49">
        <v>0</v>
      </c>
      <c r="AJ49">
        <v>0</v>
      </c>
    </row>
    <row r="50" spans="2:36" x14ac:dyDescent="0.25">
      <c r="B50" t="s">
        <v>529</v>
      </c>
      <c r="C50" t="s">
        <v>1181</v>
      </c>
      <c r="D50" t="s">
        <v>1562</v>
      </c>
      <c r="E50" t="s">
        <v>1563</v>
      </c>
      <c r="F50" s="3">
        <v>0</v>
      </c>
      <c r="G50">
        <v>10000</v>
      </c>
      <c r="H50">
        <v>0</v>
      </c>
      <c r="I50">
        <v>1</v>
      </c>
      <c r="J50">
        <v>1</v>
      </c>
      <c r="K50">
        <v>1</v>
      </c>
      <c r="L50">
        <v>1</v>
      </c>
      <c r="M50">
        <v>0.01</v>
      </c>
      <c r="O50" t="s">
        <v>254</v>
      </c>
      <c r="P50">
        <v>0</v>
      </c>
      <c r="Q50">
        <v>0</v>
      </c>
      <c r="R50" s="7">
        <v>0</v>
      </c>
      <c r="U50" t="s">
        <v>254</v>
      </c>
      <c r="V50">
        <v>0</v>
      </c>
      <c r="W50">
        <v>0</v>
      </c>
      <c r="X50" s="3">
        <v>1</v>
      </c>
      <c r="AA50" t="s">
        <v>254</v>
      </c>
      <c r="AB50">
        <v>0</v>
      </c>
      <c r="AC50">
        <v>0</v>
      </c>
      <c r="AD50" s="7">
        <v>0</v>
      </c>
      <c r="AG50" t="s">
        <v>254</v>
      </c>
      <c r="AH50">
        <v>0</v>
      </c>
      <c r="AI50">
        <v>0</v>
      </c>
      <c r="AJ50" s="7">
        <v>1</v>
      </c>
    </row>
    <row r="51" spans="2:36" x14ac:dyDescent="0.25">
      <c r="B51" t="s">
        <v>533</v>
      </c>
      <c r="C51" t="s">
        <v>1185</v>
      </c>
      <c r="D51" t="s">
        <v>1562</v>
      </c>
      <c r="E51" t="s">
        <v>1563</v>
      </c>
      <c r="F51">
        <v>0</v>
      </c>
      <c r="G51">
        <v>10000</v>
      </c>
      <c r="H51">
        <v>0</v>
      </c>
      <c r="I51">
        <v>1</v>
      </c>
      <c r="J51">
        <v>1</v>
      </c>
      <c r="K51">
        <v>1</v>
      </c>
      <c r="L51">
        <v>1</v>
      </c>
      <c r="M51">
        <v>0.01</v>
      </c>
      <c r="O51" t="s">
        <v>534</v>
      </c>
      <c r="P51">
        <v>0</v>
      </c>
      <c r="Q51">
        <v>0</v>
      </c>
      <c r="R51">
        <v>0</v>
      </c>
      <c r="U51" t="s">
        <v>534</v>
      </c>
      <c r="V51">
        <v>0</v>
      </c>
      <c r="W51">
        <v>0</v>
      </c>
      <c r="X51">
        <v>0</v>
      </c>
      <c r="AA51" t="s">
        <v>534</v>
      </c>
      <c r="AB51">
        <v>0</v>
      </c>
      <c r="AC51">
        <v>0</v>
      </c>
      <c r="AD51">
        <v>0</v>
      </c>
      <c r="AG51" t="s">
        <v>534</v>
      </c>
      <c r="AH51">
        <v>0</v>
      </c>
      <c r="AI51">
        <v>0</v>
      </c>
      <c r="AJ51">
        <v>0</v>
      </c>
    </row>
    <row r="52" spans="2:36" x14ac:dyDescent="0.25">
      <c r="B52" t="s">
        <v>538</v>
      </c>
      <c r="C52" t="s">
        <v>1189</v>
      </c>
      <c r="D52" t="s">
        <v>1562</v>
      </c>
      <c r="E52" t="s">
        <v>1563</v>
      </c>
      <c r="F52">
        <v>0</v>
      </c>
      <c r="G52">
        <v>10000</v>
      </c>
      <c r="H52">
        <v>0</v>
      </c>
      <c r="I52">
        <v>1</v>
      </c>
      <c r="J52">
        <v>1</v>
      </c>
      <c r="K52">
        <v>1</v>
      </c>
      <c r="L52">
        <v>1</v>
      </c>
      <c r="M52">
        <v>0.01</v>
      </c>
      <c r="O52" t="s">
        <v>539</v>
      </c>
      <c r="P52">
        <v>0</v>
      </c>
      <c r="Q52">
        <v>0</v>
      </c>
      <c r="R52">
        <v>0</v>
      </c>
      <c r="U52" t="s">
        <v>539</v>
      </c>
      <c r="V52">
        <v>0</v>
      </c>
      <c r="W52">
        <v>0</v>
      </c>
      <c r="X52">
        <v>0</v>
      </c>
      <c r="AA52" t="s">
        <v>539</v>
      </c>
      <c r="AB52">
        <v>0</v>
      </c>
      <c r="AC52">
        <v>0</v>
      </c>
      <c r="AD52">
        <v>0</v>
      </c>
      <c r="AG52" t="s">
        <v>539</v>
      </c>
      <c r="AH52">
        <v>0</v>
      </c>
      <c r="AI52">
        <v>0</v>
      </c>
      <c r="AJ52">
        <v>0</v>
      </c>
    </row>
    <row r="53" spans="2:36" x14ac:dyDescent="0.25">
      <c r="B53" t="s">
        <v>543</v>
      </c>
      <c r="C53" t="s">
        <v>1193</v>
      </c>
      <c r="D53" t="s">
        <v>1562</v>
      </c>
      <c r="E53" t="s">
        <v>1563</v>
      </c>
      <c r="F53">
        <v>-10000</v>
      </c>
      <c r="G53">
        <v>10000</v>
      </c>
      <c r="H53">
        <v>0</v>
      </c>
      <c r="I53">
        <v>1</v>
      </c>
      <c r="J53">
        <v>1</v>
      </c>
      <c r="K53">
        <v>1</v>
      </c>
      <c r="L53">
        <v>1</v>
      </c>
      <c r="M53">
        <v>0.01</v>
      </c>
      <c r="O53" t="s">
        <v>257</v>
      </c>
      <c r="P53">
        <v>0</v>
      </c>
      <c r="Q53">
        <v>0</v>
      </c>
      <c r="R53" s="3">
        <v>0</v>
      </c>
      <c r="U53" t="s">
        <v>257</v>
      </c>
      <c r="V53">
        <v>0</v>
      </c>
      <c r="W53">
        <v>0</v>
      </c>
      <c r="X53" s="3">
        <v>0</v>
      </c>
      <c r="AA53" t="s">
        <v>257</v>
      </c>
      <c r="AB53">
        <v>0</v>
      </c>
      <c r="AC53">
        <v>0</v>
      </c>
      <c r="AD53" s="3">
        <v>0</v>
      </c>
      <c r="AG53" t="s">
        <v>257</v>
      </c>
      <c r="AH53">
        <v>0</v>
      </c>
      <c r="AI53">
        <v>0</v>
      </c>
      <c r="AJ53" s="3">
        <v>0</v>
      </c>
    </row>
    <row r="54" spans="2:36" x14ac:dyDescent="0.25">
      <c r="B54" t="s">
        <v>546</v>
      </c>
      <c r="C54" t="s">
        <v>1198</v>
      </c>
      <c r="D54" t="s">
        <v>1562</v>
      </c>
      <c r="E54" t="s">
        <v>1563</v>
      </c>
      <c r="F54">
        <v>-10000</v>
      </c>
      <c r="G54">
        <v>10000</v>
      </c>
      <c r="H54">
        <v>0</v>
      </c>
      <c r="I54">
        <v>1</v>
      </c>
      <c r="J54">
        <v>1</v>
      </c>
      <c r="K54">
        <v>1</v>
      </c>
      <c r="L54">
        <v>1</v>
      </c>
      <c r="M54">
        <v>0.01</v>
      </c>
      <c r="O54" t="s">
        <v>258</v>
      </c>
      <c r="P54">
        <v>0</v>
      </c>
      <c r="Q54">
        <v>0</v>
      </c>
      <c r="R54">
        <v>1</v>
      </c>
      <c r="U54" t="s">
        <v>258</v>
      </c>
      <c r="V54">
        <v>0</v>
      </c>
      <c r="W54">
        <v>0</v>
      </c>
      <c r="X54" s="7">
        <v>0</v>
      </c>
      <c r="AA54" t="s">
        <v>258</v>
      </c>
      <c r="AB54">
        <v>0</v>
      </c>
      <c r="AC54">
        <v>0</v>
      </c>
      <c r="AD54">
        <v>1</v>
      </c>
      <c r="AG54" t="s">
        <v>258</v>
      </c>
      <c r="AH54">
        <v>0</v>
      </c>
      <c r="AI54">
        <v>0</v>
      </c>
      <c r="AJ54">
        <v>0</v>
      </c>
    </row>
    <row r="55" spans="2:36" x14ac:dyDescent="0.25">
      <c r="B55" t="s">
        <v>549</v>
      </c>
      <c r="C55" t="s">
        <v>1202</v>
      </c>
      <c r="D55" t="s">
        <v>1562</v>
      </c>
      <c r="E55" t="s">
        <v>1563</v>
      </c>
      <c r="F55">
        <v>-10000</v>
      </c>
      <c r="G55">
        <v>10000</v>
      </c>
      <c r="H55">
        <v>0</v>
      </c>
      <c r="I55">
        <v>1</v>
      </c>
      <c r="J55">
        <v>1</v>
      </c>
      <c r="K55">
        <v>1</v>
      </c>
      <c r="L55">
        <v>1</v>
      </c>
      <c r="M55">
        <v>0.01</v>
      </c>
      <c r="O55" t="s">
        <v>259</v>
      </c>
      <c r="P55">
        <v>0</v>
      </c>
      <c r="Q55">
        <v>0</v>
      </c>
      <c r="R55">
        <v>0</v>
      </c>
      <c r="U55" t="s">
        <v>259</v>
      </c>
      <c r="V55">
        <v>0</v>
      </c>
      <c r="W55">
        <v>0</v>
      </c>
      <c r="X55">
        <v>0</v>
      </c>
      <c r="AA55" t="s">
        <v>259</v>
      </c>
      <c r="AB55">
        <v>0</v>
      </c>
      <c r="AC55">
        <v>0</v>
      </c>
      <c r="AD55">
        <v>0</v>
      </c>
      <c r="AG55" t="s">
        <v>259</v>
      </c>
      <c r="AH55">
        <v>0</v>
      </c>
      <c r="AI55">
        <v>0</v>
      </c>
      <c r="AJ55">
        <v>0</v>
      </c>
    </row>
    <row r="56" spans="2:36" x14ac:dyDescent="0.25">
      <c r="B56" t="s">
        <v>553</v>
      </c>
      <c r="C56" t="s">
        <v>1208</v>
      </c>
      <c r="D56" t="s">
        <v>1562</v>
      </c>
      <c r="E56" t="s">
        <v>1563</v>
      </c>
      <c r="F56">
        <v>0</v>
      </c>
      <c r="G56">
        <v>10000</v>
      </c>
      <c r="H56">
        <v>0</v>
      </c>
      <c r="I56">
        <v>1</v>
      </c>
      <c r="J56">
        <v>1</v>
      </c>
      <c r="K56">
        <v>1</v>
      </c>
      <c r="L56">
        <v>1</v>
      </c>
      <c r="M56">
        <v>0.01</v>
      </c>
      <c r="O56" t="s">
        <v>554</v>
      </c>
      <c r="P56">
        <v>0</v>
      </c>
      <c r="Q56">
        <v>0</v>
      </c>
      <c r="R56">
        <v>0</v>
      </c>
      <c r="U56" t="s">
        <v>554</v>
      </c>
      <c r="V56">
        <v>0</v>
      </c>
      <c r="W56">
        <v>0</v>
      </c>
      <c r="X56">
        <v>0</v>
      </c>
      <c r="AA56" t="s">
        <v>554</v>
      </c>
      <c r="AB56">
        <v>0</v>
      </c>
      <c r="AC56">
        <v>0</v>
      </c>
      <c r="AD56">
        <v>0</v>
      </c>
      <c r="AG56" t="s">
        <v>554</v>
      </c>
      <c r="AH56">
        <v>0</v>
      </c>
      <c r="AI56">
        <v>0</v>
      </c>
      <c r="AJ56">
        <v>0</v>
      </c>
    </row>
    <row r="57" spans="2:36" x14ac:dyDescent="0.25">
      <c r="B57" t="s">
        <v>558</v>
      </c>
      <c r="C57" t="s">
        <v>1212</v>
      </c>
      <c r="D57" t="s">
        <v>1562</v>
      </c>
      <c r="E57" t="s">
        <v>1563</v>
      </c>
      <c r="F57">
        <v>0</v>
      </c>
      <c r="G57">
        <v>10000</v>
      </c>
      <c r="H57">
        <v>0</v>
      </c>
      <c r="I57">
        <v>1</v>
      </c>
      <c r="J57">
        <v>1</v>
      </c>
      <c r="K57">
        <v>1</v>
      </c>
      <c r="L57">
        <v>1</v>
      </c>
      <c r="M57">
        <v>0.01</v>
      </c>
      <c r="O57" t="s">
        <v>260</v>
      </c>
      <c r="P57">
        <v>0</v>
      </c>
      <c r="Q57">
        <v>0</v>
      </c>
      <c r="R57">
        <v>0</v>
      </c>
      <c r="U57" t="s">
        <v>260</v>
      </c>
      <c r="V57">
        <v>0</v>
      </c>
      <c r="W57">
        <v>0</v>
      </c>
      <c r="X57">
        <v>0</v>
      </c>
      <c r="AA57" t="s">
        <v>260</v>
      </c>
      <c r="AB57">
        <v>0</v>
      </c>
      <c r="AC57">
        <v>0</v>
      </c>
      <c r="AD57">
        <v>0</v>
      </c>
      <c r="AG57" t="s">
        <v>260</v>
      </c>
      <c r="AH57">
        <v>0</v>
      </c>
      <c r="AI57">
        <v>0</v>
      </c>
      <c r="AJ57">
        <v>0</v>
      </c>
    </row>
    <row r="58" spans="2:36" x14ac:dyDescent="0.25">
      <c r="B58" t="s">
        <v>561</v>
      </c>
      <c r="C58" t="s">
        <v>1217</v>
      </c>
      <c r="D58" t="s">
        <v>1562</v>
      </c>
      <c r="E58" t="s">
        <v>1563</v>
      </c>
      <c r="F58">
        <v>0</v>
      </c>
      <c r="G58">
        <v>10000</v>
      </c>
      <c r="H58">
        <v>0</v>
      </c>
      <c r="I58">
        <v>1</v>
      </c>
      <c r="J58">
        <v>1</v>
      </c>
      <c r="K58">
        <v>1</v>
      </c>
      <c r="L58">
        <v>1</v>
      </c>
      <c r="M58">
        <v>0.01</v>
      </c>
      <c r="O58" t="s">
        <v>261</v>
      </c>
      <c r="P58">
        <v>0</v>
      </c>
      <c r="Q58">
        <v>0</v>
      </c>
      <c r="R58">
        <v>0</v>
      </c>
      <c r="U58" t="s">
        <v>261</v>
      </c>
      <c r="V58">
        <v>0</v>
      </c>
      <c r="W58">
        <v>0</v>
      </c>
      <c r="X58">
        <v>0</v>
      </c>
      <c r="AA58" t="s">
        <v>261</v>
      </c>
      <c r="AB58">
        <v>0</v>
      </c>
      <c r="AC58">
        <v>0</v>
      </c>
      <c r="AD58">
        <v>0</v>
      </c>
      <c r="AG58" t="s">
        <v>261</v>
      </c>
      <c r="AH58">
        <v>0</v>
      </c>
      <c r="AI58">
        <v>0</v>
      </c>
      <c r="AJ58">
        <v>0</v>
      </c>
    </row>
    <row r="59" spans="2:36" x14ac:dyDescent="0.25">
      <c r="B59" t="s">
        <v>564</v>
      </c>
      <c r="C59" t="s">
        <v>1569</v>
      </c>
      <c r="D59" t="s">
        <v>1562</v>
      </c>
      <c r="E59" t="s">
        <v>1563</v>
      </c>
      <c r="F59" s="3">
        <v>0</v>
      </c>
      <c r="G59">
        <v>10000</v>
      </c>
      <c r="H59">
        <v>0</v>
      </c>
      <c r="I59">
        <v>1</v>
      </c>
      <c r="J59">
        <v>1</v>
      </c>
      <c r="K59">
        <v>1</v>
      </c>
      <c r="L59">
        <v>1</v>
      </c>
      <c r="M59">
        <v>0.01</v>
      </c>
      <c r="O59" t="s">
        <v>262</v>
      </c>
      <c r="P59">
        <v>0</v>
      </c>
      <c r="Q59">
        <v>0</v>
      </c>
      <c r="R59">
        <v>1</v>
      </c>
      <c r="U59" t="s">
        <v>262</v>
      </c>
      <c r="V59">
        <v>0</v>
      </c>
      <c r="W59">
        <v>0</v>
      </c>
      <c r="X59">
        <v>1</v>
      </c>
      <c r="AA59" t="s">
        <v>262</v>
      </c>
      <c r="AB59">
        <v>0</v>
      </c>
      <c r="AC59">
        <v>0</v>
      </c>
      <c r="AD59">
        <v>1</v>
      </c>
      <c r="AG59" t="s">
        <v>262</v>
      </c>
      <c r="AH59">
        <v>0</v>
      </c>
      <c r="AI59">
        <v>0</v>
      </c>
      <c r="AJ59">
        <v>1</v>
      </c>
    </row>
    <row r="60" spans="2:36" x14ac:dyDescent="0.25">
      <c r="B60" t="s">
        <v>567</v>
      </c>
      <c r="C60" t="s">
        <v>1570</v>
      </c>
      <c r="D60" t="s">
        <v>1562</v>
      </c>
      <c r="E60" t="s">
        <v>1563</v>
      </c>
      <c r="F60">
        <v>-10000</v>
      </c>
      <c r="G60">
        <v>10000</v>
      </c>
      <c r="H60">
        <v>0</v>
      </c>
      <c r="I60">
        <v>1</v>
      </c>
      <c r="J60">
        <v>1</v>
      </c>
      <c r="K60">
        <v>1</v>
      </c>
      <c r="L60">
        <v>1</v>
      </c>
      <c r="M60">
        <v>0.01</v>
      </c>
      <c r="O60" t="s">
        <v>167</v>
      </c>
      <c r="P60">
        <v>0</v>
      </c>
      <c r="Q60">
        <v>0</v>
      </c>
      <c r="R60">
        <v>0</v>
      </c>
      <c r="U60" t="s">
        <v>167</v>
      </c>
      <c r="V60">
        <v>0</v>
      </c>
      <c r="W60">
        <v>0</v>
      </c>
      <c r="X60">
        <v>0</v>
      </c>
      <c r="AA60" t="s">
        <v>167</v>
      </c>
      <c r="AB60">
        <v>0</v>
      </c>
      <c r="AC60">
        <v>0</v>
      </c>
      <c r="AD60">
        <v>0</v>
      </c>
      <c r="AG60" t="s">
        <v>167</v>
      </c>
      <c r="AH60">
        <v>0</v>
      </c>
      <c r="AI60">
        <v>0</v>
      </c>
      <c r="AJ60">
        <v>0</v>
      </c>
    </row>
    <row r="61" spans="2:36" x14ac:dyDescent="0.25">
      <c r="B61" t="s">
        <v>570</v>
      </c>
      <c r="C61" t="s">
        <v>1571</v>
      </c>
      <c r="D61" t="s">
        <v>1562</v>
      </c>
      <c r="E61" t="s">
        <v>1563</v>
      </c>
      <c r="F61">
        <v>-10000</v>
      </c>
      <c r="G61">
        <v>10000</v>
      </c>
      <c r="H61">
        <v>0</v>
      </c>
      <c r="I61">
        <v>1</v>
      </c>
      <c r="J61">
        <v>1</v>
      </c>
      <c r="K61">
        <v>1</v>
      </c>
      <c r="L61">
        <v>1</v>
      </c>
      <c r="M61">
        <v>0.01</v>
      </c>
      <c r="O61" t="s">
        <v>571</v>
      </c>
      <c r="P61">
        <v>0</v>
      </c>
      <c r="Q61">
        <v>0</v>
      </c>
      <c r="R61">
        <v>0</v>
      </c>
      <c r="U61" t="s">
        <v>571</v>
      </c>
      <c r="V61">
        <v>0</v>
      </c>
      <c r="W61">
        <v>0</v>
      </c>
      <c r="X61">
        <v>0</v>
      </c>
      <c r="AA61" t="s">
        <v>571</v>
      </c>
      <c r="AB61">
        <v>0</v>
      </c>
      <c r="AC61">
        <v>0</v>
      </c>
      <c r="AD61">
        <v>0</v>
      </c>
      <c r="AG61" t="s">
        <v>571</v>
      </c>
      <c r="AH61">
        <v>0</v>
      </c>
      <c r="AI61">
        <v>0</v>
      </c>
      <c r="AJ61">
        <v>0</v>
      </c>
    </row>
    <row r="62" spans="2:36" x14ac:dyDescent="0.25">
      <c r="B62" t="s">
        <v>575</v>
      </c>
      <c r="C62" t="s">
        <v>1572</v>
      </c>
      <c r="D62" t="s">
        <v>1562</v>
      </c>
      <c r="E62" t="s">
        <v>1563</v>
      </c>
      <c r="F62">
        <v>-10000</v>
      </c>
      <c r="G62">
        <v>10000</v>
      </c>
      <c r="H62">
        <v>0</v>
      </c>
      <c r="I62">
        <v>1</v>
      </c>
      <c r="J62">
        <v>1</v>
      </c>
      <c r="K62">
        <v>1</v>
      </c>
      <c r="L62">
        <v>1</v>
      </c>
      <c r="M62">
        <v>0.01</v>
      </c>
      <c r="O62" t="s">
        <v>264</v>
      </c>
      <c r="P62">
        <v>0</v>
      </c>
      <c r="Q62">
        <v>0</v>
      </c>
      <c r="R62">
        <v>0</v>
      </c>
      <c r="U62" t="s">
        <v>264</v>
      </c>
      <c r="V62">
        <v>0</v>
      </c>
      <c r="W62">
        <v>0</v>
      </c>
      <c r="X62">
        <v>0</v>
      </c>
      <c r="AA62" t="s">
        <v>264</v>
      </c>
      <c r="AB62">
        <v>0</v>
      </c>
      <c r="AC62">
        <v>0</v>
      </c>
      <c r="AD62">
        <v>0</v>
      </c>
      <c r="AG62" t="s">
        <v>264</v>
      </c>
      <c r="AH62">
        <v>0</v>
      </c>
      <c r="AI62">
        <v>0</v>
      </c>
      <c r="AJ62">
        <v>0</v>
      </c>
    </row>
    <row r="63" spans="2:36" x14ac:dyDescent="0.25">
      <c r="B63" t="s">
        <v>578</v>
      </c>
      <c r="C63" t="s">
        <v>1573</v>
      </c>
      <c r="D63" t="s">
        <v>1562</v>
      </c>
      <c r="E63" t="s">
        <v>1563</v>
      </c>
      <c r="F63">
        <v>-10000</v>
      </c>
      <c r="G63">
        <v>10000</v>
      </c>
      <c r="H63">
        <v>0</v>
      </c>
      <c r="I63">
        <v>1</v>
      </c>
      <c r="J63">
        <v>1</v>
      </c>
      <c r="K63">
        <v>1</v>
      </c>
      <c r="L63">
        <v>1</v>
      </c>
      <c r="M63">
        <v>0.01</v>
      </c>
      <c r="O63" t="s">
        <v>265</v>
      </c>
      <c r="P63">
        <v>0</v>
      </c>
      <c r="Q63">
        <v>0</v>
      </c>
      <c r="R63">
        <v>0</v>
      </c>
      <c r="U63" t="s">
        <v>265</v>
      </c>
      <c r="V63">
        <v>0</v>
      </c>
      <c r="W63">
        <v>0</v>
      </c>
      <c r="X63">
        <v>0</v>
      </c>
      <c r="AA63" t="s">
        <v>265</v>
      </c>
      <c r="AB63">
        <v>0</v>
      </c>
      <c r="AC63">
        <v>0</v>
      </c>
      <c r="AD63">
        <v>0</v>
      </c>
      <c r="AG63" t="s">
        <v>265</v>
      </c>
      <c r="AH63">
        <v>0</v>
      </c>
      <c r="AI63">
        <v>0</v>
      </c>
      <c r="AJ63">
        <v>0</v>
      </c>
    </row>
    <row r="64" spans="2:36" x14ac:dyDescent="0.25">
      <c r="B64" t="s">
        <v>581</v>
      </c>
      <c r="C64" t="s">
        <v>1574</v>
      </c>
      <c r="D64" t="s">
        <v>1562</v>
      </c>
      <c r="E64" t="s">
        <v>1563</v>
      </c>
      <c r="F64">
        <v>-10000</v>
      </c>
      <c r="G64">
        <v>10000</v>
      </c>
      <c r="H64">
        <v>0</v>
      </c>
      <c r="I64">
        <v>1</v>
      </c>
      <c r="J64">
        <v>1</v>
      </c>
      <c r="K64">
        <v>1</v>
      </c>
      <c r="L64">
        <v>1</v>
      </c>
      <c r="M64">
        <v>0.01</v>
      </c>
      <c r="O64" t="s">
        <v>159</v>
      </c>
      <c r="P64">
        <v>0</v>
      </c>
      <c r="Q64">
        <v>0</v>
      </c>
      <c r="R64">
        <v>0</v>
      </c>
      <c r="U64" t="s">
        <v>159</v>
      </c>
      <c r="V64">
        <v>0</v>
      </c>
      <c r="W64">
        <v>0</v>
      </c>
      <c r="X64">
        <v>0</v>
      </c>
      <c r="AA64" t="s">
        <v>159</v>
      </c>
      <c r="AB64">
        <v>0</v>
      </c>
      <c r="AC64">
        <v>0</v>
      </c>
      <c r="AD64">
        <v>0</v>
      </c>
      <c r="AG64" t="s">
        <v>159</v>
      </c>
      <c r="AH64">
        <v>0</v>
      </c>
      <c r="AI64">
        <v>0</v>
      </c>
      <c r="AJ64">
        <v>0</v>
      </c>
    </row>
    <row r="65" spans="2:40" x14ac:dyDescent="0.25">
      <c r="B65" t="s">
        <v>585</v>
      </c>
      <c r="C65" t="s">
        <v>1248</v>
      </c>
      <c r="D65" t="s">
        <v>1562</v>
      </c>
      <c r="E65" t="s">
        <v>1563</v>
      </c>
      <c r="F65">
        <v>-10000</v>
      </c>
      <c r="G65">
        <v>10000</v>
      </c>
      <c r="H65">
        <v>0</v>
      </c>
      <c r="I65">
        <v>1</v>
      </c>
      <c r="J65">
        <v>1</v>
      </c>
      <c r="K65">
        <v>1</v>
      </c>
      <c r="L65">
        <v>1</v>
      </c>
      <c r="M65">
        <v>0.01</v>
      </c>
      <c r="O65" t="s">
        <v>586</v>
      </c>
      <c r="P65">
        <v>0</v>
      </c>
      <c r="Q65">
        <v>0</v>
      </c>
      <c r="R65">
        <v>0</v>
      </c>
      <c r="U65" t="s">
        <v>586</v>
      </c>
      <c r="V65">
        <v>0</v>
      </c>
      <c r="W65">
        <v>0</v>
      </c>
      <c r="X65">
        <v>0</v>
      </c>
      <c r="AA65" t="s">
        <v>586</v>
      </c>
      <c r="AB65">
        <v>0</v>
      </c>
      <c r="AC65">
        <v>0</v>
      </c>
      <c r="AD65">
        <v>0</v>
      </c>
      <c r="AG65" t="s">
        <v>586</v>
      </c>
      <c r="AH65">
        <v>0</v>
      </c>
      <c r="AI65">
        <v>0</v>
      </c>
      <c r="AJ65">
        <v>0</v>
      </c>
    </row>
    <row r="66" spans="2:40" x14ac:dyDescent="0.25">
      <c r="B66" t="s">
        <v>590</v>
      </c>
      <c r="C66" t="s">
        <v>1297</v>
      </c>
      <c r="D66" t="s">
        <v>1562</v>
      </c>
      <c r="E66" t="s">
        <v>1563</v>
      </c>
      <c r="F66">
        <v>-10000</v>
      </c>
      <c r="G66">
        <v>10000</v>
      </c>
      <c r="H66">
        <v>0</v>
      </c>
      <c r="I66">
        <v>1</v>
      </c>
      <c r="J66">
        <v>1</v>
      </c>
      <c r="K66">
        <v>1</v>
      </c>
      <c r="L66">
        <v>1</v>
      </c>
      <c r="M66">
        <v>0.01</v>
      </c>
      <c r="O66" t="s">
        <v>157</v>
      </c>
      <c r="P66">
        <v>0</v>
      </c>
      <c r="Q66">
        <v>0</v>
      </c>
      <c r="R66">
        <v>0</v>
      </c>
      <c r="U66" t="s">
        <v>157</v>
      </c>
      <c r="V66">
        <v>0</v>
      </c>
      <c r="W66">
        <v>0</v>
      </c>
      <c r="X66">
        <v>0</v>
      </c>
      <c r="AA66" t="s">
        <v>157</v>
      </c>
      <c r="AB66">
        <v>0</v>
      </c>
      <c r="AC66">
        <v>0</v>
      </c>
      <c r="AD66">
        <v>0</v>
      </c>
      <c r="AG66" t="s">
        <v>157</v>
      </c>
      <c r="AH66">
        <v>0</v>
      </c>
      <c r="AI66">
        <v>0</v>
      </c>
      <c r="AJ66">
        <v>0</v>
      </c>
    </row>
    <row r="67" spans="2:40" x14ac:dyDescent="0.25">
      <c r="B67" t="s">
        <v>593</v>
      </c>
      <c r="C67" t="s">
        <v>1301</v>
      </c>
      <c r="D67" t="s">
        <v>1562</v>
      </c>
      <c r="E67" t="s">
        <v>1563</v>
      </c>
      <c r="F67">
        <v>-10000</v>
      </c>
      <c r="G67">
        <v>10000</v>
      </c>
      <c r="H67">
        <v>0</v>
      </c>
      <c r="I67">
        <v>1</v>
      </c>
      <c r="J67">
        <v>1</v>
      </c>
      <c r="K67">
        <v>1</v>
      </c>
      <c r="L67">
        <v>1</v>
      </c>
      <c r="M67">
        <v>0.01</v>
      </c>
      <c r="O67" t="s">
        <v>594</v>
      </c>
      <c r="P67">
        <v>0</v>
      </c>
      <c r="Q67">
        <v>0</v>
      </c>
      <c r="R67">
        <v>0</v>
      </c>
      <c r="U67" t="s">
        <v>594</v>
      </c>
      <c r="V67">
        <v>0</v>
      </c>
      <c r="W67">
        <v>0</v>
      </c>
      <c r="X67">
        <v>0</v>
      </c>
      <c r="AA67" t="s">
        <v>594</v>
      </c>
      <c r="AB67">
        <v>0</v>
      </c>
      <c r="AC67">
        <v>0</v>
      </c>
      <c r="AD67">
        <v>0</v>
      </c>
      <c r="AG67" t="s">
        <v>594</v>
      </c>
      <c r="AH67">
        <v>0</v>
      </c>
      <c r="AI67">
        <v>0</v>
      </c>
      <c r="AJ67">
        <v>0</v>
      </c>
    </row>
    <row r="68" spans="2:40" x14ac:dyDescent="0.25">
      <c r="B68" t="s">
        <v>598</v>
      </c>
      <c r="C68" t="s">
        <v>1303</v>
      </c>
      <c r="D68" t="s">
        <v>1562</v>
      </c>
      <c r="E68" t="s">
        <v>1563</v>
      </c>
      <c r="F68">
        <v>-10000</v>
      </c>
      <c r="G68">
        <v>10000</v>
      </c>
      <c r="H68">
        <v>0</v>
      </c>
      <c r="I68">
        <v>1</v>
      </c>
      <c r="J68">
        <v>1</v>
      </c>
      <c r="K68">
        <v>1</v>
      </c>
      <c r="L68">
        <v>1</v>
      </c>
      <c r="M68">
        <v>0.01</v>
      </c>
      <c r="O68" t="s">
        <v>599</v>
      </c>
      <c r="P68">
        <v>0</v>
      </c>
      <c r="Q68">
        <v>0</v>
      </c>
      <c r="R68">
        <v>0</v>
      </c>
      <c r="U68" t="s">
        <v>599</v>
      </c>
      <c r="V68">
        <v>0</v>
      </c>
      <c r="W68">
        <v>0</v>
      </c>
      <c r="X68">
        <v>0</v>
      </c>
      <c r="AA68" t="s">
        <v>599</v>
      </c>
      <c r="AB68">
        <v>0</v>
      </c>
      <c r="AC68">
        <v>0</v>
      </c>
      <c r="AD68">
        <v>0</v>
      </c>
      <c r="AG68" t="s">
        <v>599</v>
      </c>
      <c r="AH68">
        <v>0</v>
      </c>
      <c r="AI68">
        <v>0</v>
      </c>
      <c r="AJ68">
        <v>0</v>
      </c>
    </row>
    <row r="69" spans="2:40" x14ac:dyDescent="0.25">
      <c r="B69" t="s">
        <v>603</v>
      </c>
      <c r="C69" t="s">
        <v>1307</v>
      </c>
      <c r="D69" t="s">
        <v>1562</v>
      </c>
      <c r="E69" t="s">
        <v>1563</v>
      </c>
      <c r="F69">
        <v>-10000</v>
      </c>
      <c r="G69">
        <v>10000</v>
      </c>
      <c r="H69">
        <v>0</v>
      </c>
      <c r="I69">
        <v>1</v>
      </c>
      <c r="J69">
        <v>1</v>
      </c>
      <c r="K69">
        <v>1</v>
      </c>
      <c r="L69">
        <v>1</v>
      </c>
      <c r="M69">
        <v>0.01</v>
      </c>
      <c r="O69" t="s">
        <v>271</v>
      </c>
      <c r="P69">
        <v>0</v>
      </c>
      <c r="Q69">
        <v>0</v>
      </c>
      <c r="R69">
        <v>0</v>
      </c>
      <c r="U69" t="s">
        <v>271</v>
      </c>
      <c r="V69">
        <v>0</v>
      </c>
      <c r="W69">
        <v>0</v>
      </c>
      <c r="X69">
        <v>0</v>
      </c>
      <c r="AA69" t="s">
        <v>271</v>
      </c>
      <c r="AB69">
        <v>0</v>
      </c>
      <c r="AC69">
        <v>0</v>
      </c>
      <c r="AD69">
        <v>0</v>
      </c>
      <c r="AG69" t="s">
        <v>271</v>
      </c>
      <c r="AH69">
        <v>0</v>
      </c>
      <c r="AI69">
        <v>0</v>
      </c>
      <c r="AJ69">
        <v>0</v>
      </c>
    </row>
    <row r="70" spans="2:40" x14ac:dyDescent="0.25">
      <c r="B70" t="s">
        <v>607</v>
      </c>
      <c r="C70" t="s">
        <v>1311</v>
      </c>
      <c r="D70" t="s">
        <v>1562</v>
      </c>
      <c r="E70" t="s">
        <v>1563</v>
      </c>
      <c r="F70">
        <v>-10000</v>
      </c>
      <c r="G70">
        <v>10000</v>
      </c>
      <c r="H70">
        <v>0</v>
      </c>
      <c r="I70">
        <v>1</v>
      </c>
      <c r="J70">
        <v>1</v>
      </c>
      <c r="K70">
        <v>1</v>
      </c>
      <c r="L70">
        <v>1</v>
      </c>
      <c r="M70">
        <v>0.01</v>
      </c>
      <c r="O70" t="s">
        <v>158</v>
      </c>
      <c r="P70">
        <v>0</v>
      </c>
      <c r="Q70">
        <v>0</v>
      </c>
      <c r="R70">
        <v>0</v>
      </c>
      <c r="U70" t="s">
        <v>158</v>
      </c>
      <c r="V70">
        <v>0</v>
      </c>
      <c r="W70">
        <v>0</v>
      </c>
      <c r="X70">
        <v>0</v>
      </c>
      <c r="AA70" t="s">
        <v>158</v>
      </c>
      <c r="AB70">
        <v>0</v>
      </c>
      <c r="AC70">
        <v>0</v>
      </c>
      <c r="AD70">
        <v>0</v>
      </c>
      <c r="AG70" t="s">
        <v>158</v>
      </c>
      <c r="AH70">
        <v>0</v>
      </c>
      <c r="AI70">
        <v>0</v>
      </c>
      <c r="AJ70">
        <v>0</v>
      </c>
    </row>
    <row r="71" spans="2:40" x14ac:dyDescent="0.25">
      <c r="B71" t="s">
        <v>611</v>
      </c>
      <c r="C71" t="s">
        <v>1316</v>
      </c>
      <c r="D71" t="s">
        <v>1562</v>
      </c>
      <c r="E71" t="s">
        <v>1563</v>
      </c>
      <c r="F71">
        <v>0</v>
      </c>
      <c r="G71">
        <v>10000</v>
      </c>
      <c r="H71">
        <v>0</v>
      </c>
      <c r="I71">
        <v>1</v>
      </c>
      <c r="J71">
        <v>1</v>
      </c>
      <c r="K71">
        <v>1</v>
      </c>
      <c r="L71">
        <v>1</v>
      </c>
      <c r="M71">
        <v>0.01</v>
      </c>
      <c r="O71" t="s">
        <v>612</v>
      </c>
      <c r="P71">
        <v>0</v>
      </c>
      <c r="Q71">
        <v>0</v>
      </c>
      <c r="R71">
        <v>0</v>
      </c>
      <c r="U71" t="s">
        <v>612</v>
      </c>
      <c r="V71">
        <v>0</v>
      </c>
      <c r="W71">
        <v>0</v>
      </c>
      <c r="X71">
        <v>0</v>
      </c>
      <c r="AA71" t="s">
        <v>612</v>
      </c>
      <c r="AB71">
        <v>0</v>
      </c>
      <c r="AC71">
        <v>0</v>
      </c>
      <c r="AD71">
        <v>0</v>
      </c>
      <c r="AG71" t="s">
        <v>612</v>
      </c>
      <c r="AH71">
        <v>0</v>
      </c>
      <c r="AI71">
        <v>0</v>
      </c>
      <c r="AJ71">
        <v>0</v>
      </c>
    </row>
    <row r="72" spans="2:40" x14ac:dyDescent="0.25">
      <c r="B72" t="s">
        <v>615</v>
      </c>
      <c r="C72" t="s">
        <v>1321</v>
      </c>
      <c r="D72" t="s">
        <v>1562</v>
      </c>
      <c r="E72" t="s">
        <v>1563</v>
      </c>
      <c r="F72">
        <v>0</v>
      </c>
      <c r="G72">
        <v>10000</v>
      </c>
      <c r="H72">
        <v>0</v>
      </c>
      <c r="I72">
        <v>1</v>
      </c>
      <c r="J72">
        <v>1</v>
      </c>
      <c r="K72">
        <v>1</v>
      </c>
      <c r="L72">
        <v>1</v>
      </c>
      <c r="M72">
        <v>0.01</v>
      </c>
      <c r="O72" t="s">
        <v>616</v>
      </c>
      <c r="P72">
        <v>0</v>
      </c>
      <c r="Q72">
        <v>0</v>
      </c>
      <c r="R72">
        <v>0</v>
      </c>
      <c r="U72" t="s">
        <v>616</v>
      </c>
      <c r="V72">
        <v>0</v>
      </c>
      <c r="W72">
        <v>0</v>
      </c>
      <c r="X72">
        <v>0</v>
      </c>
      <c r="AA72" t="s">
        <v>616</v>
      </c>
      <c r="AB72">
        <v>0</v>
      </c>
      <c r="AC72">
        <v>0</v>
      </c>
      <c r="AD72">
        <v>0</v>
      </c>
      <c r="AG72" t="s">
        <v>616</v>
      </c>
      <c r="AH72">
        <v>0</v>
      </c>
      <c r="AI72">
        <v>0</v>
      </c>
      <c r="AJ72">
        <v>0</v>
      </c>
    </row>
    <row r="73" spans="2:40" x14ac:dyDescent="0.25">
      <c r="B73" t="s">
        <v>620</v>
      </c>
      <c r="C73" t="s">
        <v>1325</v>
      </c>
      <c r="D73" t="s">
        <v>1562</v>
      </c>
      <c r="E73" t="s">
        <v>1563</v>
      </c>
      <c r="F73">
        <v>-10000</v>
      </c>
      <c r="G73">
        <v>10000</v>
      </c>
      <c r="H73">
        <v>0</v>
      </c>
      <c r="I73">
        <v>1</v>
      </c>
      <c r="J73">
        <v>1</v>
      </c>
      <c r="K73">
        <v>1</v>
      </c>
      <c r="L73">
        <v>1</v>
      </c>
      <c r="M73">
        <v>0.01</v>
      </c>
      <c r="O73" t="s">
        <v>621</v>
      </c>
      <c r="P73">
        <v>0</v>
      </c>
      <c r="Q73">
        <v>0</v>
      </c>
      <c r="R73">
        <v>0</v>
      </c>
      <c r="U73" t="s">
        <v>621</v>
      </c>
      <c r="V73">
        <v>0</v>
      </c>
      <c r="W73">
        <v>0</v>
      </c>
      <c r="X73">
        <v>0</v>
      </c>
      <c r="AA73" t="s">
        <v>621</v>
      </c>
      <c r="AB73">
        <v>0</v>
      </c>
      <c r="AC73">
        <v>0</v>
      </c>
      <c r="AD73">
        <v>0</v>
      </c>
      <c r="AG73" t="s">
        <v>621</v>
      </c>
      <c r="AH73">
        <v>0</v>
      </c>
      <c r="AI73">
        <v>0</v>
      </c>
      <c r="AJ73">
        <v>0</v>
      </c>
    </row>
    <row r="74" spans="2:40" x14ac:dyDescent="0.25">
      <c r="B74" t="s">
        <v>625</v>
      </c>
      <c r="C74" t="s">
        <v>1329</v>
      </c>
      <c r="D74" t="s">
        <v>1562</v>
      </c>
      <c r="E74" t="s">
        <v>1563</v>
      </c>
      <c r="F74">
        <v>0</v>
      </c>
      <c r="G74">
        <v>10000</v>
      </c>
      <c r="H74">
        <v>0</v>
      </c>
      <c r="I74">
        <v>1</v>
      </c>
      <c r="J74">
        <v>1</v>
      </c>
      <c r="K74">
        <v>1</v>
      </c>
      <c r="L74">
        <v>1</v>
      </c>
      <c r="M74">
        <v>0.01</v>
      </c>
      <c r="O74" t="s">
        <v>626</v>
      </c>
      <c r="P74">
        <v>0</v>
      </c>
      <c r="Q74">
        <v>0</v>
      </c>
      <c r="R74">
        <v>0</v>
      </c>
      <c r="U74" t="s">
        <v>626</v>
      </c>
      <c r="V74">
        <v>0</v>
      </c>
      <c r="W74">
        <v>0</v>
      </c>
      <c r="X74">
        <v>0</v>
      </c>
      <c r="AA74" t="s">
        <v>626</v>
      </c>
      <c r="AB74">
        <v>0</v>
      </c>
      <c r="AC74">
        <v>0</v>
      </c>
      <c r="AD74">
        <v>0</v>
      </c>
      <c r="AG74" t="s">
        <v>626</v>
      </c>
      <c r="AH74">
        <v>0</v>
      </c>
      <c r="AI74">
        <v>0</v>
      </c>
      <c r="AJ74">
        <v>0</v>
      </c>
    </row>
    <row r="75" spans="2:40" x14ac:dyDescent="0.25">
      <c r="B75" t="s">
        <v>629</v>
      </c>
      <c r="C75" t="s">
        <v>1335</v>
      </c>
      <c r="D75" t="s">
        <v>1562</v>
      </c>
      <c r="E75" t="s">
        <v>1563</v>
      </c>
      <c r="F75">
        <v>0</v>
      </c>
      <c r="G75">
        <v>10000</v>
      </c>
      <c r="H75">
        <v>0</v>
      </c>
      <c r="I75">
        <v>1</v>
      </c>
      <c r="J75">
        <v>1</v>
      </c>
      <c r="K75">
        <v>1</v>
      </c>
      <c r="L75">
        <v>1</v>
      </c>
      <c r="M75">
        <v>0.01</v>
      </c>
      <c r="O75" t="s">
        <v>277</v>
      </c>
      <c r="P75">
        <v>0</v>
      </c>
      <c r="Q75">
        <v>0</v>
      </c>
      <c r="R75">
        <v>0</v>
      </c>
      <c r="U75" t="s">
        <v>277</v>
      </c>
      <c r="V75">
        <v>0</v>
      </c>
      <c r="W75">
        <v>0</v>
      </c>
      <c r="X75">
        <v>0</v>
      </c>
      <c r="AA75" t="s">
        <v>277</v>
      </c>
      <c r="AB75">
        <v>0</v>
      </c>
      <c r="AC75">
        <v>0</v>
      </c>
      <c r="AD75">
        <v>0</v>
      </c>
      <c r="AG75" t="s">
        <v>277</v>
      </c>
      <c r="AH75">
        <v>0</v>
      </c>
      <c r="AI75">
        <v>0</v>
      </c>
      <c r="AJ75">
        <v>0</v>
      </c>
    </row>
    <row r="76" spans="2:40" x14ac:dyDescent="0.25">
      <c r="B76" t="s">
        <v>633</v>
      </c>
      <c r="C76" t="s">
        <v>1337</v>
      </c>
      <c r="D76" t="s">
        <v>1562</v>
      </c>
      <c r="E76" t="s">
        <v>1563</v>
      </c>
      <c r="F76">
        <v>-10000</v>
      </c>
      <c r="G76">
        <v>10000</v>
      </c>
      <c r="H76">
        <v>0</v>
      </c>
      <c r="I76">
        <v>1</v>
      </c>
      <c r="J76">
        <v>1</v>
      </c>
      <c r="K76">
        <v>1</v>
      </c>
      <c r="L76">
        <v>1</v>
      </c>
      <c r="M76">
        <v>0.01</v>
      </c>
      <c r="O76" t="s">
        <v>278</v>
      </c>
      <c r="P76">
        <v>0</v>
      </c>
      <c r="Q76">
        <v>0</v>
      </c>
      <c r="R76">
        <v>1</v>
      </c>
      <c r="U76" t="s">
        <v>278</v>
      </c>
      <c r="V76">
        <v>0</v>
      </c>
      <c r="W76">
        <v>0</v>
      </c>
      <c r="X76">
        <v>1</v>
      </c>
      <c r="AA76" t="s">
        <v>278</v>
      </c>
      <c r="AB76">
        <v>0</v>
      </c>
      <c r="AC76">
        <v>0</v>
      </c>
      <c r="AD76">
        <v>1</v>
      </c>
      <c r="AG76" t="s">
        <v>278</v>
      </c>
      <c r="AH76">
        <v>0</v>
      </c>
      <c r="AI76">
        <v>0</v>
      </c>
      <c r="AJ76">
        <v>1</v>
      </c>
    </row>
    <row r="77" spans="2:40" x14ac:dyDescent="0.25">
      <c r="B77" t="s">
        <v>636</v>
      </c>
      <c r="C77" t="s">
        <v>1341</v>
      </c>
      <c r="D77" t="s">
        <v>1562</v>
      </c>
      <c r="E77" t="s">
        <v>1563</v>
      </c>
      <c r="F77">
        <v>0</v>
      </c>
      <c r="G77">
        <v>10000</v>
      </c>
      <c r="H77">
        <v>0</v>
      </c>
      <c r="I77">
        <v>1</v>
      </c>
      <c r="J77">
        <v>1</v>
      </c>
      <c r="K77">
        <v>1</v>
      </c>
      <c r="L77">
        <v>1</v>
      </c>
      <c r="M77">
        <v>0.01</v>
      </c>
      <c r="O77" t="s">
        <v>279</v>
      </c>
      <c r="P77">
        <v>0</v>
      </c>
      <c r="Q77">
        <v>0</v>
      </c>
      <c r="R77">
        <v>0</v>
      </c>
      <c r="U77" t="s">
        <v>279</v>
      </c>
      <c r="V77">
        <v>0</v>
      </c>
      <c r="W77">
        <v>0</v>
      </c>
      <c r="X77">
        <v>0</v>
      </c>
      <c r="AA77" t="s">
        <v>279</v>
      </c>
      <c r="AB77">
        <v>0</v>
      </c>
      <c r="AC77">
        <v>0</v>
      </c>
      <c r="AD77">
        <v>0</v>
      </c>
      <c r="AG77" t="s">
        <v>279</v>
      </c>
      <c r="AH77">
        <v>0</v>
      </c>
      <c r="AI77">
        <v>0</v>
      </c>
      <c r="AJ77">
        <v>0</v>
      </c>
    </row>
    <row r="78" spans="2:40" x14ac:dyDescent="0.25">
      <c r="B78" t="s">
        <v>639</v>
      </c>
      <c r="C78" s="60" t="s">
        <v>1342</v>
      </c>
      <c r="D78" t="s">
        <v>1562</v>
      </c>
      <c r="E78" t="s">
        <v>1563</v>
      </c>
      <c r="F78">
        <v>0</v>
      </c>
      <c r="G78">
        <v>10000</v>
      </c>
      <c r="H78">
        <v>0</v>
      </c>
      <c r="I78">
        <v>1</v>
      </c>
      <c r="J78">
        <v>1</v>
      </c>
      <c r="K78">
        <v>1</v>
      </c>
      <c r="L78">
        <v>1</v>
      </c>
      <c r="M78">
        <v>0.01</v>
      </c>
      <c r="O78" t="s">
        <v>280</v>
      </c>
      <c r="P78">
        <v>0</v>
      </c>
      <c r="Q78">
        <v>0</v>
      </c>
      <c r="R78">
        <v>0</v>
      </c>
      <c r="U78" t="s">
        <v>280</v>
      </c>
      <c r="V78">
        <v>0</v>
      </c>
      <c r="W78">
        <v>0</v>
      </c>
      <c r="X78">
        <v>0</v>
      </c>
      <c r="AA78" t="s">
        <v>280</v>
      </c>
      <c r="AB78">
        <v>0</v>
      </c>
      <c r="AC78">
        <v>0</v>
      </c>
      <c r="AD78">
        <v>0</v>
      </c>
      <c r="AG78" t="s">
        <v>280</v>
      </c>
      <c r="AH78">
        <v>0</v>
      </c>
      <c r="AI78">
        <v>0</v>
      </c>
      <c r="AJ78">
        <v>0</v>
      </c>
      <c r="AN78" s="60"/>
    </row>
    <row r="79" spans="2:40" x14ac:dyDescent="0.25">
      <c r="B79" t="s">
        <v>642</v>
      </c>
      <c r="C79" s="60" t="s">
        <v>1348</v>
      </c>
      <c r="D79" t="s">
        <v>1562</v>
      </c>
      <c r="E79" t="s">
        <v>1563</v>
      </c>
      <c r="F79">
        <v>0</v>
      </c>
      <c r="G79">
        <v>10000</v>
      </c>
      <c r="H79">
        <v>0</v>
      </c>
      <c r="I79">
        <v>1</v>
      </c>
      <c r="J79">
        <v>1</v>
      </c>
      <c r="K79">
        <v>1</v>
      </c>
      <c r="L79">
        <v>1</v>
      </c>
      <c r="M79">
        <v>0.01</v>
      </c>
      <c r="O79" t="s">
        <v>281</v>
      </c>
      <c r="P79">
        <v>0</v>
      </c>
      <c r="Q79">
        <v>0</v>
      </c>
      <c r="R79">
        <v>0</v>
      </c>
      <c r="U79" t="s">
        <v>281</v>
      </c>
      <c r="V79">
        <v>0</v>
      </c>
      <c r="W79">
        <v>0</v>
      </c>
      <c r="X79">
        <v>0</v>
      </c>
      <c r="AA79" t="s">
        <v>281</v>
      </c>
      <c r="AB79">
        <v>0</v>
      </c>
      <c r="AC79">
        <v>0</v>
      </c>
      <c r="AD79">
        <v>0</v>
      </c>
      <c r="AG79" t="s">
        <v>281</v>
      </c>
      <c r="AH79">
        <v>0</v>
      </c>
      <c r="AI79">
        <v>0</v>
      </c>
      <c r="AJ79">
        <v>0</v>
      </c>
      <c r="AN79" s="60"/>
    </row>
    <row r="80" spans="2:40" x14ac:dyDescent="0.25">
      <c r="B80" t="s">
        <v>646</v>
      </c>
      <c r="C80" s="60" t="s">
        <v>1353</v>
      </c>
      <c r="D80" t="s">
        <v>1562</v>
      </c>
      <c r="E80" t="s">
        <v>1563</v>
      </c>
      <c r="F80">
        <v>0</v>
      </c>
      <c r="G80">
        <v>10000</v>
      </c>
      <c r="H80">
        <v>0</v>
      </c>
      <c r="I80">
        <v>1</v>
      </c>
      <c r="J80">
        <v>1</v>
      </c>
      <c r="K80">
        <v>1</v>
      </c>
      <c r="L80">
        <v>1</v>
      </c>
      <c r="M80">
        <v>0.01</v>
      </c>
      <c r="O80" t="s">
        <v>282</v>
      </c>
      <c r="P80">
        <v>0</v>
      </c>
      <c r="Q80">
        <v>0</v>
      </c>
      <c r="R80">
        <v>1</v>
      </c>
      <c r="U80" t="s">
        <v>282</v>
      </c>
      <c r="V80">
        <v>0</v>
      </c>
      <c r="W80">
        <v>0</v>
      </c>
      <c r="X80">
        <v>1</v>
      </c>
      <c r="AA80" t="s">
        <v>282</v>
      </c>
      <c r="AB80">
        <v>0</v>
      </c>
      <c r="AC80">
        <v>0</v>
      </c>
      <c r="AD80">
        <v>1</v>
      </c>
      <c r="AG80" t="s">
        <v>282</v>
      </c>
      <c r="AH80">
        <v>0</v>
      </c>
      <c r="AI80">
        <v>0</v>
      </c>
      <c r="AJ80">
        <v>1</v>
      </c>
      <c r="AN80" s="60"/>
    </row>
    <row r="81" spans="2:44" x14ac:dyDescent="0.25">
      <c r="B81" t="s">
        <v>649</v>
      </c>
      <c r="C81" s="60" t="s">
        <v>1357</v>
      </c>
      <c r="D81" t="s">
        <v>1562</v>
      </c>
      <c r="E81" t="s">
        <v>1563</v>
      </c>
      <c r="F81">
        <v>0</v>
      </c>
      <c r="G81">
        <v>10000</v>
      </c>
      <c r="H81">
        <v>0</v>
      </c>
      <c r="I81">
        <v>1</v>
      </c>
      <c r="J81">
        <v>1</v>
      </c>
      <c r="K81">
        <v>1</v>
      </c>
      <c r="L81">
        <v>1</v>
      </c>
      <c r="M81">
        <v>0.01</v>
      </c>
      <c r="O81" t="s">
        <v>283</v>
      </c>
      <c r="P81">
        <v>0</v>
      </c>
      <c r="Q81">
        <v>0</v>
      </c>
      <c r="R81">
        <v>0</v>
      </c>
      <c r="U81" t="s">
        <v>283</v>
      </c>
      <c r="V81">
        <v>0</v>
      </c>
      <c r="W81">
        <v>0</v>
      </c>
      <c r="X81">
        <v>0</v>
      </c>
      <c r="AA81" t="s">
        <v>283</v>
      </c>
      <c r="AB81">
        <v>0</v>
      </c>
      <c r="AC81">
        <v>0</v>
      </c>
      <c r="AD81">
        <v>0</v>
      </c>
      <c r="AG81" t="s">
        <v>283</v>
      </c>
      <c r="AH81">
        <v>0</v>
      </c>
      <c r="AI81">
        <v>0</v>
      </c>
      <c r="AJ81">
        <v>0</v>
      </c>
      <c r="AN81" s="60"/>
    </row>
    <row r="82" spans="2:44" x14ac:dyDescent="0.25">
      <c r="B82" t="s">
        <v>653</v>
      </c>
      <c r="C82" s="60" t="s">
        <v>1362</v>
      </c>
      <c r="D82" t="s">
        <v>1562</v>
      </c>
      <c r="E82" t="s">
        <v>1563</v>
      </c>
      <c r="F82">
        <v>0</v>
      </c>
      <c r="G82">
        <v>10000</v>
      </c>
      <c r="H82">
        <v>0</v>
      </c>
      <c r="I82">
        <v>1</v>
      </c>
      <c r="J82">
        <v>1</v>
      </c>
      <c r="K82">
        <v>1</v>
      </c>
      <c r="L82">
        <v>1</v>
      </c>
      <c r="M82">
        <v>0.01</v>
      </c>
      <c r="O82" t="s">
        <v>284</v>
      </c>
      <c r="P82">
        <v>0</v>
      </c>
      <c r="Q82">
        <v>0</v>
      </c>
      <c r="R82">
        <v>1</v>
      </c>
      <c r="U82" t="s">
        <v>284</v>
      </c>
      <c r="V82">
        <v>0</v>
      </c>
      <c r="W82">
        <v>0</v>
      </c>
      <c r="X82">
        <v>1</v>
      </c>
      <c r="AA82" t="s">
        <v>284</v>
      </c>
      <c r="AB82">
        <v>0</v>
      </c>
      <c r="AC82">
        <v>0</v>
      </c>
      <c r="AD82">
        <v>1</v>
      </c>
      <c r="AG82" t="s">
        <v>284</v>
      </c>
      <c r="AH82">
        <v>0</v>
      </c>
      <c r="AI82">
        <v>0</v>
      </c>
      <c r="AJ82">
        <v>1</v>
      </c>
      <c r="AN82" s="60"/>
    </row>
    <row r="83" spans="2:44" x14ac:dyDescent="0.25">
      <c r="B83" t="s">
        <v>656</v>
      </c>
      <c r="C83" s="60" t="s">
        <v>1365</v>
      </c>
      <c r="D83" t="s">
        <v>1562</v>
      </c>
      <c r="E83" t="s">
        <v>1563</v>
      </c>
      <c r="F83">
        <v>0</v>
      </c>
      <c r="G83">
        <v>10000</v>
      </c>
      <c r="H83">
        <v>0</v>
      </c>
      <c r="I83">
        <v>1</v>
      </c>
      <c r="J83">
        <v>1</v>
      </c>
      <c r="K83">
        <v>1</v>
      </c>
      <c r="L83">
        <v>1</v>
      </c>
      <c r="M83">
        <v>0.01</v>
      </c>
      <c r="O83" t="s">
        <v>285</v>
      </c>
      <c r="P83">
        <v>0</v>
      </c>
      <c r="Q83">
        <v>0</v>
      </c>
      <c r="R83">
        <v>0</v>
      </c>
      <c r="U83" t="s">
        <v>285</v>
      </c>
      <c r="V83">
        <v>0</v>
      </c>
      <c r="W83">
        <v>0</v>
      </c>
      <c r="X83">
        <v>0</v>
      </c>
      <c r="AA83" t="s">
        <v>285</v>
      </c>
      <c r="AB83">
        <v>0</v>
      </c>
      <c r="AC83">
        <v>0</v>
      </c>
      <c r="AD83">
        <v>0</v>
      </c>
      <c r="AG83" t="s">
        <v>285</v>
      </c>
      <c r="AH83">
        <v>0</v>
      </c>
      <c r="AI83">
        <v>0</v>
      </c>
      <c r="AJ83">
        <v>0</v>
      </c>
      <c r="AN83" s="60"/>
    </row>
    <row r="84" spans="2:44" x14ac:dyDescent="0.25">
      <c r="B84" t="s">
        <v>660</v>
      </c>
      <c r="C84" s="60" t="s">
        <v>1374</v>
      </c>
      <c r="D84" t="s">
        <v>1562</v>
      </c>
      <c r="E84" t="s">
        <v>1563</v>
      </c>
      <c r="F84">
        <v>0</v>
      </c>
      <c r="G84">
        <v>10000</v>
      </c>
      <c r="H84">
        <v>0</v>
      </c>
      <c r="I84">
        <v>1</v>
      </c>
      <c r="J84">
        <v>1</v>
      </c>
      <c r="K84">
        <v>1</v>
      </c>
      <c r="L84">
        <v>1</v>
      </c>
      <c r="M84">
        <v>0.01</v>
      </c>
      <c r="O84" t="s">
        <v>661</v>
      </c>
      <c r="P84">
        <v>0</v>
      </c>
      <c r="Q84">
        <v>0</v>
      </c>
      <c r="R84">
        <v>0</v>
      </c>
      <c r="U84" t="s">
        <v>661</v>
      </c>
      <c r="V84">
        <v>0</v>
      </c>
      <c r="W84">
        <v>0</v>
      </c>
      <c r="X84">
        <v>0</v>
      </c>
      <c r="AA84" t="s">
        <v>661</v>
      </c>
      <c r="AB84">
        <v>0</v>
      </c>
      <c r="AC84">
        <v>0</v>
      </c>
      <c r="AD84">
        <v>0</v>
      </c>
      <c r="AG84" t="s">
        <v>661</v>
      </c>
      <c r="AH84">
        <v>0</v>
      </c>
      <c r="AI84">
        <v>0</v>
      </c>
      <c r="AJ84">
        <v>0</v>
      </c>
      <c r="AN84" s="60"/>
    </row>
    <row r="85" spans="2:44" x14ac:dyDescent="0.25">
      <c r="B85" t="s">
        <v>665</v>
      </c>
      <c r="C85" s="60" t="s">
        <v>1378</v>
      </c>
      <c r="D85" t="s">
        <v>1562</v>
      </c>
      <c r="E85" t="s">
        <v>1563</v>
      </c>
      <c r="F85">
        <v>0</v>
      </c>
      <c r="G85">
        <v>10000</v>
      </c>
      <c r="H85">
        <v>0</v>
      </c>
      <c r="I85">
        <v>1</v>
      </c>
      <c r="J85">
        <v>1</v>
      </c>
      <c r="K85">
        <v>1</v>
      </c>
      <c r="L85">
        <v>1</v>
      </c>
      <c r="M85">
        <v>0.01</v>
      </c>
      <c r="O85" t="s">
        <v>287</v>
      </c>
      <c r="P85">
        <v>0</v>
      </c>
      <c r="Q85">
        <v>0</v>
      </c>
      <c r="R85">
        <v>0</v>
      </c>
      <c r="U85" t="s">
        <v>287</v>
      </c>
      <c r="V85">
        <v>0</v>
      </c>
      <c r="W85">
        <v>0</v>
      </c>
      <c r="X85">
        <v>0</v>
      </c>
      <c r="AA85" t="s">
        <v>287</v>
      </c>
      <c r="AB85">
        <v>0</v>
      </c>
      <c r="AC85">
        <v>0</v>
      </c>
      <c r="AD85">
        <v>0</v>
      </c>
      <c r="AG85" t="s">
        <v>287</v>
      </c>
      <c r="AH85">
        <v>0</v>
      </c>
      <c r="AI85">
        <v>0</v>
      </c>
      <c r="AJ85">
        <v>0</v>
      </c>
      <c r="AN85" s="60"/>
    </row>
    <row r="86" spans="2:44" x14ac:dyDescent="0.25">
      <c r="B86" t="s">
        <v>668</v>
      </c>
      <c r="C86" s="60" t="s">
        <v>1384</v>
      </c>
      <c r="D86" t="s">
        <v>1562</v>
      </c>
      <c r="E86" t="s">
        <v>1563</v>
      </c>
      <c r="F86">
        <v>-10000</v>
      </c>
      <c r="G86">
        <v>10000</v>
      </c>
      <c r="H86">
        <v>0</v>
      </c>
      <c r="I86">
        <v>1</v>
      </c>
      <c r="J86">
        <v>1</v>
      </c>
      <c r="K86">
        <v>1</v>
      </c>
      <c r="L86">
        <v>1</v>
      </c>
      <c r="M86">
        <v>0.01</v>
      </c>
      <c r="O86" t="s">
        <v>33</v>
      </c>
      <c r="P86">
        <v>0</v>
      </c>
      <c r="Q86">
        <v>0</v>
      </c>
      <c r="R86">
        <v>0</v>
      </c>
      <c r="U86" t="s">
        <v>33</v>
      </c>
      <c r="V86">
        <v>0</v>
      </c>
      <c r="W86">
        <v>0</v>
      </c>
      <c r="X86">
        <v>0</v>
      </c>
      <c r="AA86" t="s">
        <v>33</v>
      </c>
      <c r="AB86">
        <v>0</v>
      </c>
      <c r="AC86">
        <v>0</v>
      </c>
      <c r="AD86">
        <v>0</v>
      </c>
      <c r="AG86" t="s">
        <v>33</v>
      </c>
      <c r="AH86">
        <v>0</v>
      </c>
      <c r="AI86">
        <v>0</v>
      </c>
      <c r="AJ86">
        <v>0</v>
      </c>
      <c r="AN86" s="60"/>
    </row>
    <row r="87" spans="2:44" x14ac:dyDescent="0.25">
      <c r="B87" t="s">
        <v>672</v>
      </c>
      <c r="C87" t="s">
        <v>1389</v>
      </c>
      <c r="D87" t="s">
        <v>1562</v>
      </c>
      <c r="E87" t="s">
        <v>1563</v>
      </c>
      <c r="F87">
        <v>0</v>
      </c>
      <c r="G87">
        <v>10000</v>
      </c>
      <c r="H87">
        <v>0</v>
      </c>
      <c r="I87">
        <v>1</v>
      </c>
      <c r="J87">
        <v>1</v>
      </c>
      <c r="K87">
        <v>1</v>
      </c>
      <c r="L87">
        <v>1</v>
      </c>
      <c r="M87">
        <v>0.01</v>
      </c>
      <c r="O87" t="s">
        <v>288</v>
      </c>
      <c r="P87">
        <v>0</v>
      </c>
      <c r="Q87">
        <v>0</v>
      </c>
      <c r="R87">
        <v>0</v>
      </c>
      <c r="U87" t="s">
        <v>288</v>
      </c>
      <c r="V87">
        <v>0</v>
      </c>
      <c r="W87">
        <v>0</v>
      </c>
      <c r="X87">
        <v>0</v>
      </c>
      <c r="AA87" t="s">
        <v>288</v>
      </c>
      <c r="AB87">
        <v>0</v>
      </c>
      <c r="AC87">
        <v>0</v>
      </c>
      <c r="AD87">
        <v>0</v>
      </c>
      <c r="AG87" t="s">
        <v>288</v>
      </c>
      <c r="AH87">
        <v>0</v>
      </c>
      <c r="AI87">
        <v>0</v>
      </c>
      <c r="AJ87">
        <v>0</v>
      </c>
    </row>
    <row r="88" spans="2:44" x14ac:dyDescent="0.25">
      <c r="B88" t="s">
        <v>676</v>
      </c>
      <c r="C88" t="s">
        <v>1393</v>
      </c>
      <c r="D88" t="s">
        <v>1562</v>
      </c>
      <c r="E88" t="s">
        <v>1563</v>
      </c>
      <c r="F88">
        <v>0</v>
      </c>
      <c r="G88">
        <v>10000</v>
      </c>
      <c r="H88">
        <v>0</v>
      </c>
      <c r="I88">
        <v>1</v>
      </c>
      <c r="J88">
        <v>1</v>
      </c>
      <c r="K88">
        <v>1</v>
      </c>
      <c r="L88">
        <v>1</v>
      </c>
      <c r="M88">
        <v>0.01</v>
      </c>
      <c r="O88" t="s">
        <v>289</v>
      </c>
      <c r="P88">
        <v>0</v>
      </c>
      <c r="Q88">
        <v>0</v>
      </c>
      <c r="R88" s="3">
        <v>0</v>
      </c>
      <c r="U88" t="s">
        <v>289</v>
      </c>
      <c r="V88">
        <v>0</v>
      </c>
      <c r="W88">
        <v>0</v>
      </c>
      <c r="X88" s="3">
        <v>0</v>
      </c>
      <c r="AA88" t="s">
        <v>289</v>
      </c>
      <c r="AB88">
        <v>0</v>
      </c>
      <c r="AC88">
        <v>0</v>
      </c>
      <c r="AD88" s="3">
        <v>0</v>
      </c>
      <c r="AG88" t="s">
        <v>289</v>
      </c>
      <c r="AH88">
        <v>0</v>
      </c>
      <c r="AI88">
        <v>0</v>
      </c>
      <c r="AJ88" s="3">
        <v>0</v>
      </c>
    </row>
    <row r="89" spans="2:44" x14ac:dyDescent="0.25">
      <c r="B89" t="s">
        <v>679</v>
      </c>
      <c r="C89" s="69" t="s">
        <v>1397</v>
      </c>
      <c r="D89" t="s">
        <v>1562</v>
      </c>
      <c r="E89" t="s">
        <v>1563</v>
      </c>
      <c r="F89" s="71">
        <v>-10000</v>
      </c>
      <c r="G89">
        <v>10000</v>
      </c>
      <c r="H89">
        <v>0</v>
      </c>
      <c r="I89">
        <v>1</v>
      </c>
      <c r="J89">
        <v>1</v>
      </c>
      <c r="K89">
        <v>1</v>
      </c>
      <c r="L89">
        <v>1</v>
      </c>
      <c r="M89">
        <v>0.01</v>
      </c>
      <c r="O89" t="s">
        <v>175</v>
      </c>
      <c r="P89">
        <v>0</v>
      </c>
      <c r="Q89">
        <v>0</v>
      </c>
      <c r="R89">
        <v>0</v>
      </c>
      <c r="U89" t="s">
        <v>175</v>
      </c>
      <c r="V89">
        <v>0</v>
      </c>
      <c r="W89">
        <v>0</v>
      </c>
      <c r="X89">
        <v>0</v>
      </c>
      <c r="AA89" t="s">
        <v>175</v>
      </c>
      <c r="AB89">
        <v>0</v>
      </c>
      <c r="AC89">
        <v>0</v>
      </c>
      <c r="AD89">
        <v>0</v>
      </c>
      <c r="AG89" t="s">
        <v>175</v>
      </c>
      <c r="AH89">
        <v>0</v>
      </c>
      <c r="AI89">
        <v>0</v>
      </c>
      <c r="AJ89">
        <v>0</v>
      </c>
      <c r="AN89" s="69"/>
      <c r="AQ89" s="84"/>
      <c r="AR89" s="84"/>
    </row>
    <row r="90" spans="2:44" x14ac:dyDescent="0.25">
      <c r="B90" t="s">
        <v>682</v>
      </c>
      <c r="C90" t="s">
        <v>1401</v>
      </c>
      <c r="D90" t="s">
        <v>1562</v>
      </c>
      <c r="E90" t="s">
        <v>1563</v>
      </c>
      <c r="F90">
        <v>0</v>
      </c>
      <c r="G90">
        <v>10000</v>
      </c>
      <c r="H90">
        <v>0</v>
      </c>
      <c r="I90">
        <v>1</v>
      </c>
      <c r="J90">
        <v>1</v>
      </c>
      <c r="K90">
        <v>1</v>
      </c>
      <c r="L90">
        <v>1</v>
      </c>
      <c r="M90">
        <v>0.01</v>
      </c>
      <c r="O90" t="s">
        <v>290</v>
      </c>
      <c r="P90">
        <v>0</v>
      </c>
      <c r="Q90">
        <v>0</v>
      </c>
      <c r="R90" s="3">
        <v>0</v>
      </c>
      <c r="U90" t="s">
        <v>290</v>
      </c>
      <c r="V90">
        <v>0</v>
      </c>
      <c r="W90">
        <v>0</v>
      </c>
      <c r="X90" s="3">
        <v>0</v>
      </c>
      <c r="AA90" t="s">
        <v>290</v>
      </c>
      <c r="AB90">
        <v>0</v>
      </c>
      <c r="AC90">
        <v>0</v>
      </c>
      <c r="AD90" s="3">
        <v>0</v>
      </c>
      <c r="AG90" t="s">
        <v>290</v>
      </c>
      <c r="AH90">
        <v>0</v>
      </c>
      <c r="AI90">
        <v>0</v>
      </c>
      <c r="AJ90" s="3">
        <v>0</v>
      </c>
    </row>
    <row r="91" spans="2:44" x14ac:dyDescent="0.25">
      <c r="B91" t="s">
        <v>685</v>
      </c>
      <c r="C91" t="s">
        <v>1407</v>
      </c>
      <c r="D91" t="s">
        <v>1562</v>
      </c>
      <c r="E91" t="s">
        <v>1563</v>
      </c>
      <c r="F91">
        <v>0</v>
      </c>
      <c r="G91">
        <v>10000</v>
      </c>
      <c r="H91">
        <v>0</v>
      </c>
      <c r="I91">
        <v>1</v>
      </c>
      <c r="J91">
        <v>1</v>
      </c>
      <c r="K91">
        <v>1</v>
      </c>
      <c r="L91">
        <v>1</v>
      </c>
      <c r="M91">
        <v>0.01</v>
      </c>
      <c r="O91" t="s">
        <v>291</v>
      </c>
      <c r="P91">
        <v>0</v>
      </c>
      <c r="Q91">
        <v>0</v>
      </c>
      <c r="R91">
        <v>0</v>
      </c>
      <c r="U91" t="s">
        <v>291</v>
      </c>
      <c r="V91">
        <v>0</v>
      </c>
      <c r="W91">
        <v>0</v>
      </c>
      <c r="X91">
        <v>0</v>
      </c>
      <c r="AA91" t="s">
        <v>291</v>
      </c>
      <c r="AB91">
        <v>0</v>
      </c>
      <c r="AC91">
        <v>0</v>
      </c>
      <c r="AD91">
        <v>0</v>
      </c>
      <c r="AG91" t="s">
        <v>291</v>
      </c>
      <c r="AH91">
        <v>0</v>
      </c>
      <c r="AI91">
        <v>0</v>
      </c>
      <c r="AJ91">
        <v>0</v>
      </c>
    </row>
    <row r="92" spans="2:44" x14ac:dyDescent="0.25">
      <c r="B92" t="s">
        <v>689</v>
      </c>
      <c r="C92" t="s">
        <v>1412</v>
      </c>
      <c r="D92" t="s">
        <v>1562</v>
      </c>
      <c r="E92" t="s">
        <v>1563</v>
      </c>
      <c r="F92">
        <v>0</v>
      </c>
      <c r="G92">
        <v>10000</v>
      </c>
      <c r="H92">
        <v>0</v>
      </c>
      <c r="I92">
        <v>1</v>
      </c>
      <c r="J92">
        <v>1</v>
      </c>
      <c r="K92">
        <v>1</v>
      </c>
      <c r="L92">
        <v>1</v>
      </c>
      <c r="M92">
        <v>0.01</v>
      </c>
      <c r="O92" t="s">
        <v>292</v>
      </c>
      <c r="P92">
        <v>0</v>
      </c>
      <c r="Q92">
        <v>0</v>
      </c>
      <c r="R92">
        <v>1</v>
      </c>
      <c r="U92" t="s">
        <v>292</v>
      </c>
      <c r="V92">
        <v>0</v>
      </c>
      <c r="W92">
        <v>0</v>
      </c>
      <c r="X92">
        <v>1</v>
      </c>
      <c r="AA92" t="s">
        <v>292</v>
      </c>
      <c r="AB92">
        <v>0</v>
      </c>
      <c r="AC92">
        <v>0</v>
      </c>
      <c r="AD92">
        <v>1</v>
      </c>
      <c r="AG92" t="s">
        <v>292</v>
      </c>
      <c r="AH92">
        <v>0</v>
      </c>
      <c r="AI92">
        <v>0</v>
      </c>
      <c r="AJ92">
        <v>1</v>
      </c>
    </row>
    <row r="93" spans="2:44" x14ac:dyDescent="0.25">
      <c r="B93" t="s">
        <v>692</v>
      </c>
      <c r="C93" t="s">
        <v>1417</v>
      </c>
      <c r="D93" t="s">
        <v>1562</v>
      </c>
      <c r="E93" t="s">
        <v>1563</v>
      </c>
      <c r="F93">
        <v>0</v>
      </c>
      <c r="G93">
        <v>10000</v>
      </c>
      <c r="H93">
        <v>0</v>
      </c>
      <c r="I93">
        <v>1</v>
      </c>
      <c r="J93">
        <v>1</v>
      </c>
      <c r="K93">
        <v>1</v>
      </c>
      <c r="L93">
        <v>1</v>
      </c>
      <c r="M93">
        <v>0.01</v>
      </c>
      <c r="O93" t="s">
        <v>293</v>
      </c>
      <c r="P93">
        <v>0</v>
      </c>
      <c r="Q93">
        <v>0</v>
      </c>
      <c r="R93">
        <v>1</v>
      </c>
      <c r="U93" t="s">
        <v>293</v>
      </c>
      <c r="V93">
        <v>0</v>
      </c>
      <c r="W93">
        <v>0</v>
      </c>
      <c r="X93">
        <v>1</v>
      </c>
      <c r="AA93" t="s">
        <v>293</v>
      </c>
      <c r="AB93">
        <v>0</v>
      </c>
      <c r="AC93">
        <v>0</v>
      </c>
      <c r="AD93">
        <v>1</v>
      </c>
      <c r="AG93" t="s">
        <v>293</v>
      </c>
      <c r="AH93">
        <v>0</v>
      </c>
      <c r="AI93">
        <v>0</v>
      </c>
      <c r="AJ93">
        <v>1</v>
      </c>
    </row>
    <row r="94" spans="2:44" x14ac:dyDescent="0.25">
      <c r="B94" t="s">
        <v>695</v>
      </c>
      <c r="C94" t="s">
        <v>1424</v>
      </c>
      <c r="D94" t="s">
        <v>1562</v>
      </c>
      <c r="E94" t="s">
        <v>1563</v>
      </c>
      <c r="F94">
        <v>0</v>
      </c>
      <c r="G94">
        <v>10000</v>
      </c>
      <c r="H94">
        <v>0</v>
      </c>
      <c r="I94">
        <v>1</v>
      </c>
      <c r="J94">
        <v>1</v>
      </c>
      <c r="K94">
        <v>1</v>
      </c>
      <c r="L94">
        <v>1</v>
      </c>
      <c r="M94">
        <v>0.01</v>
      </c>
      <c r="O94" t="s">
        <v>294</v>
      </c>
      <c r="P94">
        <v>0</v>
      </c>
      <c r="Q94">
        <v>0</v>
      </c>
      <c r="R94">
        <v>0</v>
      </c>
      <c r="U94" t="s">
        <v>294</v>
      </c>
      <c r="V94">
        <v>0</v>
      </c>
      <c r="W94">
        <v>0</v>
      </c>
      <c r="X94">
        <v>0</v>
      </c>
      <c r="AA94" t="s">
        <v>294</v>
      </c>
      <c r="AB94">
        <v>0</v>
      </c>
      <c r="AC94">
        <v>0</v>
      </c>
      <c r="AD94">
        <v>0</v>
      </c>
      <c r="AG94" t="s">
        <v>294</v>
      </c>
      <c r="AH94">
        <v>0</v>
      </c>
      <c r="AI94">
        <v>0</v>
      </c>
      <c r="AJ94">
        <v>0</v>
      </c>
    </row>
    <row r="95" spans="2:44" x14ac:dyDescent="0.25">
      <c r="B95" t="s">
        <v>698</v>
      </c>
      <c r="C95" t="s">
        <v>1429</v>
      </c>
      <c r="D95" t="s">
        <v>1562</v>
      </c>
      <c r="E95" t="s">
        <v>1563</v>
      </c>
      <c r="F95">
        <v>0</v>
      </c>
      <c r="G95">
        <v>10000</v>
      </c>
      <c r="H95">
        <v>0</v>
      </c>
      <c r="I95">
        <v>1</v>
      </c>
      <c r="J95">
        <v>1</v>
      </c>
      <c r="K95">
        <v>1</v>
      </c>
      <c r="L95">
        <v>1</v>
      </c>
      <c r="M95">
        <v>0.01</v>
      </c>
      <c r="O95" t="s">
        <v>132</v>
      </c>
      <c r="P95">
        <v>0</v>
      </c>
      <c r="Q95">
        <v>0</v>
      </c>
      <c r="R95">
        <v>0</v>
      </c>
      <c r="U95" t="s">
        <v>132</v>
      </c>
      <c r="V95">
        <v>0</v>
      </c>
      <c r="W95">
        <v>0</v>
      </c>
      <c r="X95">
        <v>0</v>
      </c>
      <c r="AA95" t="s">
        <v>132</v>
      </c>
      <c r="AB95">
        <v>0</v>
      </c>
      <c r="AC95">
        <v>0</v>
      </c>
      <c r="AD95">
        <v>0</v>
      </c>
      <c r="AG95" t="s">
        <v>132</v>
      </c>
      <c r="AH95">
        <v>0</v>
      </c>
      <c r="AI95">
        <v>0</v>
      </c>
      <c r="AJ95">
        <v>0</v>
      </c>
    </row>
    <row r="96" spans="2:44" x14ac:dyDescent="0.25">
      <c r="B96" t="s">
        <v>701</v>
      </c>
      <c r="C96" t="s">
        <v>1435</v>
      </c>
      <c r="D96" t="s">
        <v>1562</v>
      </c>
      <c r="E96" t="s">
        <v>1563</v>
      </c>
      <c r="F96">
        <v>0</v>
      </c>
      <c r="G96">
        <v>10000</v>
      </c>
      <c r="H96">
        <v>0</v>
      </c>
      <c r="I96">
        <v>1</v>
      </c>
      <c r="J96">
        <v>1</v>
      </c>
      <c r="K96">
        <v>1</v>
      </c>
      <c r="L96">
        <v>1</v>
      </c>
      <c r="M96">
        <v>0.01</v>
      </c>
      <c r="O96" t="s">
        <v>702</v>
      </c>
      <c r="P96">
        <v>0</v>
      </c>
      <c r="Q96">
        <v>0</v>
      </c>
      <c r="R96">
        <v>1</v>
      </c>
      <c r="U96" t="s">
        <v>702</v>
      </c>
      <c r="V96">
        <v>0</v>
      </c>
      <c r="W96">
        <v>0</v>
      </c>
      <c r="X96">
        <v>1</v>
      </c>
      <c r="AA96" t="s">
        <v>702</v>
      </c>
      <c r="AB96">
        <v>0</v>
      </c>
      <c r="AC96">
        <v>0</v>
      </c>
      <c r="AD96">
        <v>1</v>
      </c>
      <c r="AG96" t="s">
        <v>702</v>
      </c>
      <c r="AH96">
        <v>0</v>
      </c>
      <c r="AI96">
        <v>0</v>
      </c>
      <c r="AJ96">
        <v>1</v>
      </c>
    </row>
    <row r="97" spans="2:40" x14ac:dyDescent="0.25">
      <c r="B97" t="s">
        <v>705</v>
      </c>
      <c r="C97" t="s">
        <v>1440</v>
      </c>
      <c r="D97" t="s">
        <v>1562</v>
      </c>
      <c r="E97" t="s">
        <v>1563</v>
      </c>
      <c r="F97">
        <v>0</v>
      </c>
      <c r="G97">
        <v>10000</v>
      </c>
      <c r="H97">
        <v>0</v>
      </c>
      <c r="I97">
        <v>1</v>
      </c>
      <c r="J97">
        <v>1</v>
      </c>
      <c r="K97">
        <v>1</v>
      </c>
      <c r="L97">
        <v>1</v>
      </c>
      <c r="M97">
        <v>0.01</v>
      </c>
      <c r="O97" t="s">
        <v>297</v>
      </c>
      <c r="P97">
        <v>0</v>
      </c>
      <c r="Q97">
        <v>0</v>
      </c>
      <c r="R97">
        <v>0</v>
      </c>
      <c r="U97" t="s">
        <v>297</v>
      </c>
      <c r="V97">
        <v>0</v>
      </c>
      <c r="W97">
        <v>0</v>
      </c>
      <c r="X97">
        <v>0</v>
      </c>
      <c r="AA97" t="s">
        <v>297</v>
      </c>
      <c r="AB97">
        <v>0</v>
      </c>
      <c r="AC97">
        <v>0</v>
      </c>
      <c r="AD97">
        <v>0</v>
      </c>
      <c r="AG97" t="s">
        <v>297</v>
      </c>
      <c r="AH97">
        <v>0</v>
      </c>
      <c r="AI97">
        <v>0</v>
      </c>
      <c r="AJ97">
        <v>0</v>
      </c>
    </row>
    <row r="98" spans="2:40" x14ac:dyDescent="0.25">
      <c r="B98" t="s">
        <v>709</v>
      </c>
      <c r="C98" t="s">
        <v>1444</v>
      </c>
      <c r="D98" t="s">
        <v>1562</v>
      </c>
      <c r="E98" t="s">
        <v>1563</v>
      </c>
      <c r="F98">
        <v>-10000</v>
      </c>
      <c r="G98">
        <v>10000</v>
      </c>
      <c r="H98">
        <v>0</v>
      </c>
      <c r="I98">
        <v>1</v>
      </c>
      <c r="J98">
        <v>1</v>
      </c>
      <c r="K98">
        <v>1</v>
      </c>
      <c r="L98">
        <v>1</v>
      </c>
      <c r="M98">
        <v>0.01</v>
      </c>
      <c r="O98" t="s">
        <v>298</v>
      </c>
      <c r="P98">
        <v>0</v>
      </c>
      <c r="Q98">
        <v>0</v>
      </c>
      <c r="R98">
        <v>1</v>
      </c>
      <c r="U98" t="s">
        <v>298</v>
      </c>
      <c r="V98">
        <v>0</v>
      </c>
      <c r="W98">
        <v>0</v>
      </c>
      <c r="X98">
        <v>1</v>
      </c>
      <c r="AA98" t="s">
        <v>298</v>
      </c>
      <c r="AB98">
        <v>0</v>
      </c>
      <c r="AC98">
        <v>0</v>
      </c>
      <c r="AD98">
        <v>1</v>
      </c>
      <c r="AG98" t="s">
        <v>298</v>
      </c>
      <c r="AH98">
        <v>0</v>
      </c>
      <c r="AI98">
        <v>0</v>
      </c>
      <c r="AJ98">
        <v>1</v>
      </c>
    </row>
    <row r="99" spans="2:40" x14ac:dyDescent="0.25">
      <c r="B99" t="s">
        <v>712</v>
      </c>
      <c r="C99" t="s">
        <v>1446</v>
      </c>
      <c r="D99" t="s">
        <v>1562</v>
      </c>
      <c r="E99" t="s">
        <v>1563</v>
      </c>
      <c r="F99">
        <v>0</v>
      </c>
      <c r="G99">
        <v>10000</v>
      </c>
      <c r="H99">
        <v>0</v>
      </c>
      <c r="I99">
        <v>1</v>
      </c>
      <c r="J99">
        <v>1</v>
      </c>
      <c r="K99">
        <v>1</v>
      </c>
      <c r="L99">
        <v>1</v>
      </c>
      <c r="M99">
        <v>0.01</v>
      </c>
      <c r="O99" t="s">
        <v>141</v>
      </c>
      <c r="P99">
        <v>0</v>
      </c>
      <c r="Q99">
        <v>0</v>
      </c>
      <c r="R99">
        <v>0</v>
      </c>
      <c r="U99" t="s">
        <v>141</v>
      </c>
      <c r="V99">
        <v>0</v>
      </c>
      <c r="W99">
        <v>0</v>
      </c>
      <c r="X99">
        <v>0</v>
      </c>
      <c r="AA99" t="s">
        <v>141</v>
      </c>
      <c r="AB99">
        <v>0</v>
      </c>
      <c r="AC99">
        <v>0</v>
      </c>
      <c r="AD99">
        <v>0</v>
      </c>
      <c r="AG99" t="s">
        <v>141</v>
      </c>
      <c r="AH99">
        <v>0</v>
      </c>
      <c r="AI99">
        <v>0</v>
      </c>
      <c r="AJ99">
        <v>0</v>
      </c>
    </row>
    <row r="100" spans="2:40" x14ac:dyDescent="0.25">
      <c r="B100" t="s">
        <v>254</v>
      </c>
      <c r="C100" s="60" t="s">
        <v>1450</v>
      </c>
      <c r="D100" t="s">
        <v>1562</v>
      </c>
      <c r="E100" t="s">
        <v>1563</v>
      </c>
      <c r="F100">
        <v>0</v>
      </c>
      <c r="G100">
        <v>10000</v>
      </c>
      <c r="H100">
        <v>0</v>
      </c>
      <c r="I100">
        <v>1</v>
      </c>
      <c r="J100">
        <v>1</v>
      </c>
      <c r="K100">
        <v>1</v>
      </c>
      <c r="L100">
        <v>1</v>
      </c>
      <c r="M100">
        <v>0.01</v>
      </c>
      <c r="O100" t="s">
        <v>299</v>
      </c>
      <c r="P100">
        <v>0</v>
      </c>
      <c r="Q100">
        <v>0</v>
      </c>
      <c r="R100">
        <v>1</v>
      </c>
      <c r="U100" t="s">
        <v>299</v>
      </c>
      <c r="V100">
        <v>0</v>
      </c>
      <c r="W100">
        <v>0</v>
      </c>
      <c r="X100">
        <v>1</v>
      </c>
      <c r="AA100" t="s">
        <v>299</v>
      </c>
      <c r="AB100">
        <v>0</v>
      </c>
      <c r="AC100">
        <v>0</v>
      </c>
      <c r="AD100">
        <v>1</v>
      </c>
      <c r="AG100" t="s">
        <v>299</v>
      </c>
      <c r="AH100">
        <v>0</v>
      </c>
      <c r="AI100">
        <v>0</v>
      </c>
      <c r="AJ100">
        <v>1</v>
      </c>
      <c r="AN100" s="60"/>
    </row>
    <row r="101" spans="2:40" x14ac:dyDescent="0.25">
      <c r="B101" t="s">
        <v>718</v>
      </c>
      <c r="C101" s="73" t="s">
        <v>1453</v>
      </c>
      <c r="D101" t="s">
        <v>1562</v>
      </c>
      <c r="E101" t="s">
        <v>1563</v>
      </c>
      <c r="F101">
        <v>0</v>
      </c>
      <c r="G101">
        <v>10000</v>
      </c>
      <c r="H101">
        <v>0</v>
      </c>
      <c r="I101">
        <v>1</v>
      </c>
      <c r="J101">
        <v>1</v>
      </c>
      <c r="K101">
        <v>1</v>
      </c>
      <c r="L101">
        <v>1</v>
      </c>
      <c r="M101">
        <v>0.01</v>
      </c>
      <c r="O101" t="s">
        <v>719</v>
      </c>
      <c r="P101">
        <v>0</v>
      </c>
      <c r="Q101">
        <v>0</v>
      </c>
      <c r="R101">
        <v>0</v>
      </c>
      <c r="U101" t="s">
        <v>719</v>
      </c>
      <c r="V101">
        <v>0</v>
      </c>
      <c r="W101">
        <v>0</v>
      </c>
      <c r="X101">
        <v>0</v>
      </c>
      <c r="AA101" t="s">
        <v>719</v>
      </c>
      <c r="AB101">
        <v>0</v>
      </c>
      <c r="AC101">
        <v>0</v>
      </c>
      <c r="AD101">
        <v>0</v>
      </c>
      <c r="AG101" t="s">
        <v>719</v>
      </c>
      <c r="AH101">
        <v>0</v>
      </c>
      <c r="AI101">
        <v>0</v>
      </c>
      <c r="AJ101">
        <v>0</v>
      </c>
      <c r="AN101" s="86"/>
    </row>
    <row r="102" spans="2:40" x14ac:dyDescent="0.25">
      <c r="B102" t="s">
        <v>722</v>
      </c>
      <c r="C102" s="60" t="s">
        <v>1456</v>
      </c>
      <c r="D102" t="s">
        <v>1562</v>
      </c>
      <c r="E102" t="s">
        <v>1563</v>
      </c>
      <c r="F102">
        <v>0</v>
      </c>
      <c r="G102">
        <v>10000</v>
      </c>
      <c r="H102">
        <v>0</v>
      </c>
      <c r="I102">
        <v>1</v>
      </c>
      <c r="J102">
        <v>1</v>
      </c>
      <c r="K102">
        <v>1</v>
      </c>
      <c r="L102">
        <v>1</v>
      </c>
      <c r="M102">
        <v>0.01</v>
      </c>
      <c r="O102" t="s">
        <v>301</v>
      </c>
      <c r="P102">
        <v>0</v>
      </c>
      <c r="Q102">
        <v>0</v>
      </c>
      <c r="R102">
        <v>0</v>
      </c>
      <c r="U102" t="s">
        <v>301</v>
      </c>
      <c r="V102">
        <v>0</v>
      </c>
      <c r="W102">
        <v>0</v>
      </c>
      <c r="X102">
        <v>0</v>
      </c>
      <c r="AA102" t="s">
        <v>301</v>
      </c>
      <c r="AB102">
        <v>0</v>
      </c>
      <c r="AC102">
        <v>0</v>
      </c>
      <c r="AD102">
        <v>0</v>
      </c>
      <c r="AG102" t="s">
        <v>301</v>
      </c>
      <c r="AH102">
        <v>0</v>
      </c>
      <c r="AI102">
        <v>0</v>
      </c>
      <c r="AJ102">
        <v>0</v>
      </c>
      <c r="AN102" s="60"/>
    </row>
    <row r="103" spans="2:40" x14ac:dyDescent="0.25">
      <c r="B103" t="s">
        <v>726</v>
      </c>
      <c r="C103" t="s">
        <v>1461</v>
      </c>
      <c r="D103" t="s">
        <v>1562</v>
      </c>
      <c r="E103" t="s">
        <v>1563</v>
      </c>
      <c r="F103">
        <v>-10000</v>
      </c>
      <c r="G103">
        <v>10000</v>
      </c>
      <c r="H103">
        <v>0</v>
      </c>
      <c r="I103">
        <v>1</v>
      </c>
      <c r="J103">
        <v>1</v>
      </c>
      <c r="K103">
        <v>1</v>
      </c>
      <c r="L103">
        <v>1</v>
      </c>
      <c r="M103">
        <v>0.01</v>
      </c>
      <c r="O103" t="s">
        <v>302</v>
      </c>
      <c r="P103">
        <v>0</v>
      </c>
      <c r="Q103">
        <v>0</v>
      </c>
      <c r="R103" s="7">
        <v>0</v>
      </c>
      <c r="U103" t="s">
        <v>302</v>
      </c>
      <c r="V103">
        <v>0</v>
      </c>
      <c r="W103">
        <v>0</v>
      </c>
      <c r="X103" s="7">
        <v>0</v>
      </c>
      <c r="AA103" t="s">
        <v>302</v>
      </c>
      <c r="AB103">
        <v>0</v>
      </c>
      <c r="AC103">
        <v>0</v>
      </c>
      <c r="AD103" s="7">
        <v>0</v>
      </c>
      <c r="AG103" t="s">
        <v>302</v>
      </c>
      <c r="AH103">
        <v>0</v>
      </c>
      <c r="AI103">
        <v>0</v>
      </c>
      <c r="AJ103" s="7">
        <v>0</v>
      </c>
    </row>
    <row r="104" spans="2:40" x14ac:dyDescent="0.25">
      <c r="B104" t="s">
        <v>729</v>
      </c>
      <c r="C104" t="s">
        <v>1465</v>
      </c>
      <c r="D104" t="s">
        <v>1562</v>
      </c>
      <c r="E104" t="s">
        <v>1563</v>
      </c>
      <c r="F104">
        <v>0</v>
      </c>
      <c r="G104">
        <v>10000</v>
      </c>
      <c r="H104">
        <v>0</v>
      </c>
      <c r="I104">
        <v>1</v>
      </c>
      <c r="J104">
        <v>1</v>
      </c>
      <c r="K104">
        <v>1</v>
      </c>
      <c r="L104">
        <v>1</v>
      </c>
      <c r="M104">
        <v>0.01</v>
      </c>
      <c r="O104" t="s">
        <v>303</v>
      </c>
      <c r="P104">
        <v>0</v>
      </c>
      <c r="Q104">
        <v>0</v>
      </c>
      <c r="R104">
        <v>0</v>
      </c>
      <c r="U104" t="s">
        <v>303</v>
      </c>
      <c r="V104">
        <v>0</v>
      </c>
      <c r="W104">
        <v>0</v>
      </c>
      <c r="X104">
        <v>0</v>
      </c>
      <c r="AA104" t="s">
        <v>303</v>
      </c>
      <c r="AB104">
        <v>0</v>
      </c>
      <c r="AC104">
        <v>0</v>
      </c>
      <c r="AD104">
        <v>0</v>
      </c>
      <c r="AG104" t="s">
        <v>303</v>
      </c>
      <c r="AH104">
        <v>0</v>
      </c>
      <c r="AI104">
        <v>0</v>
      </c>
      <c r="AJ104">
        <v>0</v>
      </c>
    </row>
    <row r="105" spans="2:40" x14ac:dyDescent="0.25">
      <c r="B105" t="s">
        <v>733</v>
      </c>
      <c r="C105" t="s">
        <v>1469</v>
      </c>
      <c r="D105" t="s">
        <v>1562</v>
      </c>
      <c r="E105" t="s">
        <v>1563</v>
      </c>
      <c r="F105">
        <v>0</v>
      </c>
      <c r="G105">
        <v>10000</v>
      </c>
      <c r="H105">
        <v>0</v>
      </c>
      <c r="I105">
        <v>1</v>
      </c>
      <c r="J105">
        <v>1</v>
      </c>
      <c r="K105">
        <v>1</v>
      </c>
      <c r="L105">
        <v>1</v>
      </c>
      <c r="M105">
        <v>0.01</v>
      </c>
      <c r="O105" t="s">
        <v>304</v>
      </c>
      <c r="P105">
        <v>0</v>
      </c>
      <c r="Q105">
        <v>0</v>
      </c>
      <c r="R105">
        <v>0</v>
      </c>
      <c r="U105" t="s">
        <v>304</v>
      </c>
      <c r="V105">
        <v>0</v>
      </c>
      <c r="W105">
        <v>0</v>
      </c>
      <c r="X105">
        <v>0</v>
      </c>
      <c r="AA105" t="s">
        <v>304</v>
      </c>
      <c r="AB105">
        <v>0</v>
      </c>
      <c r="AC105">
        <v>0</v>
      </c>
      <c r="AD105">
        <v>0</v>
      </c>
      <c r="AG105" t="s">
        <v>304</v>
      </c>
      <c r="AH105">
        <v>0</v>
      </c>
      <c r="AI105">
        <v>0</v>
      </c>
      <c r="AJ105">
        <v>0</v>
      </c>
    </row>
    <row r="106" spans="2:40" x14ac:dyDescent="0.25">
      <c r="B106" t="s">
        <v>737</v>
      </c>
      <c r="C106" t="s">
        <v>1473</v>
      </c>
      <c r="D106" t="s">
        <v>1562</v>
      </c>
      <c r="E106" t="s">
        <v>1563</v>
      </c>
      <c r="F106">
        <v>0</v>
      </c>
      <c r="G106">
        <v>10000</v>
      </c>
      <c r="H106">
        <v>0</v>
      </c>
      <c r="I106">
        <v>1</v>
      </c>
      <c r="J106">
        <v>1</v>
      </c>
      <c r="K106">
        <v>1</v>
      </c>
      <c r="L106">
        <v>1</v>
      </c>
      <c r="M106">
        <v>0.01</v>
      </c>
      <c r="O106" t="s">
        <v>305</v>
      </c>
      <c r="P106">
        <v>0</v>
      </c>
      <c r="Q106">
        <v>0</v>
      </c>
      <c r="R106">
        <v>0</v>
      </c>
      <c r="U106" t="s">
        <v>305</v>
      </c>
      <c r="V106">
        <v>0</v>
      </c>
      <c r="W106">
        <v>0</v>
      </c>
      <c r="X106">
        <v>0</v>
      </c>
      <c r="AA106" t="s">
        <v>305</v>
      </c>
      <c r="AB106">
        <v>0</v>
      </c>
      <c r="AC106">
        <v>0</v>
      </c>
      <c r="AD106">
        <v>0</v>
      </c>
      <c r="AG106" t="s">
        <v>305</v>
      </c>
      <c r="AH106">
        <v>0</v>
      </c>
      <c r="AI106">
        <v>0</v>
      </c>
      <c r="AJ106">
        <v>0</v>
      </c>
    </row>
    <row r="107" spans="2:40" x14ac:dyDescent="0.25">
      <c r="B107" t="s">
        <v>741</v>
      </c>
      <c r="C107" t="s">
        <v>1476</v>
      </c>
      <c r="D107" t="s">
        <v>1562</v>
      </c>
      <c r="E107" t="s">
        <v>1563</v>
      </c>
      <c r="F107">
        <v>0</v>
      </c>
      <c r="G107">
        <v>10000</v>
      </c>
      <c r="H107">
        <v>0</v>
      </c>
      <c r="I107">
        <v>1</v>
      </c>
      <c r="J107">
        <v>1</v>
      </c>
      <c r="K107">
        <v>1</v>
      </c>
      <c r="L107">
        <v>1</v>
      </c>
      <c r="M107">
        <v>0.01</v>
      </c>
      <c r="O107" t="s">
        <v>742</v>
      </c>
      <c r="P107">
        <v>0</v>
      </c>
      <c r="Q107">
        <v>0</v>
      </c>
      <c r="R107">
        <v>0</v>
      </c>
      <c r="U107" t="s">
        <v>742</v>
      </c>
      <c r="V107">
        <v>0</v>
      </c>
      <c r="W107">
        <v>0</v>
      </c>
      <c r="X107">
        <v>0</v>
      </c>
      <c r="AA107" t="s">
        <v>742</v>
      </c>
      <c r="AB107">
        <v>0</v>
      </c>
      <c r="AC107">
        <v>0</v>
      </c>
      <c r="AD107">
        <v>0</v>
      </c>
      <c r="AG107" t="s">
        <v>742</v>
      </c>
      <c r="AH107">
        <v>0</v>
      </c>
      <c r="AI107">
        <v>0</v>
      </c>
      <c r="AJ107">
        <v>0</v>
      </c>
    </row>
    <row r="108" spans="2:40" x14ac:dyDescent="0.25">
      <c r="B108" t="s">
        <v>746</v>
      </c>
      <c r="C108" t="s">
        <v>1480</v>
      </c>
      <c r="D108" t="s">
        <v>1562</v>
      </c>
      <c r="E108" t="s">
        <v>1563</v>
      </c>
      <c r="F108">
        <v>0</v>
      </c>
      <c r="G108">
        <v>10000</v>
      </c>
      <c r="H108">
        <v>0</v>
      </c>
      <c r="I108">
        <v>1</v>
      </c>
      <c r="J108">
        <v>1</v>
      </c>
      <c r="K108">
        <v>1</v>
      </c>
      <c r="L108">
        <v>1</v>
      </c>
      <c r="M108">
        <v>0.01</v>
      </c>
      <c r="O108" t="s">
        <v>747</v>
      </c>
      <c r="P108">
        <v>0</v>
      </c>
      <c r="Q108">
        <v>0</v>
      </c>
      <c r="R108">
        <v>0</v>
      </c>
      <c r="U108" t="s">
        <v>747</v>
      </c>
      <c r="V108">
        <v>0</v>
      </c>
      <c r="W108">
        <v>0</v>
      </c>
      <c r="X108">
        <v>0</v>
      </c>
      <c r="AA108" t="s">
        <v>747</v>
      </c>
      <c r="AB108">
        <v>0</v>
      </c>
      <c r="AC108">
        <v>0</v>
      </c>
      <c r="AD108">
        <v>0</v>
      </c>
      <c r="AG108" t="s">
        <v>747</v>
      </c>
      <c r="AH108">
        <v>0</v>
      </c>
      <c r="AI108">
        <v>0</v>
      </c>
      <c r="AJ108">
        <v>0</v>
      </c>
    </row>
    <row r="109" spans="2:40" x14ac:dyDescent="0.25">
      <c r="B109" t="s">
        <v>751</v>
      </c>
      <c r="C109" t="s">
        <v>1507</v>
      </c>
      <c r="D109" t="s">
        <v>1562</v>
      </c>
      <c r="E109" t="s">
        <v>1563</v>
      </c>
      <c r="F109">
        <v>0</v>
      </c>
      <c r="G109">
        <v>10000</v>
      </c>
      <c r="H109">
        <v>0</v>
      </c>
      <c r="I109">
        <v>1</v>
      </c>
      <c r="J109">
        <v>1</v>
      </c>
      <c r="K109">
        <v>1</v>
      </c>
      <c r="L109">
        <v>1</v>
      </c>
      <c r="M109">
        <v>0.01</v>
      </c>
      <c r="O109" t="s">
        <v>752</v>
      </c>
      <c r="P109">
        <v>0</v>
      </c>
      <c r="Q109">
        <v>0</v>
      </c>
      <c r="R109">
        <v>0</v>
      </c>
      <c r="U109" t="s">
        <v>752</v>
      </c>
      <c r="V109">
        <v>0</v>
      </c>
      <c r="W109">
        <v>0</v>
      </c>
      <c r="X109">
        <v>0</v>
      </c>
      <c r="AA109" t="s">
        <v>752</v>
      </c>
      <c r="AB109">
        <v>0</v>
      </c>
      <c r="AC109">
        <v>0</v>
      </c>
      <c r="AD109">
        <v>0</v>
      </c>
      <c r="AG109" t="s">
        <v>752</v>
      </c>
      <c r="AH109">
        <v>0</v>
      </c>
      <c r="AI109">
        <v>0</v>
      </c>
      <c r="AJ109">
        <v>0</v>
      </c>
    </row>
    <row r="110" spans="2:40" x14ac:dyDescent="0.25">
      <c r="B110" t="s">
        <v>756</v>
      </c>
      <c r="C110" t="s">
        <v>1508</v>
      </c>
      <c r="D110" t="s">
        <v>1562</v>
      </c>
      <c r="E110" t="s">
        <v>1563</v>
      </c>
      <c r="F110">
        <v>-10000</v>
      </c>
      <c r="G110">
        <v>10000</v>
      </c>
      <c r="H110">
        <v>0</v>
      </c>
      <c r="I110">
        <v>1</v>
      </c>
      <c r="J110">
        <v>1</v>
      </c>
      <c r="K110">
        <v>1</v>
      </c>
      <c r="L110">
        <v>1</v>
      </c>
      <c r="M110">
        <v>0.01</v>
      </c>
      <c r="O110" t="s">
        <v>85</v>
      </c>
      <c r="P110">
        <v>0</v>
      </c>
      <c r="Q110">
        <v>0</v>
      </c>
      <c r="R110">
        <v>0</v>
      </c>
      <c r="U110" t="s">
        <v>85</v>
      </c>
      <c r="V110">
        <v>0</v>
      </c>
      <c r="W110">
        <v>0</v>
      </c>
      <c r="X110">
        <v>0</v>
      </c>
      <c r="AA110" t="s">
        <v>85</v>
      </c>
      <c r="AB110">
        <v>0</v>
      </c>
      <c r="AC110">
        <v>0</v>
      </c>
      <c r="AD110">
        <v>0</v>
      </c>
      <c r="AG110" t="s">
        <v>85</v>
      </c>
      <c r="AH110">
        <v>0</v>
      </c>
      <c r="AI110">
        <v>0</v>
      </c>
      <c r="AJ110">
        <v>0</v>
      </c>
    </row>
    <row r="111" spans="2:40" x14ac:dyDescent="0.25">
      <c r="B111" t="s">
        <v>760</v>
      </c>
      <c r="C111" t="s">
        <v>1509</v>
      </c>
      <c r="D111" t="s">
        <v>1562</v>
      </c>
      <c r="E111" t="s">
        <v>1563</v>
      </c>
      <c r="F111">
        <v>-10000</v>
      </c>
      <c r="G111">
        <v>10000</v>
      </c>
      <c r="H111">
        <v>0</v>
      </c>
      <c r="I111">
        <v>1</v>
      </c>
      <c r="J111">
        <v>1</v>
      </c>
      <c r="K111">
        <v>1</v>
      </c>
      <c r="L111">
        <v>1</v>
      </c>
      <c r="M111">
        <v>0.01</v>
      </c>
      <c r="O111" t="s">
        <v>761</v>
      </c>
      <c r="P111">
        <v>0</v>
      </c>
      <c r="Q111">
        <v>0</v>
      </c>
      <c r="R111">
        <v>0</v>
      </c>
      <c r="U111" t="s">
        <v>761</v>
      </c>
      <c r="V111">
        <v>0</v>
      </c>
      <c r="W111">
        <v>0</v>
      </c>
      <c r="X111">
        <v>0</v>
      </c>
      <c r="AA111" t="s">
        <v>761</v>
      </c>
      <c r="AB111">
        <v>0</v>
      </c>
      <c r="AC111">
        <v>0</v>
      </c>
      <c r="AD111">
        <v>0</v>
      </c>
      <c r="AG111" t="s">
        <v>761</v>
      </c>
      <c r="AH111">
        <v>0</v>
      </c>
      <c r="AI111">
        <v>0</v>
      </c>
      <c r="AJ111">
        <v>0</v>
      </c>
    </row>
    <row r="112" spans="2:40" x14ac:dyDescent="0.25">
      <c r="B112" t="s">
        <v>765</v>
      </c>
      <c r="C112" t="s">
        <v>1510</v>
      </c>
      <c r="D112" t="s">
        <v>1562</v>
      </c>
      <c r="E112" t="s">
        <v>1563</v>
      </c>
      <c r="F112">
        <v>0</v>
      </c>
      <c r="G112">
        <v>10000</v>
      </c>
      <c r="H112">
        <v>0</v>
      </c>
      <c r="I112">
        <v>1</v>
      </c>
      <c r="J112">
        <v>1</v>
      </c>
      <c r="K112">
        <v>1</v>
      </c>
      <c r="L112">
        <v>1</v>
      </c>
      <c r="M112">
        <v>0.01</v>
      </c>
      <c r="O112" t="s">
        <v>766</v>
      </c>
      <c r="P112">
        <v>0</v>
      </c>
      <c r="Q112">
        <v>0</v>
      </c>
      <c r="R112">
        <v>0</v>
      </c>
      <c r="U112" t="s">
        <v>766</v>
      </c>
      <c r="V112">
        <v>0</v>
      </c>
      <c r="W112">
        <v>0</v>
      </c>
      <c r="X112">
        <v>0</v>
      </c>
      <c r="AA112" t="s">
        <v>766</v>
      </c>
      <c r="AB112">
        <v>0</v>
      </c>
      <c r="AC112">
        <v>0</v>
      </c>
      <c r="AD112">
        <v>0</v>
      </c>
      <c r="AG112" t="s">
        <v>766</v>
      </c>
      <c r="AH112">
        <v>0</v>
      </c>
      <c r="AI112">
        <v>0</v>
      </c>
      <c r="AJ112">
        <v>0</v>
      </c>
    </row>
    <row r="113" spans="2:40" x14ac:dyDescent="0.25">
      <c r="B113" t="s">
        <v>770</v>
      </c>
      <c r="C113" t="s">
        <v>1511</v>
      </c>
      <c r="D113" t="s">
        <v>1562</v>
      </c>
      <c r="E113" t="s">
        <v>1563</v>
      </c>
      <c r="F113">
        <v>0</v>
      </c>
      <c r="G113">
        <v>10000</v>
      </c>
      <c r="H113">
        <v>0</v>
      </c>
      <c r="I113">
        <v>1</v>
      </c>
      <c r="J113">
        <v>1</v>
      </c>
      <c r="K113">
        <v>1</v>
      </c>
      <c r="L113">
        <v>1</v>
      </c>
      <c r="M113">
        <v>0.01</v>
      </c>
      <c r="O113" t="s">
        <v>312</v>
      </c>
      <c r="P113">
        <v>0</v>
      </c>
      <c r="Q113">
        <v>0</v>
      </c>
      <c r="R113">
        <v>1</v>
      </c>
      <c r="U113" t="s">
        <v>312</v>
      </c>
      <c r="V113">
        <v>0</v>
      </c>
      <c r="W113">
        <v>0</v>
      </c>
      <c r="X113">
        <v>1</v>
      </c>
      <c r="AA113" t="s">
        <v>312</v>
      </c>
      <c r="AB113">
        <v>0</v>
      </c>
      <c r="AC113">
        <v>0</v>
      </c>
      <c r="AD113" s="3">
        <v>0</v>
      </c>
      <c r="AG113" t="s">
        <v>312</v>
      </c>
      <c r="AH113">
        <v>0</v>
      </c>
      <c r="AI113">
        <v>0</v>
      </c>
      <c r="AJ113" s="3">
        <v>0</v>
      </c>
    </row>
    <row r="114" spans="2:40" x14ac:dyDescent="0.25">
      <c r="B114" t="s">
        <v>774</v>
      </c>
      <c r="C114" t="s">
        <v>1512</v>
      </c>
      <c r="D114" t="s">
        <v>1562</v>
      </c>
      <c r="E114" t="s">
        <v>1563</v>
      </c>
      <c r="F114">
        <v>0</v>
      </c>
      <c r="G114">
        <v>10000</v>
      </c>
      <c r="H114">
        <v>0</v>
      </c>
      <c r="I114">
        <v>1</v>
      </c>
      <c r="J114">
        <v>1</v>
      </c>
      <c r="K114">
        <v>1</v>
      </c>
      <c r="L114">
        <v>1</v>
      </c>
      <c r="M114">
        <v>0.01</v>
      </c>
      <c r="O114" t="s">
        <v>313</v>
      </c>
      <c r="P114">
        <v>0</v>
      </c>
      <c r="Q114">
        <v>0</v>
      </c>
      <c r="R114">
        <v>0</v>
      </c>
      <c r="U114" t="s">
        <v>313</v>
      </c>
      <c r="V114">
        <v>0</v>
      </c>
      <c r="W114">
        <v>0</v>
      </c>
      <c r="X114">
        <v>0</v>
      </c>
      <c r="AA114" t="s">
        <v>313</v>
      </c>
      <c r="AB114">
        <v>0</v>
      </c>
      <c r="AC114">
        <v>0</v>
      </c>
      <c r="AD114">
        <v>0</v>
      </c>
      <c r="AG114" t="s">
        <v>313</v>
      </c>
      <c r="AH114">
        <v>0</v>
      </c>
      <c r="AI114">
        <v>0</v>
      </c>
      <c r="AJ114">
        <v>0</v>
      </c>
    </row>
    <row r="115" spans="2:40" x14ac:dyDescent="0.25">
      <c r="B115" t="s">
        <v>778</v>
      </c>
      <c r="C115" t="s">
        <v>1513</v>
      </c>
      <c r="D115" t="s">
        <v>1562</v>
      </c>
      <c r="E115" t="s">
        <v>1563</v>
      </c>
      <c r="F115">
        <v>0</v>
      </c>
      <c r="G115">
        <v>10000</v>
      </c>
      <c r="H115">
        <v>0</v>
      </c>
      <c r="I115">
        <v>1</v>
      </c>
      <c r="J115">
        <v>1</v>
      </c>
      <c r="K115">
        <v>1</v>
      </c>
      <c r="L115">
        <v>1</v>
      </c>
      <c r="M115">
        <v>0.01</v>
      </c>
      <c r="O115" t="s">
        <v>314</v>
      </c>
      <c r="P115">
        <v>0</v>
      </c>
      <c r="Q115">
        <v>0</v>
      </c>
      <c r="R115">
        <v>1</v>
      </c>
      <c r="U115" t="s">
        <v>314</v>
      </c>
      <c r="V115">
        <v>0</v>
      </c>
      <c r="W115">
        <v>0</v>
      </c>
      <c r="X115">
        <v>1</v>
      </c>
      <c r="AA115" t="s">
        <v>314</v>
      </c>
      <c r="AB115">
        <v>0</v>
      </c>
      <c r="AC115">
        <v>0</v>
      </c>
      <c r="AD115">
        <v>1</v>
      </c>
      <c r="AG115" t="s">
        <v>314</v>
      </c>
      <c r="AH115">
        <v>0</v>
      </c>
      <c r="AI115">
        <v>0</v>
      </c>
      <c r="AJ115">
        <v>1</v>
      </c>
    </row>
    <row r="116" spans="2:40" x14ac:dyDescent="0.25">
      <c r="B116" t="s">
        <v>781</v>
      </c>
      <c r="C116" t="s">
        <v>1514</v>
      </c>
      <c r="D116" t="s">
        <v>1562</v>
      </c>
      <c r="E116" t="s">
        <v>1563</v>
      </c>
      <c r="F116">
        <v>0</v>
      </c>
      <c r="G116">
        <v>10000</v>
      </c>
      <c r="H116">
        <v>0</v>
      </c>
      <c r="I116">
        <v>1</v>
      </c>
      <c r="J116">
        <v>1</v>
      </c>
      <c r="K116">
        <v>1</v>
      </c>
      <c r="L116">
        <v>1</v>
      </c>
      <c r="M116">
        <v>0.01</v>
      </c>
      <c r="O116" t="s">
        <v>96</v>
      </c>
      <c r="P116">
        <v>0</v>
      </c>
      <c r="Q116">
        <v>0</v>
      </c>
      <c r="R116">
        <v>0</v>
      </c>
      <c r="U116" t="s">
        <v>96</v>
      </c>
      <c r="V116">
        <v>0</v>
      </c>
      <c r="W116">
        <v>0</v>
      </c>
      <c r="X116">
        <v>0</v>
      </c>
      <c r="AA116" t="s">
        <v>96</v>
      </c>
      <c r="AB116">
        <v>0</v>
      </c>
      <c r="AC116">
        <v>0</v>
      </c>
      <c r="AD116">
        <v>0</v>
      </c>
      <c r="AG116" t="s">
        <v>96</v>
      </c>
      <c r="AH116">
        <v>0</v>
      </c>
      <c r="AI116">
        <v>0</v>
      </c>
      <c r="AJ116">
        <v>0</v>
      </c>
    </row>
    <row r="117" spans="2:40" x14ac:dyDescent="0.25">
      <c r="B117" t="s">
        <v>785</v>
      </c>
      <c r="C117" t="s">
        <v>1515</v>
      </c>
      <c r="D117" t="s">
        <v>1562</v>
      </c>
      <c r="E117" t="s">
        <v>1563</v>
      </c>
      <c r="F117">
        <v>0</v>
      </c>
      <c r="G117">
        <v>10000</v>
      </c>
      <c r="H117">
        <v>0</v>
      </c>
      <c r="I117">
        <v>1</v>
      </c>
      <c r="J117">
        <v>1</v>
      </c>
      <c r="K117">
        <v>1</v>
      </c>
      <c r="L117">
        <v>1</v>
      </c>
      <c r="M117">
        <v>0.01</v>
      </c>
      <c r="O117" t="s">
        <v>97</v>
      </c>
      <c r="P117">
        <v>0</v>
      </c>
      <c r="Q117">
        <v>0</v>
      </c>
      <c r="R117">
        <v>0</v>
      </c>
      <c r="U117" t="s">
        <v>97</v>
      </c>
      <c r="V117">
        <v>0</v>
      </c>
      <c r="W117">
        <v>0</v>
      </c>
      <c r="X117">
        <v>0</v>
      </c>
      <c r="AA117" t="s">
        <v>97</v>
      </c>
      <c r="AB117">
        <v>0</v>
      </c>
      <c r="AC117">
        <v>0</v>
      </c>
      <c r="AD117">
        <v>0</v>
      </c>
      <c r="AG117" t="s">
        <v>97</v>
      </c>
      <c r="AH117">
        <v>0</v>
      </c>
      <c r="AI117">
        <v>0</v>
      </c>
      <c r="AJ117">
        <v>0</v>
      </c>
    </row>
    <row r="118" spans="2:40" x14ac:dyDescent="0.25">
      <c r="B118" t="s">
        <v>788</v>
      </c>
      <c r="C118" s="60" t="s">
        <v>1516</v>
      </c>
      <c r="D118" t="s">
        <v>1562</v>
      </c>
      <c r="E118" t="s">
        <v>1563</v>
      </c>
      <c r="F118">
        <v>0</v>
      </c>
      <c r="G118">
        <v>10000</v>
      </c>
      <c r="H118">
        <v>0</v>
      </c>
      <c r="I118">
        <v>1</v>
      </c>
      <c r="J118">
        <v>1</v>
      </c>
      <c r="K118">
        <v>1</v>
      </c>
      <c r="L118">
        <v>1</v>
      </c>
      <c r="M118">
        <v>0.01</v>
      </c>
      <c r="O118" t="s">
        <v>315</v>
      </c>
      <c r="P118">
        <v>0</v>
      </c>
      <c r="Q118">
        <v>0</v>
      </c>
      <c r="R118">
        <v>0</v>
      </c>
      <c r="U118" t="s">
        <v>315</v>
      </c>
      <c r="V118">
        <v>0</v>
      </c>
      <c r="W118">
        <v>0</v>
      </c>
      <c r="X118">
        <v>0</v>
      </c>
      <c r="AA118" t="s">
        <v>315</v>
      </c>
      <c r="AB118">
        <v>0</v>
      </c>
      <c r="AC118">
        <v>0</v>
      </c>
      <c r="AD118">
        <v>0</v>
      </c>
      <c r="AG118" t="s">
        <v>315</v>
      </c>
      <c r="AH118">
        <v>0</v>
      </c>
      <c r="AI118">
        <v>0</v>
      </c>
      <c r="AJ118">
        <v>0</v>
      </c>
      <c r="AN118" s="60"/>
    </row>
    <row r="119" spans="2:40" x14ac:dyDescent="0.25">
      <c r="B119" t="s">
        <v>792</v>
      </c>
      <c r="C119" t="s">
        <v>1519</v>
      </c>
      <c r="D119" t="s">
        <v>1562</v>
      </c>
      <c r="E119" t="s">
        <v>1563</v>
      </c>
      <c r="F119">
        <v>0</v>
      </c>
      <c r="G119">
        <v>10000</v>
      </c>
      <c r="H119">
        <v>0</v>
      </c>
      <c r="I119">
        <v>1</v>
      </c>
      <c r="J119">
        <v>1</v>
      </c>
      <c r="K119">
        <v>1</v>
      </c>
      <c r="L119">
        <v>1</v>
      </c>
      <c r="M119">
        <v>0.01</v>
      </c>
      <c r="O119" t="s">
        <v>316</v>
      </c>
      <c r="P119">
        <v>0</v>
      </c>
      <c r="Q119">
        <v>0</v>
      </c>
      <c r="R119" s="7">
        <v>0</v>
      </c>
      <c r="U119" t="s">
        <v>316</v>
      </c>
      <c r="V119">
        <v>0</v>
      </c>
      <c r="W119">
        <v>0</v>
      </c>
      <c r="X119" s="7">
        <v>0</v>
      </c>
      <c r="AA119" t="s">
        <v>316</v>
      </c>
      <c r="AB119">
        <v>0</v>
      </c>
      <c r="AC119">
        <v>0</v>
      </c>
      <c r="AD119" s="7">
        <v>0</v>
      </c>
      <c r="AG119" t="s">
        <v>316</v>
      </c>
      <c r="AH119">
        <v>0</v>
      </c>
      <c r="AI119">
        <v>0</v>
      </c>
      <c r="AJ119" s="7">
        <v>0</v>
      </c>
    </row>
    <row r="120" spans="2:40" x14ac:dyDescent="0.25">
      <c r="B120" t="s">
        <v>795</v>
      </c>
      <c r="C120" t="s">
        <v>1520</v>
      </c>
      <c r="D120" t="s">
        <v>1562</v>
      </c>
      <c r="E120" t="s">
        <v>1563</v>
      </c>
      <c r="F120">
        <v>0</v>
      </c>
      <c r="G120">
        <v>10000</v>
      </c>
      <c r="H120">
        <v>0</v>
      </c>
      <c r="I120">
        <v>1</v>
      </c>
      <c r="J120">
        <v>1</v>
      </c>
      <c r="K120">
        <v>1</v>
      </c>
      <c r="L120">
        <v>1</v>
      </c>
      <c r="M120">
        <v>0.01</v>
      </c>
      <c r="O120" t="s">
        <v>133</v>
      </c>
      <c r="P120">
        <v>0</v>
      </c>
      <c r="Q120">
        <v>0</v>
      </c>
      <c r="R120">
        <v>0</v>
      </c>
      <c r="U120" t="s">
        <v>133</v>
      </c>
      <c r="V120">
        <v>0</v>
      </c>
      <c r="W120">
        <v>0</v>
      </c>
      <c r="X120">
        <v>0</v>
      </c>
      <c r="AA120" t="s">
        <v>133</v>
      </c>
      <c r="AB120">
        <v>0</v>
      </c>
      <c r="AC120">
        <v>0</v>
      </c>
      <c r="AD120">
        <v>0</v>
      </c>
      <c r="AG120" t="s">
        <v>133</v>
      </c>
      <c r="AH120">
        <v>0</v>
      </c>
      <c r="AI120">
        <v>0</v>
      </c>
      <c r="AJ120">
        <v>0</v>
      </c>
    </row>
    <row r="121" spans="2:40" x14ac:dyDescent="0.25">
      <c r="B121" t="s">
        <v>798</v>
      </c>
      <c r="C121" t="s">
        <v>1521</v>
      </c>
      <c r="D121" t="s">
        <v>1562</v>
      </c>
      <c r="E121" t="s">
        <v>1563</v>
      </c>
      <c r="F121">
        <v>0</v>
      </c>
      <c r="G121">
        <v>10000</v>
      </c>
      <c r="H121">
        <v>0</v>
      </c>
      <c r="I121">
        <v>1</v>
      </c>
      <c r="J121">
        <v>1</v>
      </c>
      <c r="K121">
        <v>1</v>
      </c>
      <c r="L121">
        <v>1</v>
      </c>
      <c r="M121">
        <v>0.01</v>
      </c>
      <c r="O121" t="s">
        <v>166</v>
      </c>
      <c r="P121">
        <v>0</v>
      </c>
      <c r="Q121">
        <v>0</v>
      </c>
      <c r="R121">
        <v>0</v>
      </c>
      <c r="U121" t="s">
        <v>166</v>
      </c>
      <c r="V121">
        <v>0</v>
      </c>
      <c r="W121">
        <v>0</v>
      </c>
      <c r="X121">
        <v>0</v>
      </c>
      <c r="AA121" t="s">
        <v>166</v>
      </c>
      <c r="AB121">
        <v>0</v>
      </c>
      <c r="AC121">
        <v>0</v>
      </c>
      <c r="AD121">
        <v>0</v>
      </c>
      <c r="AG121" t="s">
        <v>166</v>
      </c>
      <c r="AH121">
        <v>0</v>
      </c>
      <c r="AI121">
        <v>0</v>
      </c>
      <c r="AJ121">
        <v>0</v>
      </c>
    </row>
    <row r="122" spans="2:40" x14ac:dyDescent="0.25">
      <c r="B122" t="s">
        <v>802</v>
      </c>
      <c r="C122" t="s">
        <v>1523</v>
      </c>
      <c r="D122" t="s">
        <v>1562</v>
      </c>
      <c r="E122" t="s">
        <v>1563</v>
      </c>
      <c r="F122">
        <v>0</v>
      </c>
      <c r="G122">
        <v>10000</v>
      </c>
      <c r="H122">
        <v>0</v>
      </c>
      <c r="I122">
        <v>1</v>
      </c>
      <c r="J122">
        <v>1</v>
      </c>
      <c r="K122">
        <v>1</v>
      </c>
      <c r="L122">
        <v>1</v>
      </c>
      <c r="M122">
        <v>0.01</v>
      </c>
      <c r="O122" t="s">
        <v>134</v>
      </c>
      <c r="P122">
        <v>0</v>
      </c>
      <c r="Q122">
        <v>0</v>
      </c>
      <c r="R122">
        <v>0</v>
      </c>
      <c r="U122" t="s">
        <v>134</v>
      </c>
      <c r="V122">
        <v>0</v>
      </c>
      <c r="W122">
        <v>0</v>
      </c>
      <c r="X122">
        <v>0</v>
      </c>
      <c r="AA122" t="s">
        <v>134</v>
      </c>
      <c r="AB122">
        <v>0</v>
      </c>
      <c r="AC122">
        <v>0</v>
      </c>
      <c r="AD122">
        <v>0</v>
      </c>
      <c r="AG122" t="s">
        <v>134</v>
      </c>
      <c r="AH122">
        <v>0</v>
      </c>
      <c r="AI122">
        <v>0</v>
      </c>
      <c r="AJ122">
        <v>0</v>
      </c>
    </row>
    <row r="123" spans="2:40" x14ac:dyDescent="0.25">
      <c r="B123" t="s">
        <v>805</v>
      </c>
      <c r="C123" t="s">
        <v>1524</v>
      </c>
      <c r="D123" t="s">
        <v>1562</v>
      </c>
      <c r="E123" t="s">
        <v>1563</v>
      </c>
      <c r="F123">
        <v>0</v>
      </c>
      <c r="G123">
        <v>10000</v>
      </c>
      <c r="H123">
        <v>0</v>
      </c>
      <c r="I123">
        <v>1</v>
      </c>
      <c r="J123">
        <v>1</v>
      </c>
      <c r="K123">
        <v>1</v>
      </c>
      <c r="L123">
        <v>1</v>
      </c>
      <c r="M123">
        <v>0.01</v>
      </c>
      <c r="O123" t="s">
        <v>165</v>
      </c>
      <c r="P123">
        <v>0</v>
      </c>
      <c r="Q123">
        <v>0</v>
      </c>
      <c r="R123">
        <v>0</v>
      </c>
      <c r="U123" t="s">
        <v>165</v>
      </c>
      <c r="V123">
        <v>0</v>
      </c>
      <c r="W123">
        <v>0</v>
      </c>
      <c r="X123">
        <v>0</v>
      </c>
      <c r="AA123" t="s">
        <v>165</v>
      </c>
      <c r="AB123">
        <v>0</v>
      </c>
      <c r="AC123">
        <v>0</v>
      </c>
      <c r="AD123">
        <v>0</v>
      </c>
      <c r="AG123" t="s">
        <v>165</v>
      </c>
      <c r="AH123">
        <v>0</v>
      </c>
      <c r="AI123">
        <v>0</v>
      </c>
      <c r="AJ123">
        <v>0</v>
      </c>
    </row>
    <row r="124" spans="2:40" x14ac:dyDescent="0.25">
      <c r="B124" t="s">
        <v>809</v>
      </c>
      <c r="C124" t="s">
        <v>1526</v>
      </c>
      <c r="D124" t="s">
        <v>1562</v>
      </c>
      <c r="E124" t="s">
        <v>1563</v>
      </c>
      <c r="F124">
        <v>0</v>
      </c>
      <c r="G124">
        <v>10000</v>
      </c>
      <c r="H124">
        <v>0</v>
      </c>
      <c r="I124">
        <v>1</v>
      </c>
      <c r="J124">
        <v>1</v>
      </c>
      <c r="K124">
        <v>1</v>
      </c>
      <c r="L124">
        <v>1</v>
      </c>
      <c r="M124">
        <v>0.01</v>
      </c>
      <c r="O124" t="s">
        <v>319</v>
      </c>
      <c r="P124">
        <v>0</v>
      </c>
      <c r="Q124">
        <v>0</v>
      </c>
      <c r="R124">
        <v>0</v>
      </c>
      <c r="U124" t="s">
        <v>319</v>
      </c>
      <c r="V124">
        <v>0</v>
      </c>
      <c r="W124">
        <v>0</v>
      </c>
      <c r="X124">
        <v>0</v>
      </c>
      <c r="AA124" t="s">
        <v>319</v>
      </c>
      <c r="AB124">
        <v>0</v>
      </c>
      <c r="AC124">
        <v>0</v>
      </c>
      <c r="AD124">
        <v>0</v>
      </c>
      <c r="AG124" t="s">
        <v>319</v>
      </c>
      <c r="AH124">
        <v>0</v>
      </c>
      <c r="AI124">
        <v>0</v>
      </c>
      <c r="AJ124">
        <v>0</v>
      </c>
    </row>
    <row r="125" spans="2:40" x14ac:dyDescent="0.25">
      <c r="B125" t="s">
        <v>813</v>
      </c>
      <c r="C125" t="s">
        <v>1528</v>
      </c>
      <c r="D125" t="s">
        <v>1562</v>
      </c>
      <c r="E125" t="s">
        <v>1563</v>
      </c>
      <c r="F125">
        <v>0</v>
      </c>
      <c r="G125">
        <v>10000</v>
      </c>
      <c r="H125">
        <v>0</v>
      </c>
      <c r="I125">
        <v>1</v>
      </c>
      <c r="J125">
        <v>1</v>
      </c>
      <c r="K125">
        <v>1</v>
      </c>
      <c r="L125">
        <v>1</v>
      </c>
      <c r="M125">
        <v>0.01</v>
      </c>
      <c r="O125" t="s">
        <v>320</v>
      </c>
      <c r="P125">
        <v>0</v>
      </c>
      <c r="Q125">
        <v>0</v>
      </c>
      <c r="R125">
        <v>1</v>
      </c>
      <c r="U125" t="s">
        <v>320</v>
      </c>
      <c r="V125">
        <v>0</v>
      </c>
      <c r="W125">
        <v>0</v>
      </c>
      <c r="X125">
        <v>1</v>
      </c>
      <c r="AA125" t="s">
        <v>320</v>
      </c>
      <c r="AB125">
        <v>0</v>
      </c>
      <c r="AC125">
        <v>0</v>
      </c>
      <c r="AD125">
        <v>1</v>
      </c>
      <c r="AG125" t="s">
        <v>320</v>
      </c>
      <c r="AH125">
        <v>0</v>
      </c>
      <c r="AI125">
        <v>0</v>
      </c>
      <c r="AJ125">
        <v>1</v>
      </c>
    </row>
    <row r="126" spans="2:40" x14ac:dyDescent="0.25">
      <c r="B126" t="s">
        <v>816</v>
      </c>
      <c r="C126" t="s">
        <v>1529</v>
      </c>
      <c r="D126" t="s">
        <v>1562</v>
      </c>
      <c r="E126" t="s">
        <v>1563</v>
      </c>
      <c r="F126">
        <v>0</v>
      </c>
      <c r="G126">
        <v>10000</v>
      </c>
      <c r="H126">
        <v>0</v>
      </c>
      <c r="I126">
        <v>1</v>
      </c>
      <c r="J126">
        <v>1</v>
      </c>
      <c r="K126">
        <v>1</v>
      </c>
      <c r="L126">
        <v>1</v>
      </c>
      <c r="M126">
        <v>0.01</v>
      </c>
      <c r="O126" t="s">
        <v>321</v>
      </c>
      <c r="P126">
        <v>0</v>
      </c>
      <c r="Q126">
        <v>0</v>
      </c>
      <c r="R126">
        <v>0</v>
      </c>
      <c r="U126" t="s">
        <v>321</v>
      </c>
      <c r="V126">
        <v>0</v>
      </c>
      <c r="W126">
        <v>0</v>
      </c>
      <c r="X126">
        <v>0</v>
      </c>
      <c r="AA126" t="s">
        <v>321</v>
      </c>
      <c r="AB126">
        <v>0</v>
      </c>
      <c r="AC126">
        <v>0</v>
      </c>
      <c r="AD126">
        <v>0</v>
      </c>
      <c r="AG126" t="s">
        <v>321</v>
      </c>
      <c r="AH126">
        <v>0</v>
      </c>
      <c r="AI126">
        <v>0</v>
      </c>
      <c r="AJ126">
        <v>0</v>
      </c>
    </row>
    <row r="127" spans="2:40" x14ac:dyDescent="0.25">
      <c r="B127" t="s">
        <v>820</v>
      </c>
      <c r="C127" t="s">
        <v>1530</v>
      </c>
      <c r="D127" t="s">
        <v>1562</v>
      </c>
      <c r="E127" t="s">
        <v>1563</v>
      </c>
      <c r="F127">
        <v>0</v>
      </c>
      <c r="G127">
        <v>10000</v>
      </c>
      <c r="H127">
        <v>0</v>
      </c>
      <c r="I127">
        <v>1</v>
      </c>
      <c r="J127">
        <v>1</v>
      </c>
      <c r="K127">
        <v>1</v>
      </c>
      <c r="L127">
        <v>1</v>
      </c>
      <c r="M127">
        <v>0.01</v>
      </c>
      <c r="O127" t="s">
        <v>821</v>
      </c>
      <c r="P127">
        <v>0</v>
      </c>
      <c r="Q127">
        <v>0</v>
      </c>
      <c r="R127">
        <v>0</v>
      </c>
      <c r="U127" t="s">
        <v>821</v>
      </c>
      <c r="V127">
        <v>0</v>
      </c>
      <c r="W127">
        <v>0</v>
      </c>
      <c r="X127">
        <v>0</v>
      </c>
      <c r="AA127" t="s">
        <v>821</v>
      </c>
      <c r="AB127">
        <v>0</v>
      </c>
      <c r="AC127">
        <v>0</v>
      </c>
      <c r="AD127">
        <v>0</v>
      </c>
      <c r="AG127" t="s">
        <v>821</v>
      </c>
      <c r="AH127">
        <v>0</v>
      </c>
      <c r="AI127">
        <v>0</v>
      </c>
      <c r="AJ127">
        <v>0</v>
      </c>
    </row>
    <row r="128" spans="2:40" x14ac:dyDescent="0.25">
      <c r="B128" t="s">
        <v>825</v>
      </c>
      <c r="C128" t="s">
        <v>1531</v>
      </c>
      <c r="D128" t="s">
        <v>1562</v>
      </c>
      <c r="E128" t="s">
        <v>1563</v>
      </c>
      <c r="F128">
        <v>0</v>
      </c>
      <c r="G128">
        <v>10000</v>
      </c>
      <c r="H128">
        <v>0</v>
      </c>
      <c r="I128">
        <v>1</v>
      </c>
      <c r="J128">
        <v>1</v>
      </c>
      <c r="K128">
        <v>1</v>
      </c>
      <c r="L128">
        <v>1</v>
      </c>
      <c r="M128">
        <v>0.01</v>
      </c>
      <c r="O128" t="s">
        <v>323</v>
      </c>
      <c r="P128">
        <v>0</v>
      </c>
      <c r="Q128">
        <v>0</v>
      </c>
      <c r="R128">
        <v>0</v>
      </c>
      <c r="U128" t="s">
        <v>323</v>
      </c>
      <c r="V128">
        <v>0</v>
      </c>
      <c r="W128">
        <v>0</v>
      </c>
      <c r="X128">
        <v>0</v>
      </c>
      <c r="AA128" t="s">
        <v>323</v>
      </c>
      <c r="AB128">
        <v>0</v>
      </c>
      <c r="AC128">
        <v>0</v>
      </c>
      <c r="AD128">
        <v>0</v>
      </c>
      <c r="AG128" t="s">
        <v>323</v>
      </c>
      <c r="AH128">
        <v>0</v>
      </c>
      <c r="AI128">
        <v>0</v>
      </c>
      <c r="AJ128">
        <v>0</v>
      </c>
    </row>
    <row r="129" spans="2:40" x14ac:dyDescent="0.25">
      <c r="B129" t="s">
        <v>829</v>
      </c>
      <c r="C129" t="s">
        <v>1537</v>
      </c>
      <c r="D129" t="s">
        <v>1562</v>
      </c>
      <c r="E129" t="s">
        <v>1563</v>
      </c>
      <c r="F129">
        <v>0</v>
      </c>
      <c r="G129">
        <v>10000</v>
      </c>
      <c r="H129">
        <v>0</v>
      </c>
      <c r="I129">
        <v>1</v>
      </c>
      <c r="J129">
        <v>1</v>
      </c>
      <c r="K129">
        <v>1</v>
      </c>
      <c r="L129">
        <v>1</v>
      </c>
      <c r="M129">
        <v>0.01</v>
      </c>
      <c r="O129" t="s">
        <v>324</v>
      </c>
      <c r="P129">
        <v>0</v>
      </c>
      <c r="Q129">
        <v>0</v>
      </c>
      <c r="R129" s="7">
        <v>1</v>
      </c>
      <c r="U129" t="s">
        <v>324</v>
      </c>
      <c r="V129">
        <v>0</v>
      </c>
      <c r="W129">
        <v>0</v>
      </c>
      <c r="X129">
        <v>1</v>
      </c>
      <c r="AA129" t="s">
        <v>324</v>
      </c>
      <c r="AB129">
        <v>0</v>
      </c>
      <c r="AC129">
        <v>0</v>
      </c>
      <c r="AD129" s="7">
        <v>1</v>
      </c>
      <c r="AG129" t="s">
        <v>324</v>
      </c>
      <c r="AH129">
        <v>0</v>
      </c>
      <c r="AI129">
        <v>0</v>
      </c>
      <c r="AJ129" s="7">
        <v>1</v>
      </c>
    </row>
    <row r="130" spans="2:40" x14ac:dyDescent="0.25">
      <c r="B130" t="s">
        <v>832</v>
      </c>
      <c r="C130" t="s">
        <v>1538</v>
      </c>
      <c r="D130" t="s">
        <v>1562</v>
      </c>
      <c r="E130" t="s">
        <v>1563</v>
      </c>
      <c r="F130">
        <v>0</v>
      </c>
      <c r="G130">
        <v>10000</v>
      </c>
      <c r="H130">
        <v>0</v>
      </c>
      <c r="I130">
        <v>1</v>
      </c>
      <c r="J130">
        <v>1</v>
      </c>
      <c r="K130">
        <v>1</v>
      </c>
      <c r="L130">
        <v>1</v>
      </c>
      <c r="M130">
        <v>0.01</v>
      </c>
      <c r="O130" t="s">
        <v>833</v>
      </c>
      <c r="P130">
        <v>0</v>
      </c>
      <c r="Q130">
        <v>0</v>
      </c>
      <c r="R130">
        <v>0</v>
      </c>
      <c r="U130" t="s">
        <v>833</v>
      </c>
      <c r="V130">
        <v>0</v>
      </c>
      <c r="W130">
        <v>0</v>
      </c>
      <c r="X130">
        <v>0</v>
      </c>
      <c r="AA130" t="s">
        <v>833</v>
      </c>
      <c r="AB130">
        <v>0</v>
      </c>
      <c r="AC130">
        <v>0</v>
      </c>
      <c r="AD130">
        <v>0</v>
      </c>
      <c r="AG130" t="s">
        <v>833</v>
      </c>
      <c r="AH130">
        <v>0</v>
      </c>
      <c r="AI130">
        <v>0</v>
      </c>
      <c r="AJ130">
        <v>0</v>
      </c>
    </row>
    <row r="131" spans="2:40" x14ac:dyDescent="0.25">
      <c r="B131" t="s">
        <v>837</v>
      </c>
      <c r="C131" t="s">
        <v>1539</v>
      </c>
      <c r="D131" t="s">
        <v>1562</v>
      </c>
      <c r="E131" t="s">
        <v>1563</v>
      </c>
      <c r="F131">
        <v>0</v>
      </c>
      <c r="G131">
        <v>10000</v>
      </c>
      <c r="H131">
        <v>0</v>
      </c>
      <c r="I131">
        <v>1</v>
      </c>
      <c r="J131">
        <v>1</v>
      </c>
      <c r="K131">
        <v>1</v>
      </c>
      <c r="L131">
        <v>1</v>
      </c>
      <c r="M131">
        <v>0.01</v>
      </c>
      <c r="O131" t="s">
        <v>326</v>
      </c>
      <c r="P131">
        <v>0</v>
      </c>
      <c r="Q131">
        <v>0</v>
      </c>
      <c r="R131">
        <v>1</v>
      </c>
      <c r="U131" t="s">
        <v>326</v>
      </c>
      <c r="V131">
        <v>0</v>
      </c>
      <c r="W131">
        <v>0</v>
      </c>
      <c r="X131">
        <v>1</v>
      </c>
      <c r="AA131" t="s">
        <v>326</v>
      </c>
      <c r="AB131">
        <v>0</v>
      </c>
      <c r="AC131">
        <v>0</v>
      </c>
      <c r="AD131">
        <v>1</v>
      </c>
      <c r="AG131" t="s">
        <v>326</v>
      </c>
      <c r="AH131">
        <v>0</v>
      </c>
      <c r="AI131">
        <v>0</v>
      </c>
      <c r="AJ131">
        <v>1</v>
      </c>
    </row>
    <row r="132" spans="2:40" x14ac:dyDescent="0.25">
      <c r="B132" t="s">
        <v>840</v>
      </c>
      <c r="C132" t="s">
        <v>1540</v>
      </c>
      <c r="D132" t="s">
        <v>1562</v>
      </c>
      <c r="E132" t="s">
        <v>1563</v>
      </c>
      <c r="F132">
        <v>-10000</v>
      </c>
      <c r="G132">
        <v>10000</v>
      </c>
      <c r="H132">
        <v>0</v>
      </c>
      <c r="I132">
        <v>1</v>
      </c>
      <c r="J132">
        <v>1</v>
      </c>
      <c r="K132">
        <v>1</v>
      </c>
      <c r="L132">
        <v>1</v>
      </c>
      <c r="M132">
        <v>0.01</v>
      </c>
      <c r="O132" t="s">
        <v>164</v>
      </c>
      <c r="P132">
        <v>0</v>
      </c>
      <c r="Q132">
        <v>0</v>
      </c>
      <c r="R132">
        <v>0</v>
      </c>
      <c r="U132" t="s">
        <v>164</v>
      </c>
      <c r="V132">
        <v>0</v>
      </c>
      <c r="W132">
        <v>0</v>
      </c>
      <c r="X132">
        <v>0</v>
      </c>
      <c r="AA132" t="s">
        <v>164</v>
      </c>
      <c r="AB132">
        <v>0</v>
      </c>
      <c r="AC132">
        <v>0</v>
      </c>
      <c r="AD132">
        <v>0</v>
      </c>
      <c r="AG132" t="s">
        <v>164</v>
      </c>
      <c r="AH132">
        <v>0</v>
      </c>
      <c r="AI132">
        <v>0</v>
      </c>
      <c r="AJ132">
        <v>0</v>
      </c>
    </row>
    <row r="133" spans="2:40" x14ac:dyDescent="0.25">
      <c r="B133" t="s">
        <v>844</v>
      </c>
      <c r="C133" t="s">
        <v>1542</v>
      </c>
      <c r="D133" t="s">
        <v>1562</v>
      </c>
      <c r="E133" t="s">
        <v>1563</v>
      </c>
      <c r="F133">
        <v>0</v>
      </c>
      <c r="G133">
        <v>10000</v>
      </c>
      <c r="H133">
        <v>0</v>
      </c>
      <c r="I133">
        <v>1</v>
      </c>
      <c r="J133">
        <v>1</v>
      </c>
      <c r="K133">
        <v>1</v>
      </c>
      <c r="L133">
        <v>1</v>
      </c>
      <c r="M133">
        <v>0.01</v>
      </c>
      <c r="O133" t="s">
        <v>127</v>
      </c>
      <c r="P133">
        <v>0</v>
      </c>
      <c r="Q133">
        <v>0</v>
      </c>
      <c r="R133">
        <v>0</v>
      </c>
      <c r="U133" t="s">
        <v>127</v>
      </c>
      <c r="V133">
        <v>0</v>
      </c>
      <c r="W133">
        <v>0</v>
      </c>
      <c r="X133">
        <v>0</v>
      </c>
      <c r="AA133" t="s">
        <v>127</v>
      </c>
      <c r="AB133">
        <v>0</v>
      </c>
      <c r="AC133">
        <v>0</v>
      </c>
      <c r="AD133">
        <v>0</v>
      </c>
      <c r="AG133" t="s">
        <v>127</v>
      </c>
      <c r="AH133">
        <v>0</v>
      </c>
      <c r="AI133">
        <v>0</v>
      </c>
      <c r="AJ133">
        <v>0</v>
      </c>
    </row>
    <row r="134" spans="2:40" x14ac:dyDescent="0.25">
      <c r="B134" t="s">
        <v>847</v>
      </c>
      <c r="C134" t="s">
        <v>1544</v>
      </c>
      <c r="D134" t="s">
        <v>1562</v>
      </c>
      <c r="E134" t="s">
        <v>1563</v>
      </c>
      <c r="F134">
        <v>0</v>
      </c>
      <c r="G134">
        <v>10000</v>
      </c>
      <c r="H134">
        <v>0</v>
      </c>
      <c r="I134">
        <v>1</v>
      </c>
      <c r="J134">
        <v>1</v>
      </c>
      <c r="K134">
        <v>1</v>
      </c>
      <c r="L134">
        <v>1</v>
      </c>
      <c r="M134">
        <v>0.01</v>
      </c>
      <c r="O134" t="s">
        <v>327</v>
      </c>
      <c r="P134">
        <v>0</v>
      </c>
      <c r="Q134">
        <v>0</v>
      </c>
      <c r="R134">
        <v>1</v>
      </c>
      <c r="U134" t="s">
        <v>327</v>
      </c>
      <c r="V134">
        <v>0</v>
      </c>
      <c r="W134">
        <v>0</v>
      </c>
      <c r="X134">
        <v>1</v>
      </c>
      <c r="AA134" t="s">
        <v>327</v>
      </c>
      <c r="AB134">
        <v>0</v>
      </c>
      <c r="AC134">
        <v>0</v>
      </c>
      <c r="AD134">
        <v>1</v>
      </c>
      <c r="AG134" t="s">
        <v>327</v>
      </c>
      <c r="AH134">
        <v>0</v>
      </c>
      <c r="AI134">
        <v>0</v>
      </c>
      <c r="AJ134">
        <v>1</v>
      </c>
    </row>
    <row r="135" spans="2:40" x14ac:dyDescent="0.25">
      <c r="B135" t="s">
        <v>850</v>
      </c>
      <c r="C135" s="60" t="s">
        <v>902</v>
      </c>
      <c r="D135" t="s">
        <v>1562</v>
      </c>
      <c r="E135" t="s">
        <v>1563</v>
      </c>
      <c r="F135">
        <v>0</v>
      </c>
      <c r="G135">
        <v>10000</v>
      </c>
      <c r="H135">
        <v>0</v>
      </c>
      <c r="I135">
        <v>1</v>
      </c>
      <c r="J135">
        <v>1</v>
      </c>
      <c r="K135">
        <v>1</v>
      </c>
      <c r="L135">
        <v>1</v>
      </c>
      <c r="M135">
        <v>0.01</v>
      </c>
      <c r="O135" t="s">
        <v>160</v>
      </c>
      <c r="P135">
        <v>0</v>
      </c>
      <c r="Q135">
        <v>0</v>
      </c>
      <c r="R135">
        <v>0</v>
      </c>
      <c r="U135" t="s">
        <v>160</v>
      </c>
      <c r="V135">
        <v>0</v>
      </c>
      <c r="W135">
        <v>0</v>
      </c>
      <c r="X135">
        <v>0</v>
      </c>
      <c r="AA135" t="s">
        <v>160</v>
      </c>
      <c r="AB135">
        <v>0</v>
      </c>
      <c r="AC135">
        <v>0</v>
      </c>
      <c r="AD135">
        <v>0</v>
      </c>
      <c r="AG135" t="s">
        <v>160</v>
      </c>
      <c r="AH135">
        <v>0</v>
      </c>
      <c r="AI135">
        <v>0</v>
      </c>
      <c r="AJ135">
        <v>0</v>
      </c>
      <c r="AN135" s="60"/>
    </row>
    <row r="136" spans="2:40" x14ac:dyDescent="0.25">
      <c r="B136" t="s">
        <v>292</v>
      </c>
      <c r="C136" t="s">
        <v>1551</v>
      </c>
      <c r="D136" t="s">
        <v>1562</v>
      </c>
      <c r="E136" t="s">
        <v>1563</v>
      </c>
      <c r="F136">
        <v>-10000</v>
      </c>
      <c r="G136">
        <v>10000</v>
      </c>
      <c r="H136">
        <v>0</v>
      </c>
      <c r="I136">
        <v>1</v>
      </c>
      <c r="J136">
        <v>1</v>
      </c>
      <c r="K136">
        <v>1</v>
      </c>
      <c r="L136">
        <v>1</v>
      </c>
      <c r="M136">
        <v>0.01</v>
      </c>
      <c r="O136" t="s">
        <v>328</v>
      </c>
      <c r="P136">
        <v>0</v>
      </c>
      <c r="Q136">
        <v>0</v>
      </c>
      <c r="R136">
        <v>0</v>
      </c>
      <c r="U136" t="s">
        <v>328</v>
      </c>
      <c r="V136">
        <v>0</v>
      </c>
      <c r="W136">
        <v>0</v>
      </c>
      <c r="X136">
        <v>0</v>
      </c>
      <c r="AA136" t="s">
        <v>328</v>
      </c>
      <c r="AB136">
        <v>0</v>
      </c>
      <c r="AC136">
        <v>0</v>
      </c>
      <c r="AD136">
        <v>0</v>
      </c>
      <c r="AG136" t="s">
        <v>328</v>
      </c>
      <c r="AH136">
        <v>0</v>
      </c>
      <c r="AI136">
        <v>0</v>
      </c>
      <c r="AJ136">
        <v>0</v>
      </c>
    </row>
    <row r="137" spans="2:40" x14ac:dyDescent="0.25">
      <c r="B137" t="s">
        <v>293</v>
      </c>
      <c r="C137" t="s">
        <v>1553</v>
      </c>
      <c r="D137" t="s">
        <v>1562</v>
      </c>
      <c r="E137" t="s">
        <v>1563</v>
      </c>
      <c r="F137">
        <v>-10000</v>
      </c>
      <c r="G137">
        <v>10000</v>
      </c>
      <c r="H137">
        <v>0</v>
      </c>
      <c r="I137">
        <v>1</v>
      </c>
      <c r="J137">
        <v>1</v>
      </c>
      <c r="K137">
        <v>1</v>
      </c>
      <c r="L137">
        <v>1</v>
      </c>
      <c r="M137">
        <v>0.01</v>
      </c>
      <c r="O137" t="s">
        <v>329</v>
      </c>
      <c r="P137">
        <v>0</v>
      </c>
      <c r="Q137">
        <v>0</v>
      </c>
      <c r="R137" s="7">
        <v>0</v>
      </c>
      <c r="U137" t="s">
        <v>329</v>
      </c>
      <c r="V137">
        <v>0</v>
      </c>
      <c r="W137">
        <v>0</v>
      </c>
      <c r="X137" s="7">
        <v>0</v>
      </c>
      <c r="AA137" t="s">
        <v>329</v>
      </c>
      <c r="AB137">
        <v>0</v>
      </c>
      <c r="AC137">
        <v>0</v>
      </c>
      <c r="AD137" s="7">
        <v>1</v>
      </c>
      <c r="AG137" t="s">
        <v>329</v>
      </c>
      <c r="AH137">
        <v>0</v>
      </c>
      <c r="AI137">
        <v>0</v>
      </c>
      <c r="AJ137" s="7">
        <v>1</v>
      </c>
    </row>
    <row r="138" spans="2:40" x14ac:dyDescent="0.25">
      <c r="O138" t="s">
        <v>168</v>
      </c>
      <c r="P138">
        <v>0</v>
      </c>
      <c r="Q138">
        <v>0</v>
      </c>
      <c r="R138">
        <v>0</v>
      </c>
      <c r="U138" t="s">
        <v>168</v>
      </c>
      <c r="V138">
        <v>0</v>
      </c>
      <c r="W138">
        <v>0</v>
      </c>
      <c r="X138">
        <v>0</v>
      </c>
      <c r="AA138" t="s">
        <v>168</v>
      </c>
      <c r="AB138">
        <v>0</v>
      </c>
      <c r="AC138">
        <v>0</v>
      </c>
      <c r="AD138">
        <v>0</v>
      </c>
      <c r="AG138" t="s">
        <v>168</v>
      </c>
      <c r="AH138">
        <v>0</v>
      </c>
      <c r="AI138">
        <v>0</v>
      </c>
      <c r="AJ138">
        <v>0</v>
      </c>
    </row>
    <row r="139" spans="2:40" x14ac:dyDescent="0.25">
      <c r="O139" t="s">
        <v>84</v>
      </c>
      <c r="P139">
        <v>0</v>
      </c>
      <c r="Q139">
        <v>0</v>
      </c>
      <c r="R139">
        <v>1</v>
      </c>
      <c r="U139" t="s">
        <v>84</v>
      </c>
      <c r="V139">
        <v>0</v>
      </c>
      <c r="W139">
        <v>0</v>
      </c>
      <c r="X139">
        <v>1</v>
      </c>
      <c r="AA139" t="s">
        <v>84</v>
      </c>
      <c r="AB139">
        <v>0</v>
      </c>
      <c r="AC139">
        <v>0</v>
      </c>
      <c r="AD139">
        <v>0</v>
      </c>
      <c r="AG139" t="s">
        <v>84</v>
      </c>
      <c r="AH139">
        <v>0</v>
      </c>
      <c r="AI139">
        <v>0</v>
      </c>
      <c r="AJ139">
        <v>0</v>
      </c>
    </row>
    <row r="140" spans="2:40" x14ac:dyDescent="0.25">
      <c r="O140" t="s">
        <v>861</v>
      </c>
      <c r="P140">
        <v>0</v>
      </c>
      <c r="Q140">
        <v>0</v>
      </c>
      <c r="R140">
        <v>0</v>
      </c>
      <c r="U140" t="s">
        <v>861</v>
      </c>
      <c r="V140">
        <v>0</v>
      </c>
      <c r="W140">
        <v>0</v>
      </c>
      <c r="X140">
        <v>0</v>
      </c>
      <c r="AA140" t="s">
        <v>861</v>
      </c>
      <c r="AB140">
        <v>0</v>
      </c>
      <c r="AC140">
        <v>0</v>
      </c>
      <c r="AD140">
        <v>0</v>
      </c>
      <c r="AG140" t="s">
        <v>861</v>
      </c>
      <c r="AH140">
        <v>0</v>
      </c>
      <c r="AI140">
        <v>0</v>
      </c>
      <c r="AJ140">
        <v>0</v>
      </c>
    </row>
    <row r="141" spans="2:40" x14ac:dyDescent="0.25">
      <c r="O141" t="s">
        <v>331</v>
      </c>
      <c r="P141">
        <v>0</v>
      </c>
      <c r="Q141">
        <v>0</v>
      </c>
      <c r="R141">
        <v>0</v>
      </c>
      <c r="U141" t="s">
        <v>331</v>
      </c>
      <c r="V141">
        <v>0</v>
      </c>
      <c r="W141">
        <v>0</v>
      </c>
      <c r="X141">
        <v>0</v>
      </c>
      <c r="AA141" t="s">
        <v>331</v>
      </c>
      <c r="AB141">
        <v>0</v>
      </c>
      <c r="AC141">
        <v>0</v>
      </c>
      <c r="AD141">
        <v>0</v>
      </c>
      <c r="AG141" t="s">
        <v>331</v>
      </c>
      <c r="AH141">
        <v>0</v>
      </c>
      <c r="AI141">
        <v>0</v>
      </c>
      <c r="AJ141">
        <v>0</v>
      </c>
    </row>
    <row r="142" spans="2:40" x14ac:dyDescent="0.25">
      <c r="O142" t="s">
        <v>332</v>
      </c>
      <c r="P142">
        <v>0</v>
      </c>
      <c r="Q142">
        <v>0</v>
      </c>
      <c r="R142" s="7">
        <v>0</v>
      </c>
      <c r="U142" t="s">
        <v>332</v>
      </c>
      <c r="V142">
        <v>0</v>
      </c>
      <c r="W142">
        <v>0</v>
      </c>
      <c r="X142" s="7">
        <v>0</v>
      </c>
      <c r="AA142" t="s">
        <v>332</v>
      </c>
      <c r="AB142">
        <v>0</v>
      </c>
      <c r="AC142">
        <v>0</v>
      </c>
      <c r="AD142" s="7">
        <v>0</v>
      </c>
      <c r="AG142" t="s">
        <v>332</v>
      </c>
      <c r="AH142">
        <v>0</v>
      </c>
      <c r="AI142">
        <v>0</v>
      </c>
      <c r="AJ142" s="7">
        <v>0</v>
      </c>
    </row>
    <row r="143" spans="2:40" x14ac:dyDescent="0.25">
      <c r="O143" t="s">
        <v>161</v>
      </c>
      <c r="P143">
        <v>0</v>
      </c>
      <c r="Q143">
        <v>0</v>
      </c>
      <c r="R143">
        <v>0</v>
      </c>
      <c r="U143" t="s">
        <v>161</v>
      </c>
      <c r="V143">
        <v>0</v>
      </c>
      <c r="W143">
        <v>0</v>
      </c>
      <c r="X143">
        <v>0</v>
      </c>
      <c r="AA143" t="s">
        <v>161</v>
      </c>
      <c r="AB143">
        <v>0</v>
      </c>
      <c r="AC143">
        <v>0</v>
      </c>
      <c r="AD143">
        <v>0</v>
      </c>
      <c r="AG143" t="s">
        <v>161</v>
      </c>
      <c r="AH143">
        <v>0</v>
      </c>
      <c r="AI143">
        <v>0</v>
      </c>
      <c r="AJ143">
        <v>0</v>
      </c>
    </row>
    <row r="144" spans="2:40" x14ac:dyDescent="0.25">
      <c r="O144" t="s">
        <v>333</v>
      </c>
      <c r="P144">
        <v>0</v>
      </c>
      <c r="Q144">
        <v>0</v>
      </c>
      <c r="R144">
        <v>1</v>
      </c>
      <c r="U144" t="s">
        <v>333</v>
      </c>
      <c r="V144">
        <v>0</v>
      </c>
      <c r="W144">
        <v>0</v>
      </c>
      <c r="X144">
        <v>1</v>
      </c>
      <c r="AA144" t="s">
        <v>333</v>
      </c>
      <c r="AB144">
        <v>0</v>
      </c>
      <c r="AC144">
        <v>0</v>
      </c>
      <c r="AD144">
        <v>1</v>
      </c>
      <c r="AG144" t="s">
        <v>333</v>
      </c>
      <c r="AH144">
        <v>0</v>
      </c>
      <c r="AI144">
        <v>0</v>
      </c>
      <c r="AJ144">
        <v>1</v>
      </c>
    </row>
    <row r="145" spans="15:59" x14ac:dyDescent="0.25">
      <c r="O145" t="s">
        <v>334</v>
      </c>
      <c r="P145">
        <v>0</v>
      </c>
      <c r="Q145">
        <v>0</v>
      </c>
      <c r="R145">
        <v>0</v>
      </c>
      <c r="U145" t="s">
        <v>334</v>
      </c>
      <c r="V145">
        <v>0</v>
      </c>
      <c r="W145">
        <v>0</v>
      </c>
      <c r="X145">
        <v>0</v>
      </c>
      <c r="AA145" t="s">
        <v>334</v>
      </c>
      <c r="AB145">
        <v>0</v>
      </c>
      <c r="AC145">
        <v>0</v>
      </c>
      <c r="AD145">
        <v>0</v>
      </c>
      <c r="AG145" t="s">
        <v>334</v>
      </c>
      <c r="AH145">
        <v>0</v>
      </c>
      <c r="AI145">
        <v>0</v>
      </c>
      <c r="AJ145">
        <v>0</v>
      </c>
    </row>
    <row r="146" spans="15:59" x14ac:dyDescent="0.25">
      <c r="O146" t="s">
        <v>335</v>
      </c>
      <c r="P146">
        <v>0</v>
      </c>
      <c r="Q146">
        <v>0</v>
      </c>
      <c r="R146">
        <v>0</v>
      </c>
      <c r="U146" t="s">
        <v>335</v>
      </c>
      <c r="V146">
        <v>0</v>
      </c>
      <c r="W146">
        <v>0</v>
      </c>
      <c r="X146">
        <v>0</v>
      </c>
      <c r="AA146" t="s">
        <v>335</v>
      </c>
      <c r="AB146">
        <v>0</v>
      </c>
      <c r="AC146">
        <v>0</v>
      </c>
      <c r="AD146">
        <v>0</v>
      </c>
      <c r="AG146" t="s">
        <v>335</v>
      </c>
      <c r="AH146">
        <v>0</v>
      </c>
      <c r="AI146">
        <v>0</v>
      </c>
      <c r="AJ146">
        <v>0</v>
      </c>
    </row>
    <row r="147" spans="15:59" x14ac:dyDescent="0.25">
      <c r="O147" t="s">
        <v>336</v>
      </c>
      <c r="P147">
        <v>0</v>
      </c>
      <c r="Q147">
        <v>0</v>
      </c>
      <c r="R147">
        <v>0</v>
      </c>
      <c r="U147" t="s">
        <v>336</v>
      </c>
      <c r="V147">
        <v>0</v>
      </c>
      <c r="W147">
        <v>0</v>
      </c>
      <c r="X147">
        <v>0</v>
      </c>
      <c r="AA147" t="s">
        <v>336</v>
      </c>
      <c r="AB147">
        <v>0</v>
      </c>
      <c r="AC147">
        <v>0</v>
      </c>
      <c r="AD147">
        <v>0</v>
      </c>
      <c r="AG147" t="s">
        <v>336</v>
      </c>
      <c r="AH147">
        <v>0</v>
      </c>
      <c r="AI147">
        <v>0</v>
      </c>
      <c r="AJ147">
        <v>0</v>
      </c>
    </row>
    <row r="148" spans="15:59" x14ac:dyDescent="0.25">
      <c r="O148" t="s">
        <v>337</v>
      </c>
      <c r="P148">
        <v>0</v>
      </c>
      <c r="Q148">
        <v>0</v>
      </c>
      <c r="R148">
        <v>1</v>
      </c>
      <c r="U148" t="s">
        <v>337</v>
      </c>
      <c r="V148">
        <v>0</v>
      </c>
      <c r="W148">
        <v>0</v>
      </c>
      <c r="X148">
        <v>1</v>
      </c>
      <c r="AA148" t="s">
        <v>337</v>
      </c>
      <c r="AB148">
        <v>0</v>
      </c>
      <c r="AC148">
        <v>0</v>
      </c>
      <c r="AD148">
        <v>1</v>
      </c>
      <c r="AG148" t="s">
        <v>337</v>
      </c>
      <c r="AH148">
        <v>0</v>
      </c>
      <c r="AI148">
        <v>0</v>
      </c>
      <c r="AJ148">
        <v>1</v>
      </c>
    </row>
    <row r="149" spans="15:59" x14ac:dyDescent="0.25">
      <c r="O149" t="s">
        <v>866</v>
      </c>
      <c r="P149">
        <v>0</v>
      </c>
      <c r="Q149">
        <v>0</v>
      </c>
      <c r="R149">
        <v>0</v>
      </c>
      <c r="U149" t="s">
        <v>866</v>
      </c>
      <c r="V149">
        <v>0</v>
      </c>
      <c r="W149">
        <v>0</v>
      </c>
      <c r="X149">
        <v>0</v>
      </c>
      <c r="AA149" t="s">
        <v>866</v>
      </c>
      <c r="AB149">
        <v>0</v>
      </c>
      <c r="AC149">
        <v>0</v>
      </c>
      <c r="AD149">
        <v>0</v>
      </c>
      <c r="AG149" t="s">
        <v>866</v>
      </c>
      <c r="AH149">
        <v>0</v>
      </c>
      <c r="AI149">
        <v>0</v>
      </c>
      <c r="AJ149">
        <v>0</v>
      </c>
    </row>
    <row r="150" spans="15:59" x14ac:dyDescent="0.25">
      <c r="O150" t="s">
        <v>867</v>
      </c>
      <c r="P150">
        <v>0</v>
      </c>
      <c r="Q150">
        <v>0</v>
      </c>
      <c r="R150">
        <v>0</v>
      </c>
      <c r="U150" t="s">
        <v>867</v>
      </c>
      <c r="V150">
        <v>0</v>
      </c>
      <c r="W150">
        <v>0</v>
      </c>
      <c r="X150">
        <v>0</v>
      </c>
      <c r="AA150" t="s">
        <v>867</v>
      </c>
      <c r="AB150">
        <v>0</v>
      </c>
      <c r="AC150">
        <v>0</v>
      </c>
      <c r="AD150">
        <v>0</v>
      </c>
      <c r="AG150" t="s">
        <v>867</v>
      </c>
      <c r="AH150">
        <v>0</v>
      </c>
      <c r="AI150">
        <v>0</v>
      </c>
      <c r="AJ150">
        <v>0</v>
      </c>
    </row>
    <row r="151" spans="15:59" x14ac:dyDescent="0.25">
      <c r="O151" t="s">
        <v>340</v>
      </c>
      <c r="P151">
        <v>0</v>
      </c>
      <c r="Q151">
        <v>0</v>
      </c>
      <c r="R151">
        <v>0</v>
      </c>
      <c r="U151" t="s">
        <v>340</v>
      </c>
      <c r="V151">
        <v>0</v>
      </c>
      <c r="W151">
        <v>0</v>
      </c>
      <c r="X151">
        <v>0</v>
      </c>
      <c r="AA151" t="s">
        <v>340</v>
      </c>
      <c r="AB151">
        <v>0</v>
      </c>
      <c r="AC151">
        <v>0</v>
      </c>
      <c r="AD151">
        <v>0</v>
      </c>
      <c r="AG151" t="s">
        <v>340</v>
      </c>
      <c r="AH151">
        <v>0</v>
      </c>
      <c r="AI151">
        <v>0</v>
      </c>
      <c r="AJ151">
        <v>0</v>
      </c>
    </row>
    <row r="153" spans="15:59" x14ac:dyDescent="0.25">
      <c r="O153" s="6"/>
      <c r="U153" s="6"/>
      <c r="AA153" s="6"/>
      <c r="BA153" s="6"/>
      <c r="BG153" s="6"/>
    </row>
    <row r="235" spans="17:61" x14ac:dyDescent="0.25">
      <c r="AC235" s="60"/>
    </row>
    <row r="236" spans="17:61" x14ac:dyDescent="0.25">
      <c r="AC236" s="60"/>
    </row>
    <row r="237" spans="17:61" x14ac:dyDescent="0.25">
      <c r="AC237" s="60"/>
      <c r="BI237" s="60"/>
    </row>
    <row r="238" spans="17:61" x14ac:dyDescent="0.25">
      <c r="BI238" s="60"/>
    </row>
    <row r="239" spans="17:61" x14ac:dyDescent="0.25">
      <c r="BH239" s="60"/>
    </row>
    <row r="240" spans="17:61" x14ac:dyDescent="0.25">
      <c r="Q240" s="60"/>
      <c r="AC240" s="60"/>
    </row>
    <row r="241" spans="17:60" x14ac:dyDescent="0.25">
      <c r="Q241" s="60"/>
    </row>
    <row r="242" spans="17:60" x14ac:dyDescent="0.25">
      <c r="Q242" s="60"/>
      <c r="BH242" s="60"/>
    </row>
    <row r="243" spans="17:60" x14ac:dyDescent="0.25">
      <c r="BC243" s="60"/>
    </row>
    <row r="244" spans="17:60" x14ac:dyDescent="0.25">
      <c r="BC244" s="60"/>
    </row>
    <row r="245" spans="17:60" x14ac:dyDescent="0.25">
      <c r="Q245" s="60"/>
      <c r="BC245" s="60"/>
    </row>
    <row r="246" spans="17:60" x14ac:dyDescent="0.25">
      <c r="BC246" s="60"/>
    </row>
    <row r="247" spans="17:60" x14ac:dyDescent="0.25">
      <c r="BC247" s="60"/>
    </row>
    <row r="248" spans="17:60" x14ac:dyDescent="0.25">
      <c r="BC248" s="60"/>
    </row>
    <row r="249" spans="17:60" x14ac:dyDescent="0.25">
      <c r="AI249" s="60"/>
    </row>
    <row r="250" spans="17:60" x14ac:dyDescent="0.25">
      <c r="AI250" s="60"/>
    </row>
    <row r="251" spans="17:60" x14ac:dyDescent="0.25">
      <c r="AI251" s="60"/>
      <c r="BC251" s="69"/>
    </row>
    <row r="252" spans="17:60" x14ac:dyDescent="0.25">
      <c r="W252" s="60"/>
      <c r="AI252" s="60"/>
    </row>
    <row r="253" spans="17:60" x14ac:dyDescent="0.25">
      <c r="W253" s="60"/>
      <c r="AI253" s="60"/>
      <c r="BC253" s="60"/>
    </row>
    <row r="254" spans="17:60" x14ac:dyDescent="0.25">
      <c r="W254" s="60"/>
      <c r="AI254" s="60"/>
    </row>
    <row r="255" spans="17:60" x14ac:dyDescent="0.25">
      <c r="W255" s="60"/>
    </row>
    <row r="256" spans="17:60" x14ac:dyDescent="0.25">
      <c r="W256" s="60"/>
    </row>
    <row r="257" spans="23:35" x14ac:dyDescent="0.25">
      <c r="W257" s="60"/>
      <c r="AI257" s="69"/>
    </row>
    <row r="259" spans="23:35" x14ac:dyDescent="0.25">
      <c r="AI259" s="60"/>
    </row>
    <row r="260" spans="23:35" x14ac:dyDescent="0.25">
      <c r="W260" s="69"/>
    </row>
    <row r="262" spans="23:35" x14ac:dyDescent="0.25">
      <c r="W262" s="6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2BA0-BE69-4ABA-BBD5-DCD47B450E22}">
  <sheetPr codeName="Sheet4"/>
  <dimension ref="A2:P67"/>
  <sheetViews>
    <sheetView workbookViewId="0">
      <selection activeCell="I30" sqref="I30"/>
    </sheetView>
  </sheetViews>
  <sheetFormatPr defaultRowHeight="15" x14ac:dyDescent="0.25"/>
  <cols>
    <col min="1" max="1" width="14.28515625" customWidth="1"/>
  </cols>
  <sheetData>
    <row r="2" spans="2:15" x14ac:dyDescent="0.25">
      <c r="B2" t="s">
        <v>319</v>
      </c>
    </row>
    <row r="4" spans="2:15" x14ac:dyDescent="0.25">
      <c r="B4" s="36" t="s">
        <v>1590</v>
      </c>
      <c r="C4" s="36"/>
      <c r="D4" s="36" t="s">
        <v>1591</v>
      </c>
      <c r="E4" s="36"/>
      <c r="F4" s="36" t="s">
        <v>1592</v>
      </c>
      <c r="G4" s="36"/>
      <c r="J4" s="36" t="s">
        <v>1593</v>
      </c>
      <c r="K4" s="36"/>
      <c r="L4" s="36" t="s">
        <v>1594</v>
      </c>
      <c r="M4" s="36"/>
      <c r="N4" s="36" t="s">
        <v>1595</v>
      </c>
      <c r="O4" s="36"/>
    </row>
    <row r="5" spans="2:15" x14ac:dyDescent="0.25">
      <c r="B5" s="36" t="s">
        <v>1596</v>
      </c>
      <c r="C5" s="36" t="s">
        <v>1597</v>
      </c>
      <c r="D5" s="36" t="s">
        <v>1596</v>
      </c>
      <c r="E5" s="36" t="s">
        <v>1597</v>
      </c>
      <c r="F5" s="36" t="s">
        <v>1596</v>
      </c>
      <c r="G5" s="36" t="s">
        <v>1597</v>
      </c>
      <c r="J5" s="36" t="s">
        <v>1596</v>
      </c>
      <c r="K5" s="36" t="s">
        <v>1597</v>
      </c>
      <c r="L5" s="36" t="s">
        <v>1596</v>
      </c>
      <c r="M5" s="36" t="s">
        <v>1597</v>
      </c>
      <c r="N5" s="36" t="s">
        <v>1596</v>
      </c>
      <c r="O5" s="36" t="s">
        <v>1597</v>
      </c>
    </row>
    <row r="6" spans="2:15" x14ac:dyDescent="0.25">
      <c r="B6" s="36">
        <v>4.4999999999999982</v>
      </c>
      <c r="C6" s="36">
        <v>2</v>
      </c>
      <c r="D6" s="36">
        <v>3.5000000000000022</v>
      </c>
      <c r="E6" s="36">
        <v>2</v>
      </c>
      <c r="F6" s="36">
        <v>4.9999999999999982</v>
      </c>
      <c r="G6" s="36">
        <v>2</v>
      </c>
      <c r="J6" s="36">
        <v>5.4999999999999956</v>
      </c>
      <c r="K6" s="36">
        <v>2</v>
      </c>
      <c r="L6" s="36">
        <v>4.4999999999999947</v>
      </c>
      <c r="M6" s="36">
        <v>2</v>
      </c>
      <c r="N6" s="36">
        <v>5.9999999999999947</v>
      </c>
      <c r="O6" s="36">
        <v>2</v>
      </c>
    </row>
    <row r="7" spans="2:15" x14ac:dyDescent="0.25">
      <c r="B7" s="36">
        <v>4.0999999999999996</v>
      </c>
      <c r="C7" s="36">
        <v>1.9</v>
      </c>
      <c r="D7" s="36">
        <v>3.099999999999997</v>
      </c>
      <c r="E7" s="36">
        <v>1.9</v>
      </c>
      <c r="F7" s="36">
        <v>4.5750000000000028</v>
      </c>
      <c r="G7" s="36">
        <v>1.9</v>
      </c>
      <c r="J7" s="36">
        <v>5.0749999999999975</v>
      </c>
      <c r="K7" s="36">
        <v>1.9</v>
      </c>
      <c r="L7" s="36">
        <v>4.0749999999999993</v>
      </c>
      <c r="M7" s="36">
        <v>1.9</v>
      </c>
      <c r="N7" s="36">
        <v>5.5750000000000046</v>
      </c>
      <c r="O7" s="36">
        <v>1.9</v>
      </c>
    </row>
    <row r="8" spans="2:15" x14ac:dyDescent="0.25">
      <c r="B8" s="36">
        <v>3.7000000000000055</v>
      </c>
      <c r="C8" s="36">
        <v>1.8</v>
      </c>
      <c r="D8" s="36">
        <v>2.7000000000000051</v>
      </c>
      <c r="E8" s="36">
        <v>1.8</v>
      </c>
      <c r="F8" s="36">
        <v>4.1500000000000048</v>
      </c>
      <c r="G8" s="36">
        <v>1.8</v>
      </c>
      <c r="J8" s="36">
        <v>4.6499999999999924</v>
      </c>
      <c r="K8" s="36">
        <v>1.8</v>
      </c>
      <c r="L8" s="36">
        <v>3.6499999999999964</v>
      </c>
      <c r="M8" s="36">
        <v>1.8</v>
      </c>
      <c r="N8" s="36">
        <v>5.149999999999995</v>
      </c>
      <c r="O8" s="36">
        <v>1.8</v>
      </c>
    </row>
    <row r="9" spans="2:15" x14ac:dyDescent="0.25">
      <c r="B9" s="36">
        <v>3.2999999999999914</v>
      </c>
      <c r="C9" s="36">
        <v>1.7</v>
      </c>
      <c r="D9" s="36">
        <v>2.3000000000000025</v>
      </c>
      <c r="E9" s="36">
        <v>1.7</v>
      </c>
      <c r="F9" s="36">
        <v>3.7250000000000005</v>
      </c>
      <c r="G9" s="36">
        <v>1.7</v>
      </c>
      <c r="J9" s="36">
        <v>4.2249999999999925</v>
      </c>
      <c r="K9" s="36">
        <v>1.7</v>
      </c>
      <c r="L9" s="36">
        <v>3.2249999999999965</v>
      </c>
      <c r="M9" s="36">
        <v>1.7</v>
      </c>
      <c r="N9" s="36">
        <v>4.7249999999999979</v>
      </c>
      <c r="O9" s="36">
        <v>1.7</v>
      </c>
    </row>
    <row r="10" spans="2:15" x14ac:dyDescent="0.25">
      <c r="B10" s="36">
        <v>2.8999999999999972</v>
      </c>
      <c r="C10" s="36">
        <v>1.6</v>
      </c>
      <c r="D10" s="36">
        <v>1.900000000000001</v>
      </c>
      <c r="E10" s="36">
        <v>1.6</v>
      </c>
      <c r="F10" s="36">
        <v>3.3000000000000016</v>
      </c>
      <c r="G10" s="36">
        <v>1.6</v>
      </c>
      <c r="J10" s="36">
        <v>3.7999999999999936</v>
      </c>
      <c r="K10" s="36">
        <v>1.6</v>
      </c>
      <c r="L10" s="36">
        <v>2.8000000000000012</v>
      </c>
      <c r="M10" s="36">
        <v>1.6</v>
      </c>
      <c r="N10" s="36">
        <v>4.2999999999999972</v>
      </c>
      <c r="O10" s="36">
        <v>1.6</v>
      </c>
    </row>
    <row r="11" spans="2:15" x14ac:dyDescent="0.25">
      <c r="B11" s="36">
        <v>2.500000000000004</v>
      </c>
      <c r="C11" s="36">
        <v>1.5</v>
      </c>
      <c r="D11" s="36">
        <v>1.4999999999999982</v>
      </c>
      <c r="E11" s="36">
        <v>1.5</v>
      </c>
      <c r="F11" s="36">
        <v>2.8749999999999991</v>
      </c>
      <c r="G11" s="36">
        <v>1.5</v>
      </c>
      <c r="J11" s="36">
        <v>3.3749999999999956</v>
      </c>
      <c r="K11" s="36">
        <v>1.5</v>
      </c>
      <c r="L11" s="36">
        <v>2.3749999999999956</v>
      </c>
      <c r="M11" s="36">
        <v>1.5</v>
      </c>
      <c r="N11" s="36">
        <v>3.8749999999999956</v>
      </c>
      <c r="O11" s="36">
        <v>1.5</v>
      </c>
    </row>
    <row r="12" spans="2:15" x14ac:dyDescent="0.25">
      <c r="B12" s="36">
        <v>2.0999999999999988</v>
      </c>
      <c r="C12" s="36">
        <v>1.4</v>
      </c>
      <c r="D12" s="36">
        <v>1.1000000000000001</v>
      </c>
      <c r="E12" s="36">
        <v>1.4</v>
      </c>
      <c r="F12" s="36">
        <v>2.4499999999999997</v>
      </c>
      <c r="G12" s="36">
        <v>1.4</v>
      </c>
      <c r="J12" s="36">
        <v>2.95</v>
      </c>
      <c r="K12" s="36">
        <v>1.4</v>
      </c>
      <c r="L12" s="36">
        <v>1.9499999999999971</v>
      </c>
      <c r="M12" s="36">
        <v>1.4</v>
      </c>
      <c r="N12" s="36">
        <v>3.4499999999999957</v>
      </c>
      <c r="O12" s="36">
        <v>1.4</v>
      </c>
    </row>
    <row r="13" spans="2:15" x14ac:dyDescent="0.25">
      <c r="B13" s="36">
        <v>1.7000000000000011</v>
      </c>
      <c r="C13" s="36">
        <v>1.3</v>
      </c>
      <c r="D13" s="36">
        <v>0.7000000000000004</v>
      </c>
      <c r="E13" s="36">
        <v>1.3</v>
      </c>
      <c r="F13" s="36">
        <v>2.0250000000000017</v>
      </c>
      <c r="G13" s="36">
        <v>1.3</v>
      </c>
      <c r="J13" s="36">
        <v>2.5249999999999946</v>
      </c>
      <c r="K13" s="36">
        <v>1.3</v>
      </c>
      <c r="L13" s="36">
        <v>1.5249999999999979</v>
      </c>
      <c r="M13" s="36">
        <v>1.3</v>
      </c>
      <c r="N13" s="36">
        <v>3.0249999999999972</v>
      </c>
      <c r="O13" s="36">
        <v>1.3</v>
      </c>
    </row>
    <row r="14" spans="2:15" x14ac:dyDescent="0.25">
      <c r="B14" s="36">
        <v>1.2499999999999987</v>
      </c>
      <c r="C14" s="36">
        <v>1.2</v>
      </c>
      <c r="D14" s="36">
        <v>0.25000000000000022</v>
      </c>
      <c r="E14" s="36">
        <v>1.2</v>
      </c>
      <c r="F14" s="36">
        <v>1.5996727272727271</v>
      </c>
      <c r="G14" s="36">
        <v>1.2</v>
      </c>
      <c r="J14" s="36">
        <v>2.0989064398541908</v>
      </c>
      <c r="K14" s="36">
        <v>1.2</v>
      </c>
      <c r="L14" s="36">
        <v>1.0989064398541921</v>
      </c>
      <c r="M14" s="36">
        <v>1.2</v>
      </c>
      <c r="N14" s="36">
        <v>2.5980505415162432</v>
      </c>
      <c r="O14" s="36">
        <v>1.2</v>
      </c>
    </row>
    <row r="15" spans="2:15" x14ac:dyDescent="0.25">
      <c r="B15" s="36">
        <v>0.75000000000000222</v>
      </c>
      <c r="C15" s="36">
        <v>1.1000000000000001</v>
      </c>
      <c r="D15" s="36">
        <v>0</v>
      </c>
      <c r="E15" s="36">
        <v>0</v>
      </c>
      <c r="F15" s="36">
        <v>1.1622636363636363</v>
      </c>
      <c r="G15" s="36">
        <v>1.1000000000000001</v>
      </c>
      <c r="J15" s="36">
        <v>1.632442284325635</v>
      </c>
      <c r="K15" s="36">
        <v>1.1000000000000001</v>
      </c>
      <c r="L15" s="36">
        <v>0.63244228432563809</v>
      </c>
      <c r="M15" s="36">
        <v>1.1000000000000001</v>
      </c>
      <c r="N15" s="36">
        <v>2.0991335740072183</v>
      </c>
      <c r="O15" s="36">
        <v>1.1000000000000001</v>
      </c>
    </row>
    <row r="17" spans="1:15" x14ac:dyDescent="0.25">
      <c r="A17" t="s">
        <v>1612</v>
      </c>
      <c r="B17" t="s">
        <v>313</v>
      </c>
      <c r="D17" t="s">
        <v>313</v>
      </c>
      <c r="F17" t="s">
        <v>240</v>
      </c>
      <c r="J17" t="s">
        <v>313</v>
      </c>
      <c r="L17" t="s">
        <v>313</v>
      </c>
      <c r="N17" t="s">
        <v>283</v>
      </c>
    </row>
    <row r="20" spans="1:15" x14ac:dyDescent="0.25">
      <c r="B20" t="s">
        <v>315</v>
      </c>
      <c r="J20" t="s">
        <v>315</v>
      </c>
    </row>
    <row r="21" spans="1:15" x14ac:dyDescent="0.25">
      <c r="B21" s="36" t="s">
        <v>1590</v>
      </c>
      <c r="C21" s="36"/>
      <c r="D21" s="36" t="s">
        <v>1591</v>
      </c>
      <c r="E21" s="36"/>
      <c r="F21" s="36" t="s">
        <v>1592</v>
      </c>
      <c r="G21" s="36"/>
      <c r="J21" s="36" t="s">
        <v>1593</v>
      </c>
      <c r="K21" s="36"/>
      <c r="L21" s="36" t="s">
        <v>1594</v>
      </c>
      <c r="M21" s="36"/>
      <c r="N21" s="36" t="s">
        <v>1595</v>
      </c>
      <c r="O21" s="36"/>
    </row>
    <row r="22" spans="1:15" x14ac:dyDescent="0.25">
      <c r="B22" s="36" t="s">
        <v>1596</v>
      </c>
      <c r="C22" s="36" t="s">
        <v>1597</v>
      </c>
      <c r="D22" s="36" t="s">
        <v>1596</v>
      </c>
      <c r="E22" s="36" t="s">
        <v>1597</v>
      </c>
      <c r="F22" s="36" t="s">
        <v>1596</v>
      </c>
      <c r="G22" s="36" t="s">
        <v>1597</v>
      </c>
      <c r="J22" s="36" t="s">
        <v>1596</v>
      </c>
      <c r="K22" s="36" t="s">
        <v>1597</v>
      </c>
      <c r="L22" s="36" t="s">
        <v>1596</v>
      </c>
      <c r="M22" s="36" t="s">
        <v>1597</v>
      </c>
      <c r="N22" s="36" t="s">
        <v>1596</v>
      </c>
      <c r="O22" s="36" t="s">
        <v>1597</v>
      </c>
    </row>
    <row r="23" spans="1:15" x14ac:dyDescent="0.25">
      <c r="B23" s="36">
        <v>4.4999999999999991</v>
      </c>
      <c r="C23" s="36">
        <v>2</v>
      </c>
      <c r="D23" s="36">
        <v>3.5000000000000013</v>
      </c>
      <c r="E23" s="36">
        <v>2</v>
      </c>
      <c r="F23" s="36">
        <v>5.0000000000000009</v>
      </c>
      <c r="G23" s="36">
        <v>2</v>
      </c>
      <c r="J23" s="36">
        <v>5.5000000000000044</v>
      </c>
      <c r="K23" s="36">
        <v>2</v>
      </c>
      <c r="L23" s="36">
        <v>4.5000000000000009</v>
      </c>
      <c r="M23" s="36">
        <v>2</v>
      </c>
      <c r="N23" s="36">
        <v>5.9999999999999982</v>
      </c>
      <c r="O23" s="36">
        <v>2</v>
      </c>
    </row>
    <row r="24" spans="1:15" x14ac:dyDescent="0.25">
      <c r="B24" s="36">
        <v>4.0999999999999996</v>
      </c>
      <c r="C24" s="36">
        <v>1.9</v>
      </c>
      <c r="D24" s="36">
        <v>3.100000000000001</v>
      </c>
      <c r="E24" s="36">
        <v>1.9</v>
      </c>
      <c r="F24" s="36">
        <v>4.5624999999999982</v>
      </c>
      <c r="G24" s="36">
        <v>1.9</v>
      </c>
      <c r="J24" s="36">
        <v>5.0333333333333314</v>
      </c>
      <c r="K24" s="36">
        <v>1.9</v>
      </c>
      <c r="L24" s="36">
        <v>4.0333333333333332</v>
      </c>
      <c r="M24" s="36">
        <v>1.9</v>
      </c>
      <c r="N24" s="36">
        <v>5.4999999999999991</v>
      </c>
      <c r="O24" s="36">
        <v>1.9</v>
      </c>
    </row>
    <row r="25" spans="1:15" x14ac:dyDescent="0.25">
      <c r="B25" s="36">
        <v>3.6999999999999984</v>
      </c>
      <c r="C25" s="36">
        <v>1.8</v>
      </c>
      <c r="D25" s="36">
        <v>2.6999999999999984</v>
      </c>
      <c r="E25" s="36">
        <v>1.8</v>
      </c>
      <c r="F25" s="36">
        <v>4.1250000000000009</v>
      </c>
      <c r="G25" s="36">
        <v>1.8</v>
      </c>
      <c r="J25" s="36">
        <v>4.5666666666666647</v>
      </c>
      <c r="K25" s="36">
        <v>1.8</v>
      </c>
      <c r="L25" s="36">
        <v>3.5666666666666687</v>
      </c>
      <c r="M25" s="36">
        <v>1.8</v>
      </c>
      <c r="N25" s="36">
        <v>5</v>
      </c>
      <c r="O25" s="36">
        <v>1.8</v>
      </c>
    </row>
    <row r="26" spans="1:15" x14ac:dyDescent="0.25">
      <c r="B26" s="36">
        <v>3.3</v>
      </c>
      <c r="C26" s="36">
        <v>1.7</v>
      </c>
      <c r="D26" s="36">
        <v>2.2999999999999976</v>
      </c>
      <c r="E26" s="36">
        <v>1.7</v>
      </c>
      <c r="F26" s="36">
        <v>3.6875000000000009</v>
      </c>
      <c r="G26" s="36">
        <v>1.7</v>
      </c>
      <c r="J26" s="36">
        <v>4.1000000000000023</v>
      </c>
      <c r="K26" s="36">
        <v>1.7</v>
      </c>
      <c r="L26" s="36">
        <v>3.1000000000000005</v>
      </c>
      <c r="M26" s="36">
        <v>1.7</v>
      </c>
      <c r="N26" s="36">
        <v>4.4999999999999982</v>
      </c>
      <c r="O26" s="36">
        <v>1.7</v>
      </c>
    </row>
    <row r="27" spans="1:15" x14ac:dyDescent="0.25">
      <c r="B27" s="36">
        <v>2.9</v>
      </c>
      <c r="C27" s="36">
        <v>1.6</v>
      </c>
      <c r="D27" s="36">
        <v>1.8999999999999964</v>
      </c>
      <c r="E27" s="36">
        <v>1.6</v>
      </c>
      <c r="F27" s="36">
        <v>3.2499999999999991</v>
      </c>
      <c r="G27" s="36">
        <v>1.6</v>
      </c>
      <c r="J27" s="36">
        <v>3.6333333333333315</v>
      </c>
      <c r="K27" s="36">
        <v>1.6</v>
      </c>
      <c r="L27" s="36">
        <v>2.633333333333332</v>
      </c>
      <c r="M27" s="36">
        <v>1.6</v>
      </c>
      <c r="N27" s="36">
        <v>3.9999999999999987</v>
      </c>
      <c r="O27" s="36">
        <v>1.6</v>
      </c>
    </row>
    <row r="28" spans="1:15" x14ac:dyDescent="0.25">
      <c r="B28" s="36">
        <v>2.5</v>
      </c>
      <c r="C28" s="36">
        <v>1.5</v>
      </c>
      <c r="D28" s="36">
        <v>1.4999999999999998</v>
      </c>
      <c r="E28" s="36">
        <v>1.5</v>
      </c>
      <c r="F28" s="36">
        <v>2.8125</v>
      </c>
      <c r="G28" s="36">
        <v>1.5</v>
      </c>
      <c r="J28" s="36">
        <v>3.1666666666666674</v>
      </c>
      <c r="K28" s="36">
        <v>1.5</v>
      </c>
      <c r="L28" s="36">
        <v>2.1666666666666665</v>
      </c>
      <c r="M28" s="36">
        <v>1.5</v>
      </c>
      <c r="N28" s="36">
        <v>3.5</v>
      </c>
      <c r="O28" s="36">
        <v>1.5</v>
      </c>
    </row>
    <row r="29" spans="1:15" x14ac:dyDescent="0.25">
      <c r="B29" s="36">
        <v>2.1</v>
      </c>
      <c r="C29" s="36">
        <v>1.4</v>
      </c>
      <c r="D29" s="36">
        <v>1.1000000000000003</v>
      </c>
      <c r="E29" s="36">
        <v>1.4</v>
      </c>
      <c r="F29" s="36">
        <v>2.3749999999999991</v>
      </c>
      <c r="G29" s="36">
        <v>1.4</v>
      </c>
      <c r="J29" s="36">
        <v>2.7000000000000006</v>
      </c>
      <c r="K29" s="36">
        <v>1.4</v>
      </c>
      <c r="L29" s="36">
        <v>1.7</v>
      </c>
      <c r="M29" s="36">
        <v>1.4</v>
      </c>
      <c r="N29" s="36">
        <v>2.8833333333333342</v>
      </c>
      <c r="O29" s="36">
        <v>1.4</v>
      </c>
    </row>
    <row r="30" spans="1:15" x14ac:dyDescent="0.25">
      <c r="B30" s="36">
        <v>1.7</v>
      </c>
      <c r="C30" s="36">
        <v>1.3</v>
      </c>
      <c r="D30" s="36">
        <v>0.7</v>
      </c>
      <c r="E30" s="36">
        <v>1.3</v>
      </c>
      <c r="F30" s="36">
        <v>1.9374999999999993</v>
      </c>
      <c r="G30" s="36">
        <v>1.3</v>
      </c>
      <c r="J30" s="36">
        <v>2.2333333333333303</v>
      </c>
      <c r="K30" s="36">
        <v>1.3</v>
      </c>
      <c r="L30" s="36">
        <v>1.2333333333333336</v>
      </c>
      <c r="M30" s="36">
        <v>1.3</v>
      </c>
      <c r="N30" s="36">
        <v>2.2666666666666648</v>
      </c>
      <c r="O30" s="36">
        <v>1.3</v>
      </c>
    </row>
    <row r="31" spans="1:15" x14ac:dyDescent="0.25">
      <c r="B31" s="36">
        <v>0</v>
      </c>
      <c r="C31" s="36">
        <v>0</v>
      </c>
      <c r="D31" s="36">
        <v>0</v>
      </c>
      <c r="E31" s="36">
        <v>0</v>
      </c>
      <c r="F31" s="36">
        <v>1.5</v>
      </c>
      <c r="G31" s="36">
        <v>1.2</v>
      </c>
      <c r="J31" s="36">
        <v>0</v>
      </c>
      <c r="K31" s="36">
        <v>0</v>
      </c>
      <c r="L31" s="36">
        <v>0</v>
      </c>
      <c r="M31" s="36">
        <v>0</v>
      </c>
      <c r="N31" s="36">
        <v>1.65</v>
      </c>
      <c r="O31" s="36">
        <v>1.2</v>
      </c>
    </row>
    <row r="32" spans="1:15" x14ac:dyDescent="0.25">
      <c r="B32" s="36">
        <v>0</v>
      </c>
      <c r="C32" s="36">
        <v>0</v>
      </c>
      <c r="D32" s="36">
        <v>0</v>
      </c>
      <c r="E32" s="36">
        <v>0</v>
      </c>
      <c r="F32" s="36">
        <v>1.0625</v>
      </c>
      <c r="G32" s="36">
        <v>1.1000000000000001</v>
      </c>
      <c r="J32" s="36">
        <v>0</v>
      </c>
      <c r="K32" s="36">
        <v>0</v>
      </c>
      <c r="L32" s="36">
        <v>0</v>
      </c>
      <c r="M32" s="36">
        <v>0</v>
      </c>
      <c r="N32" s="36">
        <v>1.033333333333333</v>
      </c>
      <c r="O32" s="36">
        <v>1.1000000000000001</v>
      </c>
    </row>
    <row r="35" spans="1:16" x14ac:dyDescent="0.25">
      <c r="A35" s="30"/>
      <c r="B35" s="30" t="s">
        <v>319</v>
      </c>
      <c r="C35" s="30"/>
      <c r="D35" s="30"/>
      <c r="E35" s="30"/>
      <c r="F35" s="30"/>
      <c r="G35" s="30"/>
      <c r="H35" s="30"/>
      <c r="I35" s="30"/>
      <c r="J35" s="30"/>
      <c r="K35" s="30"/>
      <c r="L35" s="30"/>
      <c r="M35" s="30"/>
      <c r="N35" s="30"/>
      <c r="O35" s="30"/>
      <c r="P35" s="30"/>
    </row>
    <row r="36" spans="1:16" x14ac:dyDescent="0.25">
      <c r="A36" s="30"/>
      <c r="B36" s="30"/>
      <c r="C36" s="30"/>
      <c r="D36" s="30"/>
      <c r="E36" s="30"/>
      <c r="F36" s="30"/>
      <c r="G36" s="30"/>
      <c r="H36" s="30"/>
      <c r="I36" s="30"/>
      <c r="J36" s="30"/>
      <c r="K36" s="30"/>
      <c r="L36" s="30"/>
      <c r="M36" s="30"/>
      <c r="N36" s="30"/>
      <c r="O36" s="30"/>
      <c r="P36" s="30"/>
    </row>
    <row r="37" spans="1:16" x14ac:dyDescent="0.25">
      <c r="A37" s="30"/>
      <c r="B37" s="38" t="s">
        <v>1590</v>
      </c>
      <c r="C37" s="38"/>
      <c r="D37" s="38" t="s">
        <v>1591</v>
      </c>
      <c r="E37" s="38"/>
      <c r="F37" s="38" t="s">
        <v>1592</v>
      </c>
      <c r="G37" s="38"/>
      <c r="H37" s="30"/>
      <c r="I37" s="30"/>
      <c r="J37" s="38" t="s">
        <v>1593</v>
      </c>
      <c r="K37" s="38"/>
      <c r="L37" s="38" t="s">
        <v>1594</v>
      </c>
      <c r="M37" s="38"/>
      <c r="N37" s="38" t="s">
        <v>1595</v>
      </c>
      <c r="O37" s="38"/>
      <c r="P37" s="30"/>
    </row>
    <row r="38" spans="1:16" x14ac:dyDescent="0.25">
      <c r="A38" s="30"/>
      <c r="B38" s="38" t="s">
        <v>1611</v>
      </c>
      <c r="C38" s="38" t="s">
        <v>1610</v>
      </c>
      <c r="D38" s="38" t="s">
        <v>1611</v>
      </c>
      <c r="E38" s="38" t="s">
        <v>1610</v>
      </c>
      <c r="F38" s="38" t="s">
        <v>1611</v>
      </c>
      <c r="G38" s="38" t="s">
        <v>1610</v>
      </c>
      <c r="H38" s="30"/>
      <c r="I38" s="30"/>
      <c r="J38" s="38" t="s">
        <v>1611</v>
      </c>
      <c r="K38" s="38" t="s">
        <v>1610</v>
      </c>
      <c r="L38" s="38" t="s">
        <v>1611</v>
      </c>
      <c r="M38" s="38" t="s">
        <v>1610</v>
      </c>
      <c r="N38" s="38" t="s">
        <v>1611</v>
      </c>
      <c r="O38" s="38" t="s">
        <v>1610</v>
      </c>
      <c r="P38" s="30"/>
    </row>
    <row r="39" spans="1:16" x14ac:dyDescent="0.25">
      <c r="A39" s="30"/>
      <c r="B39" s="38">
        <f t="shared" ref="B39:B48" si="0">1/B6</f>
        <v>0.22222222222222232</v>
      </c>
      <c r="C39" s="38">
        <f t="shared" ref="C39:C48" si="1">B39*C6</f>
        <v>0.44444444444444464</v>
      </c>
      <c r="D39" s="38">
        <f t="shared" ref="D39:D47" si="2">1/D6</f>
        <v>0.28571428571428553</v>
      </c>
      <c r="E39" s="38">
        <f t="shared" ref="E39:E48" si="3">D39*E6</f>
        <v>0.57142857142857106</v>
      </c>
      <c r="F39" s="38">
        <f t="shared" ref="F39:F48" si="4">1/F6</f>
        <v>0.20000000000000007</v>
      </c>
      <c r="G39" s="38">
        <f t="shared" ref="G39:G48" si="5">F39*G6</f>
        <v>0.40000000000000013</v>
      </c>
      <c r="H39" s="30"/>
      <c r="I39" s="30"/>
      <c r="J39" s="38">
        <f t="shared" ref="J39:J48" si="6">1/J6</f>
        <v>0.18181818181818196</v>
      </c>
      <c r="K39" s="38">
        <f t="shared" ref="K39:K48" si="7">J39*K6</f>
        <v>0.36363636363636392</v>
      </c>
      <c r="L39" s="38">
        <f t="shared" ref="L39:L48" si="8">1/L6</f>
        <v>0.22222222222222249</v>
      </c>
      <c r="M39" s="38">
        <f t="shared" ref="M39:M48" si="9">L39*M6</f>
        <v>0.44444444444444497</v>
      </c>
      <c r="N39" s="38">
        <f t="shared" ref="N39:N48" si="10">1/N6</f>
        <v>0.16666666666666682</v>
      </c>
      <c r="O39" s="38">
        <f t="shared" ref="O39:O48" si="11">N39*O6</f>
        <v>0.33333333333333365</v>
      </c>
      <c r="P39" s="30"/>
    </row>
    <row r="40" spans="1:16" x14ac:dyDescent="0.25">
      <c r="A40" s="30"/>
      <c r="B40" s="38">
        <f t="shared" si="0"/>
        <v>0.24390243902439027</v>
      </c>
      <c r="C40" s="38">
        <f t="shared" si="1"/>
        <v>0.46341463414634149</v>
      </c>
      <c r="D40" s="38">
        <f t="shared" si="2"/>
        <v>0.32258064516129065</v>
      </c>
      <c r="E40" s="38">
        <f t="shared" si="3"/>
        <v>0.61290322580645218</v>
      </c>
      <c r="F40" s="38">
        <f t="shared" si="4"/>
        <v>0.21857923497267745</v>
      </c>
      <c r="G40" s="38">
        <f t="shared" si="5"/>
        <v>0.41530054644808712</v>
      </c>
      <c r="H40" s="30"/>
      <c r="I40" s="30"/>
      <c r="J40" s="38">
        <f t="shared" si="6"/>
        <v>0.19704433497536955</v>
      </c>
      <c r="K40" s="38">
        <f t="shared" si="7"/>
        <v>0.37438423645320212</v>
      </c>
      <c r="L40" s="38">
        <f t="shared" si="8"/>
        <v>0.24539877300613502</v>
      </c>
      <c r="M40" s="38">
        <f t="shared" si="9"/>
        <v>0.46625766871165653</v>
      </c>
      <c r="N40" s="38">
        <f t="shared" si="10"/>
        <v>0.17937219730941689</v>
      </c>
      <c r="O40" s="38">
        <f t="shared" si="11"/>
        <v>0.34080717488789208</v>
      </c>
      <c r="P40" s="30"/>
    </row>
    <row r="41" spans="1:16" x14ac:dyDescent="0.25">
      <c r="A41" s="30"/>
      <c r="B41" s="38">
        <f t="shared" si="0"/>
        <v>0.27027027027026984</v>
      </c>
      <c r="C41" s="38">
        <f t="shared" si="1"/>
        <v>0.48648648648648574</v>
      </c>
      <c r="D41" s="38">
        <f t="shared" si="2"/>
        <v>0.37037037037036968</v>
      </c>
      <c r="E41" s="38">
        <f t="shared" si="3"/>
        <v>0.66666666666666541</v>
      </c>
      <c r="F41" s="38">
        <f t="shared" si="4"/>
        <v>0.24096385542168647</v>
      </c>
      <c r="G41" s="38">
        <f t="shared" si="5"/>
        <v>0.43373493975903565</v>
      </c>
      <c r="H41" s="30"/>
      <c r="I41" s="30"/>
      <c r="J41" s="38">
        <f t="shared" si="6"/>
        <v>0.21505376344086058</v>
      </c>
      <c r="K41" s="38">
        <f t="shared" si="7"/>
        <v>0.38709677419354904</v>
      </c>
      <c r="L41" s="38">
        <f t="shared" si="8"/>
        <v>0.27397260273972629</v>
      </c>
      <c r="M41" s="38">
        <f t="shared" si="9"/>
        <v>0.49315068493150732</v>
      </c>
      <c r="N41" s="38">
        <f t="shared" si="10"/>
        <v>0.19417475728155359</v>
      </c>
      <c r="O41" s="38">
        <f t="shared" si="11"/>
        <v>0.34951456310679646</v>
      </c>
      <c r="P41" s="30"/>
    </row>
    <row r="42" spans="1:16" x14ac:dyDescent="0.25">
      <c r="A42" s="30"/>
      <c r="B42" s="38">
        <f t="shared" si="0"/>
        <v>0.30303030303030382</v>
      </c>
      <c r="C42" s="38">
        <f t="shared" si="1"/>
        <v>0.51515151515151647</v>
      </c>
      <c r="D42" s="38">
        <f t="shared" si="2"/>
        <v>0.43478260869565172</v>
      </c>
      <c r="E42" s="38">
        <f t="shared" si="3"/>
        <v>0.73913043478260787</v>
      </c>
      <c r="F42" s="38">
        <f t="shared" si="4"/>
        <v>0.26845637583892612</v>
      </c>
      <c r="G42" s="38">
        <f t="shared" si="5"/>
        <v>0.45637583892617439</v>
      </c>
      <c r="H42" s="30"/>
      <c r="I42" s="30"/>
      <c r="J42" s="38">
        <f t="shared" si="6"/>
        <v>0.23668639053254481</v>
      </c>
      <c r="K42" s="38">
        <f t="shared" si="7"/>
        <v>0.40236686390532617</v>
      </c>
      <c r="L42" s="38">
        <f t="shared" si="8"/>
        <v>0.31007751937984529</v>
      </c>
      <c r="M42" s="38">
        <f t="shared" si="9"/>
        <v>0.52713178294573693</v>
      </c>
      <c r="N42" s="38">
        <f t="shared" si="10"/>
        <v>0.21164021164021174</v>
      </c>
      <c r="O42" s="38">
        <f t="shared" si="11"/>
        <v>0.35978835978835993</v>
      </c>
      <c r="P42" s="30"/>
    </row>
    <row r="43" spans="1:16" x14ac:dyDescent="0.25">
      <c r="A43" s="30"/>
      <c r="B43" s="38">
        <f t="shared" si="0"/>
        <v>0.34482758620689685</v>
      </c>
      <c r="C43" s="38">
        <f t="shared" si="1"/>
        <v>0.55172413793103503</v>
      </c>
      <c r="D43" s="38">
        <f t="shared" si="2"/>
        <v>0.52631578947368396</v>
      </c>
      <c r="E43" s="38">
        <f t="shared" si="3"/>
        <v>0.84210526315789436</v>
      </c>
      <c r="F43" s="38">
        <f t="shared" si="4"/>
        <v>0.30303030303030287</v>
      </c>
      <c r="G43" s="38">
        <f t="shared" si="5"/>
        <v>0.48484848484848464</v>
      </c>
      <c r="H43" s="30"/>
      <c r="I43" s="30"/>
      <c r="J43" s="38">
        <f t="shared" si="6"/>
        <v>0.26315789473684253</v>
      </c>
      <c r="K43" s="38">
        <f t="shared" si="7"/>
        <v>0.42105263157894807</v>
      </c>
      <c r="L43" s="38">
        <f t="shared" si="8"/>
        <v>0.35714285714285698</v>
      </c>
      <c r="M43" s="38">
        <f t="shared" si="9"/>
        <v>0.57142857142857117</v>
      </c>
      <c r="N43" s="38">
        <f t="shared" si="10"/>
        <v>0.23255813953488388</v>
      </c>
      <c r="O43" s="38">
        <f t="shared" si="11"/>
        <v>0.37209302325581423</v>
      </c>
      <c r="P43" s="30"/>
    </row>
    <row r="44" spans="1:16" x14ac:dyDescent="0.25">
      <c r="A44" s="30"/>
      <c r="B44" s="38">
        <f t="shared" si="0"/>
        <v>0.39999999999999936</v>
      </c>
      <c r="C44" s="38">
        <f t="shared" si="1"/>
        <v>0.59999999999999898</v>
      </c>
      <c r="D44" s="38">
        <f t="shared" si="2"/>
        <v>0.66666666666666741</v>
      </c>
      <c r="E44" s="38">
        <f t="shared" si="3"/>
        <v>1.0000000000000011</v>
      </c>
      <c r="F44" s="38">
        <f t="shared" si="4"/>
        <v>0.34782608695652184</v>
      </c>
      <c r="G44" s="38">
        <f t="shared" si="5"/>
        <v>0.52173913043478271</v>
      </c>
      <c r="H44" s="30"/>
      <c r="I44" s="30"/>
      <c r="J44" s="38">
        <f t="shared" si="6"/>
        <v>0.29629629629629667</v>
      </c>
      <c r="K44" s="38">
        <f t="shared" si="7"/>
        <v>0.44444444444444497</v>
      </c>
      <c r="L44" s="38">
        <f t="shared" si="8"/>
        <v>0.42105263157894818</v>
      </c>
      <c r="M44" s="38">
        <f t="shared" si="9"/>
        <v>0.63157894736842224</v>
      </c>
      <c r="N44" s="38">
        <f t="shared" si="10"/>
        <v>0.25806451612903253</v>
      </c>
      <c r="O44" s="38">
        <f t="shared" si="11"/>
        <v>0.38709677419354882</v>
      </c>
      <c r="P44" s="30"/>
    </row>
    <row r="45" spans="1:16" x14ac:dyDescent="0.25">
      <c r="A45" s="30"/>
      <c r="B45" s="38">
        <f t="shared" si="0"/>
        <v>0.4761904761904765</v>
      </c>
      <c r="C45" s="38">
        <f t="shared" si="1"/>
        <v>0.66666666666666707</v>
      </c>
      <c r="D45" s="38">
        <f t="shared" si="2"/>
        <v>0.90909090909090906</v>
      </c>
      <c r="E45" s="38">
        <f t="shared" si="3"/>
        <v>1.2727272727272727</v>
      </c>
      <c r="F45" s="38">
        <f t="shared" si="4"/>
        <v>0.40816326530612251</v>
      </c>
      <c r="G45" s="38">
        <f t="shared" si="5"/>
        <v>0.57142857142857151</v>
      </c>
      <c r="H45" s="30"/>
      <c r="I45" s="30"/>
      <c r="J45" s="38">
        <f t="shared" si="6"/>
        <v>0.33898305084745761</v>
      </c>
      <c r="K45" s="38">
        <f t="shared" si="7"/>
        <v>0.47457627118644063</v>
      </c>
      <c r="L45" s="38">
        <f t="shared" si="8"/>
        <v>0.51282051282051355</v>
      </c>
      <c r="M45" s="38">
        <f t="shared" si="9"/>
        <v>0.71794871794871895</v>
      </c>
      <c r="N45" s="38">
        <f t="shared" si="10"/>
        <v>0.28985507246376846</v>
      </c>
      <c r="O45" s="38">
        <f t="shared" si="11"/>
        <v>0.40579710144927583</v>
      </c>
      <c r="P45" s="30"/>
    </row>
    <row r="46" spans="1:16" x14ac:dyDescent="0.25">
      <c r="A46" s="30"/>
      <c r="B46" s="38">
        <f t="shared" si="0"/>
        <v>0.58823529411764675</v>
      </c>
      <c r="C46" s="38">
        <f t="shared" si="1"/>
        <v>0.76470588235294079</v>
      </c>
      <c r="D46" s="38">
        <f t="shared" si="2"/>
        <v>1.4285714285714277</v>
      </c>
      <c r="E46" s="38">
        <f t="shared" si="3"/>
        <v>1.8571428571428561</v>
      </c>
      <c r="F46" s="38">
        <f t="shared" si="4"/>
        <v>0.49382716049382674</v>
      </c>
      <c r="G46" s="38">
        <f t="shared" si="5"/>
        <v>0.64197530864197483</v>
      </c>
      <c r="H46" s="30"/>
      <c r="I46" s="30"/>
      <c r="J46" s="38">
        <f t="shared" si="6"/>
        <v>0.39603960396039689</v>
      </c>
      <c r="K46" s="38">
        <f t="shared" si="7"/>
        <v>0.51485148514851597</v>
      </c>
      <c r="L46" s="38">
        <f t="shared" si="8"/>
        <v>0.65573770491803374</v>
      </c>
      <c r="M46" s="38">
        <f t="shared" si="9"/>
        <v>0.8524590163934439</v>
      </c>
      <c r="N46" s="38">
        <f t="shared" si="10"/>
        <v>0.3305785123966945</v>
      </c>
      <c r="O46" s="38">
        <f t="shared" si="11"/>
        <v>0.42975206611570288</v>
      </c>
      <c r="P46" s="30"/>
    </row>
    <row r="47" spans="1:16" x14ac:dyDescent="0.25">
      <c r="A47" s="30"/>
      <c r="B47" s="38">
        <f t="shared" si="0"/>
        <v>0.80000000000000082</v>
      </c>
      <c r="C47" s="38">
        <f t="shared" si="1"/>
        <v>0.96000000000000096</v>
      </c>
      <c r="D47" s="38">
        <f t="shared" si="2"/>
        <v>3.9999999999999964</v>
      </c>
      <c r="E47" s="38">
        <f t="shared" si="3"/>
        <v>4.7999999999999954</v>
      </c>
      <c r="F47" s="38">
        <f t="shared" si="4"/>
        <v>0.62512786706371759</v>
      </c>
      <c r="G47" s="38">
        <f t="shared" si="5"/>
        <v>0.75015344047646104</v>
      </c>
      <c r="H47" s="30"/>
      <c r="I47" s="30"/>
      <c r="J47" s="38">
        <f t="shared" si="6"/>
        <v>0.47643857821002689</v>
      </c>
      <c r="K47" s="38">
        <f t="shared" si="7"/>
        <v>0.57172629385203222</v>
      </c>
      <c r="L47" s="38">
        <f t="shared" si="8"/>
        <v>0.90999557717823965</v>
      </c>
      <c r="M47" s="38">
        <f t="shared" si="9"/>
        <v>1.0919946926138875</v>
      </c>
      <c r="N47" s="38">
        <f t="shared" si="10"/>
        <v>0.38490398243615076</v>
      </c>
      <c r="O47" s="38">
        <f t="shared" si="11"/>
        <v>0.46188477892338087</v>
      </c>
      <c r="P47" s="30"/>
    </row>
    <row r="48" spans="1:16" x14ac:dyDescent="0.25">
      <c r="A48" s="30"/>
      <c r="B48" s="38">
        <f t="shared" si="0"/>
        <v>1.3333333333333295</v>
      </c>
      <c r="C48" s="38">
        <f t="shared" si="1"/>
        <v>1.4666666666666626</v>
      </c>
      <c r="D48" s="38">
        <v>0</v>
      </c>
      <c r="E48" s="38">
        <f t="shared" si="3"/>
        <v>0</v>
      </c>
      <c r="F48" s="38">
        <f t="shared" si="4"/>
        <v>0.86038999131788285</v>
      </c>
      <c r="G48" s="38">
        <f t="shared" si="5"/>
        <v>0.94642899044967121</v>
      </c>
      <c r="H48" s="30"/>
      <c r="I48" s="30"/>
      <c r="J48" s="38">
        <f t="shared" si="6"/>
        <v>0.61257908448083476</v>
      </c>
      <c r="K48" s="38">
        <f t="shared" si="7"/>
        <v>0.6738369929289183</v>
      </c>
      <c r="L48" s="38">
        <f t="shared" si="8"/>
        <v>1.5811719500480304</v>
      </c>
      <c r="M48" s="38">
        <f t="shared" si="9"/>
        <v>1.7392891450528336</v>
      </c>
      <c r="N48" s="38">
        <f t="shared" si="10"/>
        <v>0.47638702576273562</v>
      </c>
      <c r="O48" s="38">
        <f t="shared" si="11"/>
        <v>0.52402572833900918</v>
      </c>
      <c r="P48" s="30"/>
    </row>
    <row r="49" spans="1:16" x14ac:dyDescent="0.25">
      <c r="A49" s="30"/>
      <c r="B49" s="30"/>
      <c r="C49" s="30"/>
      <c r="D49" s="30"/>
      <c r="E49" s="30"/>
      <c r="F49" s="30"/>
      <c r="G49" s="30"/>
      <c r="H49" s="30"/>
      <c r="I49" s="30"/>
      <c r="J49" s="30"/>
      <c r="K49" s="30"/>
      <c r="L49" s="30"/>
      <c r="M49" s="30"/>
      <c r="N49" s="30"/>
      <c r="O49" s="30"/>
      <c r="P49" s="30"/>
    </row>
    <row r="50" spans="1:16" x14ac:dyDescent="0.25">
      <c r="A50" s="30" t="s">
        <v>1612</v>
      </c>
      <c r="B50" s="30" t="s">
        <v>313</v>
      </c>
      <c r="C50" s="30"/>
      <c r="D50" s="30" t="s">
        <v>313</v>
      </c>
      <c r="E50" s="30"/>
      <c r="F50" s="30" t="s">
        <v>240</v>
      </c>
      <c r="G50" s="30"/>
      <c r="H50" s="30"/>
      <c r="I50" s="30"/>
      <c r="J50" s="30" t="s">
        <v>313</v>
      </c>
      <c r="K50" s="30"/>
      <c r="L50" s="30" t="s">
        <v>313</v>
      </c>
      <c r="M50" s="30"/>
      <c r="N50" s="30" t="s">
        <v>283</v>
      </c>
      <c r="O50" s="30"/>
      <c r="P50" s="30"/>
    </row>
    <row r="51" spans="1:16" x14ac:dyDescent="0.25">
      <c r="A51" s="30"/>
      <c r="B51" s="30"/>
      <c r="C51" s="30"/>
      <c r="D51" s="30"/>
      <c r="E51" s="30"/>
      <c r="F51" s="30"/>
      <c r="G51" s="30"/>
      <c r="H51" s="30"/>
      <c r="I51" s="30"/>
      <c r="J51" s="30"/>
      <c r="K51" s="30"/>
      <c r="L51" s="30"/>
      <c r="M51" s="30"/>
      <c r="N51" s="30"/>
      <c r="O51" s="30"/>
      <c r="P51" s="30"/>
    </row>
    <row r="52" spans="1:16" x14ac:dyDescent="0.25">
      <c r="A52" s="30"/>
      <c r="B52" s="30"/>
      <c r="C52" s="30"/>
      <c r="D52" s="30"/>
      <c r="E52" s="30"/>
      <c r="F52" s="30"/>
      <c r="G52" s="30"/>
      <c r="H52" s="30"/>
      <c r="I52" s="30"/>
      <c r="J52" s="30"/>
      <c r="K52" s="30"/>
      <c r="L52" s="30"/>
      <c r="M52" s="30"/>
      <c r="N52" s="30"/>
      <c r="O52" s="30"/>
      <c r="P52" s="30"/>
    </row>
    <row r="53" spans="1:16" x14ac:dyDescent="0.25">
      <c r="A53" s="30"/>
      <c r="B53" s="30" t="s">
        <v>315</v>
      </c>
      <c r="C53" s="30"/>
      <c r="D53" s="30"/>
      <c r="E53" s="30"/>
      <c r="F53" s="30"/>
      <c r="G53" s="30"/>
      <c r="H53" s="30"/>
      <c r="I53" s="30"/>
      <c r="J53" s="30" t="s">
        <v>315</v>
      </c>
      <c r="K53" s="30"/>
      <c r="L53" s="30"/>
      <c r="M53" s="30"/>
      <c r="N53" s="30"/>
      <c r="O53" s="30"/>
      <c r="P53" s="30"/>
    </row>
    <row r="54" spans="1:16" x14ac:dyDescent="0.25">
      <c r="A54" s="30"/>
      <c r="B54" s="38" t="s">
        <v>1590</v>
      </c>
      <c r="C54" s="38"/>
      <c r="D54" s="38" t="s">
        <v>1591</v>
      </c>
      <c r="E54" s="38"/>
      <c r="F54" s="38" t="s">
        <v>1592</v>
      </c>
      <c r="G54" s="38"/>
      <c r="H54" s="30"/>
      <c r="I54" s="30"/>
      <c r="J54" s="38" t="s">
        <v>1593</v>
      </c>
      <c r="K54" s="38"/>
      <c r="L54" s="38" t="s">
        <v>1594</v>
      </c>
      <c r="M54" s="38"/>
      <c r="N54" s="38" t="s">
        <v>1595</v>
      </c>
      <c r="O54" s="38"/>
      <c r="P54" s="30"/>
    </row>
    <row r="55" spans="1:16" x14ac:dyDescent="0.25">
      <c r="A55" s="30"/>
      <c r="B55" s="38" t="s">
        <v>1596</v>
      </c>
      <c r="C55" s="38" t="s">
        <v>1610</v>
      </c>
      <c r="D55" s="38" t="s">
        <v>1596</v>
      </c>
      <c r="E55" s="38" t="s">
        <v>1610</v>
      </c>
      <c r="F55" s="38" t="s">
        <v>1611</v>
      </c>
      <c r="G55" s="38" t="s">
        <v>1610</v>
      </c>
      <c r="H55" s="30"/>
      <c r="I55" s="30"/>
      <c r="J55" s="38" t="s">
        <v>1596</v>
      </c>
      <c r="K55" s="38" t="s">
        <v>1610</v>
      </c>
      <c r="L55" s="38" t="s">
        <v>1596</v>
      </c>
      <c r="M55" s="38" t="s">
        <v>1610</v>
      </c>
      <c r="N55" s="38" t="s">
        <v>1611</v>
      </c>
      <c r="O55" s="38" t="s">
        <v>1610</v>
      </c>
      <c r="P55" s="30"/>
    </row>
    <row r="56" spans="1:16" x14ac:dyDescent="0.25">
      <c r="A56" s="30"/>
      <c r="B56" s="38">
        <f t="shared" ref="B56:B63" si="12">1/B23</f>
        <v>0.22222222222222227</v>
      </c>
      <c r="C56" s="38">
        <f t="shared" ref="C56:C64" si="13">B56*C23</f>
        <v>0.44444444444444453</v>
      </c>
      <c r="D56" s="38">
        <f t="shared" ref="D56:D63" si="14">1/D23</f>
        <v>0.28571428571428559</v>
      </c>
      <c r="E56" s="38">
        <f t="shared" ref="E56:E65" si="15">D56*E23</f>
        <v>0.57142857142857117</v>
      </c>
      <c r="F56" s="38">
        <f t="shared" ref="F56:F65" si="16">1/F23</f>
        <v>0.19999999999999996</v>
      </c>
      <c r="G56" s="38">
        <f t="shared" ref="G56:G65" si="17">F56*G23</f>
        <v>0.39999999999999991</v>
      </c>
      <c r="H56" s="30"/>
      <c r="I56" s="30"/>
      <c r="J56" s="38">
        <f t="shared" ref="J56:J63" si="18">1/J23</f>
        <v>0.18181818181818168</v>
      </c>
      <c r="K56" s="38">
        <f t="shared" ref="K56:K65" si="19">J56*K23</f>
        <v>0.36363636363636337</v>
      </c>
      <c r="L56" s="38">
        <f t="shared" ref="L56:L63" si="20">1/L23</f>
        <v>0.22222222222222218</v>
      </c>
      <c r="M56" s="38">
        <f t="shared" ref="M56:M65" si="21">L56*M23</f>
        <v>0.44444444444444436</v>
      </c>
      <c r="N56" s="38">
        <f t="shared" ref="N56:N65" si="22">1/N23</f>
        <v>0.16666666666666671</v>
      </c>
      <c r="O56" s="38">
        <f t="shared" ref="O56:O65" si="23">N56*O23</f>
        <v>0.33333333333333343</v>
      </c>
      <c r="P56" s="30"/>
    </row>
    <row r="57" spans="1:16" x14ac:dyDescent="0.25">
      <c r="A57" s="30"/>
      <c r="B57" s="38">
        <f t="shared" si="12"/>
        <v>0.24390243902439027</v>
      </c>
      <c r="C57" s="38">
        <f t="shared" si="13"/>
        <v>0.46341463414634149</v>
      </c>
      <c r="D57" s="38">
        <f t="shared" si="14"/>
        <v>0.3225806451612902</v>
      </c>
      <c r="E57" s="38">
        <f t="shared" si="15"/>
        <v>0.6129032258064514</v>
      </c>
      <c r="F57" s="38">
        <f t="shared" si="16"/>
        <v>0.21917808219178092</v>
      </c>
      <c r="G57" s="38">
        <f t="shared" si="17"/>
        <v>0.41643835616438374</v>
      </c>
      <c r="H57" s="30"/>
      <c r="I57" s="30"/>
      <c r="J57" s="38">
        <f t="shared" si="18"/>
        <v>0.19867549668874179</v>
      </c>
      <c r="K57" s="38">
        <f t="shared" si="19"/>
        <v>0.37748344370860937</v>
      </c>
      <c r="L57" s="38">
        <f t="shared" si="20"/>
        <v>0.24793388429752067</v>
      </c>
      <c r="M57" s="38">
        <f t="shared" si="21"/>
        <v>0.47107438016528924</v>
      </c>
      <c r="N57" s="38">
        <f t="shared" si="22"/>
        <v>0.18181818181818185</v>
      </c>
      <c r="O57" s="38">
        <f t="shared" si="23"/>
        <v>0.34545454545454551</v>
      </c>
      <c r="P57" s="30"/>
    </row>
    <row r="58" spans="1:16" x14ac:dyDescent="0.25">
      <c r="A58" s="30"/>
      <c r="B58" s="38">
        <f t="shared" si="12"/>
        <v>0.2702702702702704</v>
      </c>
      <c r="C58" s="38">
        <f t="shared" si="13"/>
        <v>0.48648648648648674</v>
      </c>
      <c r="D58" s="38">
        <f t="shared" si="14"/>
        <v>0.37037037037037057</v>
      </c>
      <c r="E58" s="38">
        <f t="shared" si="15"/>
        <v>0.66666666666666707</v>
      </c>
      <c r="F58" s="38">
        <f t="shared" si="16"/>
        <v>0.24242424242424238</v>
      </c>
      <c r="G58" s="38">
        <f t="shared" si="17"/>
        <v>0.43636363636363629</v>
      </c>
      <c r="H58" s="30"/>
      <c r="I58" s="30"/>
      <c r="J58" s="38">
        <f t="shared" si="18"/>
        <v>0.21897810218978112</v>
      </c>
      <c r="K58" s="38">
        <f t="shared" si="19"/>
        <v>0.39416058394160602</v>
      </c>
      <c r="L58" s="38">
        <f t="shared" si="20"/>
        <v>0.2803738317757008</v>
      </c>
      <c r="M58" s="38">
        <f t="shared" si="21"/>
        <v>0.50467289719626141</v>
      </c>
      <c r="N58" s="38">
        <f t="shared" si="22"/>
        <v>0.2</v>
      </c>
      <c r="O58" s="38">
        <f t="shared" si="23"/>
        <v>0.36000000000000004</v>
      </c>
      <c r="P58" s="30"/>
    </row>
    <row r="59" spans="1:16" x14ac:dyDescent="0.25">
      <c r="A59" s="30"/>
      <c r="B59" s="38">
        <f t="shared" si="12"/>
        <v>0.30303030303030304</v>
      </c>
      <c r="C59" s="38">
        <f t="shared" si="13"/>
        <v>0.51515151515151514</v>
      </c>
      <c r="D59" s="38">
        <f t="shared" si="14"/>
        <v>0.43478260869565261</v>
      </c>
      <c r="E59" s="38">
        <f t="shared" si="15"/>
        <v>0.73913043478260942</v>
      </c>
      <c r="F59" s="38">
        <f t="shared" si="16"/>
        <v>0.27118644067796605</v>
      </c>
      <c r="G59" s="38">
        <f t="shared" si="17"/>
        <v>0.46101694915254227</v>
      </c>
      <c r="H59" s="30"/>
      <c r="I59" s="30"/>
      <c r="J59" s="38">
        <f t="shared" si="18"/>
        <v>0.2439024390243901</v>
      </c>
      <c r="K59" s="38">
        <f t="shared" si="19"/>
        <v>0.41463414634146317</v>
      </c>
      <c r="L59" s="38">
        <f t="shared" si="20"/>
        <v>0.32258064516129026</v>
      </c>
      <c r="M59" s="38">
        <f t="shared" si="21"/>
        <v>0.54838709677419339</v>
      </c>
      <c r="N59" s="38">
        <f t="shared" si="22"/>
        <v>0.22222222222222232</v>
      </c>
      <c r="O59" s="38">
        <f t="shared" si="23"/>
        <v>0.37777777777777793</v>
      </c>
      <c r="P59" s="30"/>
    </row>
    <row r="60" spans="1:16" x14ac:dyDescent="0.25">
      <c r="A60" s="30"/>
      <c r="B60" s="38">
        <f t="shared" si="12"/>
        <v>0.34482758620689657</v>
      </c>
      <c r="C60" s="38">
        <f t="shared" si="13"/>
        <v>0.55172413793103459</v>
      </c>
      <c r="D60" s="38">
        <f t="shared" si="14"/>
        <v>0.52631578947368518</v>
      </c>
      <c r="E60" s="38">
        <f t="shared" si="15"/>
        <v>0.84210526315789636</v>
      </c>
      <c r="F60" s="38">
        <f t="shared" si="16"/>
        <v>0.30769230769230776</v>
      </c>
      <c r="G60" s="38">
        <f t="shared" si="17"/>
        <v>0.49230769230769245</v>
      </c>
      <c r="H60" s="30"/>
      <c r="I60" s="30"/>
      <c r="J60" s="38">
        <f t="shared" si="18"/>
        <v>0.27522935779816526</v>
      </c>
      <c r="K60" s="38">
        <f t="shared" si="19"/>
        <v>0.44036697247706447</v>
      </c>
      <c r="L60" s="38">
        <f t="shared" si="20"/>
        <v>0.37974683544303817</v>
      </c>
      <c r="M60" s="38">
        <f t="shared" si="21"/>
        <v>0.60759493670886111</v>
      </c>
      <c r="N60" s="38">
        <f t="shared" si="22"/>
        <v>0.25000000000000011</v>
      </c>
      <c r="O60" s="38">
        <f t="shared" si="23"/>
        <v>0.40000000000000019</v>
      </c>
      <c r="P60" s="30"/>
    </row>
    <row r="61" spans="1:16" x14ac:dyDescent="0.25">
      <c r="A61" s="30"/>
      <c r="B61" s="38">
        <f t="shared" si="12"/>
        <v>0.4</v>
      </c>
      <c r="C61" s="38">
        <f t="shared" si="13"/>
        <v>0.60000000000000009</v>
      </c>
      <c r="D61" s="38">
        <f t="shared" si="14"/>
        <v>0.66666666666666674</v>
      </c>
      <c r="E61" s="38">
        <f t="shared" si="15"/>
        <v>1</v>
      </c>
      <c r="F61" s="38">
        <f t="shared" si="16"/>
        <v>0.35555555555555557</v>
      </c>
      <c r="G61" s="38">
        <f t="shared" si="17"/>
        <v>0.53333333333333333</v>
      </c>
      <c r="H61" s="30"/>
      <c r="I61" s="30"/>
      <c r="J61" s="38">
        <f t="shared" si="18"/>
        <v>0.31578947368421045</v>
      </c>
      <c r="K61" s="38">
        <f t="shared" si="19"/>
        <v>0.47368421052631571</v>
      </c>
      <c r="L61" s="38">
        <f t="shared" si="20"/>
        <v>0.46153846153846156</v>
      </c>
      <c r="M61" s="38">
        <f t="shared" si="21"/>
        <v>0.69230769230769229</v>
      </c>
      <c r="N61" s="38">
        <f t="shared" si="22"/>
        <v>0.2857142857142857</v>
      </c>
      <c r="O61" s="38">
        <f t="shared" si="23"/>
        <v>0.42857142857142855</v>
      </c>
      <c r="P61" s="30"/>
    </row>
    <row r="62" spans="1:16" x14ac:dyDescent="0.25">
      <c r="A62" s="30"/>
      <c r="B62" s="38">
        <f t="shared" si="12"/>
        <v>0.47619047619047616</v>
      </c>
      <c r="C62" s="38">
        <f t="shared" si="13"/>
        <v>0.66666666666666663</v>
      </c>
      <c r="D62" s="38">
        <f t="shared" si="14"/>
        <v>0.90909090909090884</v>
      </c>
      <c r="E62" s="38">
        <f t="shared" si="15"/>
        <v>1.2727272727272723</v>
      </c>
      <c r="F62" s="38">
        <f t="shared" si="16"/>
        <v>0.42105263157894751</v>
      </c>
      <c r="G62" s="38">
        <f t="shared" si="17"/>
        <v>0.58947368421052648</v>
      </c>
      <c r="H62" s="30"/>
      <c r="I62" s="30"/>
      <c r="J62" s="38">
        <f t="shared" si="18"/>
        <v>0.37037037037037029</v>
      </c>
      <c r="K62" s="38">
        <f t="shared" si="19"/>
        <v>0.51851851851851838</v>
      </c>
      <c r="L62" s="38">
        <f t="shared" si="20"/>
        <v>0.58823529411764708</v>
      </c>
      <c r="M62" s="38">
        <f t="shared" si="21"/>
        <v>0.82352941176470584</v>
      </c>
      <c r="N62" s="38">
        <f t="shared" si="22"/>
        <v>0.3468208092485548</v>
      </c>
      <c r="O62" s="38">
        <f t="shared" si="23"/>
        <v>0.48554913294797669</v>
      </c>
      <c r="P62" s="30"/>
    </row>
    <row r="63" spans="1:16" x14ac:dyDescent="0.25">
      <c r="A63" s="30"/>
      <c r="B63" s="38">
        <f t="shared" si="12"/>
        <v>0.58823529411764708</v>
      </c>
      <c r="C63" s="38">
        <f t="shared" si="13"/>
        <v>0.76470588235294124</v>
      </c>
      <c r="D63" s="38">
        <f t="shared" si="14"/>
        <v>1.4285714285714286</v>
      </c>
      <c r="E63" s="38">
        <f t="shared" si="15"/>
        <v>1.8571428571428572</v>
      </c>
      <c r="F63" s="38">
        <f t="shared" si="16"/>
        <v>0.51612903225806472</v>
      </c>
      <c r="G63" s="38">
        <f t="shared" si="17"/>
        <v>0.67096774193548414</v>
      </c>
      <c r="H63" s="30"/>
      <c r="I63" s="30"/>
      <c r="J63" s="38">
        <f t="shared" si="18"/>
        <v>0.44776119402985137</v>
      </c>
      <c r="K63" s="38">
        <f t="shared" si="19"/>
        <v>0.58208955223880676</v>
      </c>
      <c r="L63" s="38">
        <f t="shared" si="20"/>
        <v>0.81081081081081063</v>
      </c>
      <c r="M63" s="38">
        <f t="shared" si="21"/>
        <v>1.0540540540540539</v>
      </c>
      <c r="N63" s="38">
        <f t="shared" si="22"/>
        <v>0.44117647058823567</v>
      </c>
      <c r="O63" s="38">
        <f t="shared" si="23"/>
        <v>0.5735294117647064</v>
      </c>
      <c r="P63" s="30"/>
    </row>
    <row r="64" spans="1:16" x14ac:dyDescent="0.25">
      <c r="A64" s="30"/>
      <c r="B64" s="38">
        <v>0</v>
      </c>
      <c r="C64" s="38">
        <f t="shared" si="13"/>
        <v>0</v>
      </c>
      <c r="D64" s="38">
        <v>0</v>
      </c>
      <c r="E64" s="38">
        <f t="shared" si="15"/>
        <v>0</v>
      </c>
      <c r="F64" s="38">
        <f t="shared" si="16"/>
        <v>0.66666666666666663</v>
      </c>
      <c r="G64" s="38">
        <f t="shared" si="17"/>
        <v>0.79999999999999993</v>
      </c>
      <c r="H64" s="30"/>
      <c r="I64" s="30"/>
      <c r="J64" s="38">
        <v>0</v>
      </c>
      <c r="K64" s="38">
        <f t="shared" si="19"/>
        <v>0</v>
      </c>
      <c r="L64" s="38">
        <v>0</v>
      </c>
      <c r="M64" s="38">
        <f t="shared" si="21"/>
        <v>0</v>
      </c>
      <c r="N64" s="38">
        <f t="shared" si="22"/>
        <v>0.60606060606060608</v>
      </c>
      <c r="O64" s="38">
        <f t="shared" si="23"/>
        <v>0.72727272727272729</v>
      </c>
      <c r="P64" s="30"/>
    </row>
    <row r="65" spans="1:16" x14ac:dyDescent="0.25">
      <c r="A65" s="30"/>
      <c r="B65" s="38">
        <v>0</v>
      </c>
      <c r="C65" s="38">
        <v>0</v>
      </c>
      <c r="D65" s="38">
        <v>0</v>
      </c>
      <c r="E65" s="38">
        <f t="shared" si="15"/>
        <v>0</v>
      </c>
      <c r="F65" s="38">
        <f t="shared" si="16"/>
        <v>0.94117647058823528</v>
      </c>
      <c r="G65" s="38">
        <f t="shared" si="17"/>
        <v>1.0352941176470589</v>
      </c>
      <c r="H65" s="30"/>
      <c r="I65" s="30"/>
      <c r="J65" s="38">
        <v>0</v>
      </c>
      <c r="K65" s="38">
        <f t="shared" si="19"/>
        <v>0</v>
      </c>
      <c r="L65" s="38">
        <v>0</v>
      </c>
      <c r="M65" s="38">
        <f t="shared" si="21"/>
        <v>0</v>
      </c>
      <c r="N65" s="38">
        <f t="shared" si="22"/>
        <v>0.96774193548387133</v>
      </c>
      <c r="O65" s="38">
        <f t="shared" si="23"/>
        <v>1.0645161290322585</v>
      </c>
      <c r="P65" s="30"/>
    </row>
    <row r="66" spans="1:16" x14ac:dyDescent="0.25">
      <c r="A66" s="30"/>
      <c r="B66" s="30"/>
      <c r="C66" s="30"/>
      <c r="D66" s="30"/>
      <c r="E66" s="30"/>
      <c r="F66" s="30"/>
      <c r="G66" s="30"/>
      <c r="H66" s="30"/>
      <c r="I66" s="30"/>
      <c r="J66" s="30"/>
      <c r="K66" s="30"/>
      <c r="L66" s="30"/>
      <c r="M66" s="30"/>
      <c r="N66" s="30"/>
      <c r="O66" s="30"/>
      <c r="P66" s="30"/>
    </row>
    <row r="67" spans="1:16" x14ac:dyDescent="0.25">
      <c r="A67" s="30"/>
      <c r="B67" s="30"/>
      <c r="C67" s="30"/>
      <c r="D67" s="30"/>
      <c r="E67" s="30"/>
      <c r="F67" s="30"/>
      <c r="G67" s="30"/>
      <c r="H67" s="30"/>
      <c r="I67" s="30"/>
      <c r="J67" s="30"/>
      <c r="K67" s="30"/>
      <c r="L67" s="30"/>
      <c r="M67" s="30"/>
      <c r="N67" s="30"/>
      <c r="O67" s="30"/>
      <c r="P67" s="30"/>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C82F7-EF36-4E75-AD31-388572C31FCA}">
  <sheetPr codeName="Sheet3"/>
  <dimension ref="A1:AI172"/>
  <sheetViews>
    <sheetView workbookViewId="0">
      <selection activeCell="A116" sqref="A116"/>
    </sheetView>
  </sheetViews>
  <sheetFormatPr defaultRowHeight="15" x14ac:dyDescent="0.25"/>
  <cols>
    <col min="23" max="23" width="12.7109375" bestFit="1" customWidth="1"/>
  </cols>
  <sheetData>
    <row r="1" spans="1:35" x14ac:dyDescent="0.25">
      <c r="A1" t="s">
        <v>1630</v>
      </c>
      <c r="D1" t="s">
        <v>145</v>
      </c>
    </row>
    <row r="3" spans="1:35" x14ac:dyDescent="0.25">
      <c r="A3" t="s">
        <v>871</v>
      </c>
      <c r="L3" t="s">
        <v>870</v>
      </c>
      <c r="W3" t="s">
        <v>872</v>
      </c>
    </row>
    <row r="4" spans="1:35" x14ac:dyDescent="0.25">
      <c r="A4">
        <v>0</v>
      </c>
      <c r="B4">
        <v>0</v>
      </c>
      <c r="C4">
        <v>0</v>
      </c>
      <c r="D4">
        <v>0</v>
      </c>
      <c r="E4">
        <v>0</v>
      </c>
      <c r="F4">
        <v>0</v>
      </c>
      <c r="G4">
        <v>0</v>
      </c>
      <c r="H4">
        <v>0</v>
      </c>
      <c r="I4">
        <v>0</v>
      </c>
      <c r="J4">
        <v>0</v>
      </c>
      <c r="L4">
        <v>10</v>
      </c>
      <c r="M4">
        <v>10</v>
      </c>
      <c r="N4">
        <v>10</v>
      </c>
      <c r="O4">
        <v>10</v>
      </c>
      <c r="P4">
        <v>10</v>
      </c>
      <c r="Q4">
        <v>10</v>
      </c>
      <c r="R4">
        <v>10</v>
      </c>
      <c r="S4">
        <v>10</v>
      </c>
      <c r="T4">
        <v>0</v>
      </c>
      <c r="U4">
        <v>0</v>
      </c>
      <c r="W4">
        <v>0</v>
      </c>
      <c r="X4">
        <v>0</v>
      </c>
      <c r="Y4">
        <v>0</v>
      </c>
      <c r="Z4">
        <v>0</v>
      </c>
      <c r="AA4">
        <v>0</v>
      </c>
      <c r="AB4">
        <v>0</v>
      </c>
      <c r="AC4">
        <v>0</v>
      </c>
      <c r="AD4">
        <v>0</v>
      </c>
      <c r="AE4">
        <v>0</v>
      </c>
      <c r="AF4">
        <v>0</v>
      </c>
      <c r="AH4" t="s">
        <v>343</v>
      </c>
      <c r="AI4" t="s">
        <v>987</v>
      </c>
    </row>
    <row r="5" spans="1:35" x14ac:dyDescent="0.25">
      <c r="A5">
        <v>10</v>
      </c>
      <c r="B5">
        <v>10</v>
      </c>
      <c r="C5">
        <v>10</v>
      </c>
      <c r="D5">
        <v>10</v>
      </c>
      <c r="E5">
        <v>10</v>
      </c>
      <c r="F5">
        <v>10</v>
      </c>
      <c r="G5">
        <v>10</v>
      </c>
      <c r="H5">
        <v>10</v>
      </c>
      <c r="I5">
        <v>0</v>
      </c>
      <c r="J5">
        <v>0</v>
      </c>
      <c r="L5">
        <v>0</v>
      </c>
      <c r="M5">
        <v>0</v>
      </c>
      <c r="N5">
        <v>0</v>
      </c>
      <c r="O5">
        <v>0</v>
      </c>
      <c r="P5">
        <v>0</v>
      </c>
      <c r="Q5">
        <v>0</v>
      </c>
      <c r="R5">
        <v>0</v>
      </c>
      <c r="S5">
        <v>0</v>
      </c>
      <c r="T5">
        <v>0</v>
      </c>
      <c r="U5">
        <v>0</v>
      </c>
      <c r="W5">
        <v>0</v>
      </c>
      <c r="X5">
        <v>0</v>
      </c>
      <c r="Y5">
        <v>0</v>
      </c>
      <c r="Z5">
        <v>0</v>
      </c>
      <c r="AA5">
        <v>0</v>
      </c>
      <c r="AB5">
        <v>0</v>
      </c>
      <c r="AC5">
        <v>0</v>
      </c>
      <c r="AD5">
        <v>0</v>
      </c>
      <c r="AE5">
        <v>0</v>
      </c>
      <c r="AF5">
        <v>0</v>
      </c>
      <c r="AH5" t="s">
        <v>348</v>
      </c>
      <c r="AI5" t="s">
        <v>992</v>
      </c>
    </row>
    <row r="6" spans="1:35" x14ac:dyDescent="0.25">
      <c r="A6">
        <v>0</v>
      </c>
      <c r="B6">
        <v>0</v>
      </c>
      <c r="C6">
        <v>0</v>
      </c>
      <c r="D6">
        <v>0</v>
      </c>
      <c r="E6">
        <v>0</v>
      </c>
      <c r="F6">
        <v>0</v>
      </c>
      <c r="G6">
        <v>0</v>
      </c>
      <c r="H6">
        <v>0</v>
      </c>
      <c r="I6">
        <v>0</v>
      </c>
      <c r="J6">
        <v>0</v>
      </c>
      <c r="L6">
        <v>0</v>
      </c>
      <c r="M6">
        <v>0</v>
      </c>
      <c r="N6">
        <v>0</v>
      </c>
      <c r="O6">
        <v>0</v>
      </c>
      <c r="P6">
        <v>0</v>
      </c>
      <c r="Q6">
        <v>0</v>
      </c>
      <c r="R6">
        <v>0</v>
      </c>
      <c r="S6">
        <v>0</v>
      </c>
      <c r="T6">
        <v>0</v>
      </c>
      <c r="U6">
        <v>0</v>
      </c>
      <c r="W6">
        <v>10</v>
      </c>
      <c r="X6">
        <v>10</v>
      </c>
      <c r="Y6">
        <v>10</v>
      </c>
      <c r="Z6">
        <v>10</v>
      </c>
      <c r="AA6">
        <v>10</v>
      </c>
      <c r="AB6">
        <v>10</v>
      </c>
      <c r="AC6">
        <v>10</v>
      </c>
      <c r="AD6">
        <v>10</v>
      </c>
      <c r="AE6">
        <v>10</v>
      </c>
      <c r="AF6">
        <v>10</v>
      </c>
      <c r="AH6" t="s">
        <v>353</v>
      </c>
      <c r="AI6" t="s">
        <v>997</v>
      </c>
    </row>
    <row r="7" spans="1:35" x14ac:dyDescent="0.25">
      <c r="A7">
        <v>9.9999999999999982</v>
      </c>
      <c r="B7">
        <v>9.3333333333333339</v>
      </c>
      <c r="C7">
        <v>8.6666666666666643</v>
      </c>
      <c r="D7">
        <v>7.9999999999999991</v>
      </c>
      <c r="E7">
        <v>7.3333333333333348</v>
      </c>
      <c r="F7">
        <v>6.666666666666667</v>
      </c>
      <c r="G7">
        <v>6</v>
      </c>
      <c r="H7">
        <v>5.333333333333333</v>
      </c>
      <c r="I7">
        <v>0</v>
      </c>
      <c r="J7">
        <v>0</v>
      </c>
      <c r="L7">
        <v>10</v>
      </c>
      <c r="M7">
        <v>9.3333333333333339</v>
      </c>
      <c r="N7">
        <v>8.6666666666666661</v>
      </c>
      <c r="O7">
        <v>8</v>
      </c>
      <c r="P7">
        <v>7.3333333333333339</v>
      </c>
      <c r="Q7">
        <v>6.6666666666666679</v>
      </c>
      <c r="R7">
        <v>5.9999999999999973</v>
      </c>
      <c r="S7">
        <v>5.3333333333333499</v>
      </c>
      <c r="T7">
        <v>0</v>
      </c>
      <c r="U7">
        <v>0</v>
      </c>
      <c r="W7">
        <v>0</v>
      </c>
      <c r="X7">
        <v>0</v>
      </c>
      <c r="Y7">
        <v>0</v>
      </c>
      <c r="Z7">
        <v>0</v>
      </c>
      <c r="AA7">
        <v>0</v>
      </c>
      <c r="AB7">
        <v>0</v>
      </c>
      <c r="AC7">
        <v>0</v>
      </c>
      <c r="AD7">
        <v>0</v>
      </c>
      <c r="AE7">
        <v>0</v>
      </c>
      <c r="AF7">
        <v>0</v>
      </c>
      <c r="AH7" t="s">
        <v>357</v>
      </c>
      <c r="AI7" t="s">
        <v>999</v>
      </c>
    </row>
    <row r="8" spans="1:35" x14ac:dyDescent="0.25">
      <c r="A8">
        <v>0</v>
      </c>
      <c r="B8">
        <v>0</v>
      </c>
      <c r="C8">
        <v>0</v>
      </c>
      <c r="D8">
        <v>0</v>
      </c>
      <c r="E8">
        <v>0</v>
      </c>
      <c r="F8">
        <v>0</v>
      </c>
      <c r="G8">
        <v>0</v>
      </c>
      <c r="H8">
        <v>0</v>
      </c>
      <c r="I8">
        <v>0</v>
      </c>
      <c r="J8">
        <v>0</v>
      </c>
      <c r="L8">
        <v>0</v>
      </c>
      <c r="M8">
        <v>0</v>
      </c>
      <c r="N8">
        <v>0</v>
      </c>
      <c r="O8">
        <v>0</v>
      </c>
      <c r="P8">
        <v>0</v>
      </c>
      <c r="Q8">
        <v>0</v>
      </c>
      <c r="R8">
        <v>0</v>
      </c>
      <c r="S8">
        <v>0</v>
      </c>
      <c r="T8">
        <v>0</v>
      </c>
      <c r="U8">
        <v>0</v>
      </c>
      <c r="W8">
        <v>0</v>
      </c>
      <c r="X8">
        <v>0</v>
      </c>
      <c r="Y8">
        <v>0</v>
      </c>
      <c r="Z8">
        <v>0</v>
      </c>
      <c r="AA8">
        <v>0</v>
      </c>
      <c r="AB8">
        <v>0</v>
      </c>
      <c r="AC8">
        <v>0</v>
      </c>
      <c r="AD8">
        <v>0</v>
      </c>
      <c r="AE8">
        <v>0</v>
      </c>
      <c r="AF8">
        <v>0</v>
      </c>
      <c r="AH8" t="s">
        <v>361</v>
      </c>
      <c r="AI8" t="s">
        <v>1005</v>
      </c>
    </row>
    <row r="9" spans="1:35" x14ac:dyDescent="0.25">
      <c r="A9">
        <v>0</v>
      </c>
      <c r="B9">
        <v>0</v>
      </c>
      <c r="C9">
        <v>0</v>
      </c>
      <c r="D9">
        <v>0</v>
      </c>
      <c r="E9">
        <v>0</v>
      </c>
      <c r="F9">
        <v>0</v>
      </c>
      <c r="G9">
        <v>0</v>
      </c>
      <c r="H9">
        <v>0</v>
      </c>
      <c r="I9">
        <v>0</v>
      </c>
      <c r="J9">
        <v>0</v>
      </c>
      <c r="L9">
        <v>0</v>
      </c>
      <c r="M9">
        <v>0</v>
      </c>
      <c r="N9">
        <v>0</v>
      </c>
      <c r="O9">
        <v>0</v>
      </c>
      <c r="P9">
        <v>0</v>
      </c>
      <c r="Q9">
        <v>0</v>
      </c>
      <c r="R9">
        <v>0</v>
      </c>
      <c r="S9">
        <v>0</v>
      </c>
      <c r="T9">
        <v>0</v>
      </c>
      <c r="U9">
        <v>0</v>
      </c>
      <c r="W9">
        <v>0</v>
      </c>
      <c r="X9">
        <v>0</v>
      </c>
      <c r="Y9">
        <v>0</v>
      </c>
      <c r="Z9">
        <v>0</v>
      </c>
      <c r="AA9">
        <v>0</v>
      </c>
      <c r="AB9">
        <v>0</v>
      </c>
      <c r="AC9">
        <v>0</v>
      </c>
      <c r="AD9">
        <v>0</v>
      </c>
      <c r="AE9">
        <v>0</v>
      </c>
      <c r="AF9">
        <v>0</v>
      </c>
      <c r="AH9" t="s">
        <v>366</v>
      </c>
      <c r="AI9" t="s">
        <v>1009</v>
      </c>
    </row>
    <row r="10" spans="1:35" x14ac:dyDescent="0.25">
      <c r="A10">
        <v>0</v>
      </c>
      <c r="B10">
        <v>0</v>
      </c>
      <c r="C10">
        <v>0</v>
      </c>
      <c r="D10">
        <v>0</v>
      </c>
      <c r="E10">
        <v>0</v>
      </c>
      <c r="F10">
        <v>0</v>
      </c>
      <c r="G10">
        <v>0</v>
      </c>
      <c r="H10">
        <v>0</v>
      </c>
      <c r="I10">
        <v>0</v>
      </c>
      <c r="J10">
        <v>0</v>
      </c>
      <c r="L10">
        <v>0</v>
      </c>
      <c r="M10">
        <v>0</v>
      </c>
      <c r="N10">
        <v>0</v>
      </c>
      <c r="O10">
        <v>0</v>
      </c>
      <c r="P10">
        <v>0</v>
      </c>
      <c r="Q10">
        <v>0</v>
      </c>
      <c r="R10">
        <v>0</v>
      </c>
      <c r="S10">
        <v>0</v>
      </c>
      <c r="T10">
        <v>0</v>
      </c>
      <c r="U10">
        <v>0</v>
      </c>
      <c r="W10">
        <v>0</v>
      </c>
      <c r="X10">
        <v>0</v>
      </c>
      <c r="Y10">
        <v>0</v>
      </c>
      <c r="Z10">
        <v>0</v>
      </c>
      <c r="AA10">
        <v>0</v>
      </c>
      <c r="AB10">
        <v>0</v>
      </c>
      <c r="AC10">
        <v>0</v>
      </c>
      <c r="AD10">
        <v>0</v>
      </c>
      <c r="AE10">
        <v>0</v>
      </c>
      <c r="AF10">
        <v>0</v>
      </c>
      <c r="AH10" t="s">
        <v>371</v>
      </c>
      <c r="AI10" t="s">
        <v>1027</v>
      </c>
    </row>
    <row r="11" spans="1:35" x14ac:dyDescent="0.25">
      <c r="A11">
        <v>0</v>
      </c>
      <c r="B11">
        <v>0</v>
      </c>
      <c r="C11">
        <v>0</v>
      </c>
      <c r="D11">
        <v>0</v>
      </c>
      <c r="E11">
        <v>0</v>
      </c>
      <c r="F11">
        <v>0</v>
      </c>
      <c r="G11">
        <v>0</v>
      </c>
      <c r="H11">
        <v>0</v>
      </c>
      <c r="I11">
        <v>0</v>
      </c>
      <c r="J11">
        <v>0</v>
      </c>
      <c r="L11">
        <v>0</v>
      </c>
      <c r="M11">
        <v>0</v>
      </c>
      <c r="N11">
        <v>0</v>
      </c>
      <c r="O11">
        <v>0</v>
      </c>
      <c r="P11">
        <v>0</v>
      </c>
      <c r="Q11">
        <v>0</v>
      </c>
      <c r="R11">
        <v>0</v>
      </c>
      <c r="S11">
        <v>0</v>
      </c>
      <c r="T11">
        <v>0</v>
      </c>
      <c r="U11">
        <v>0</v>
      </c>
      <c r="W11">
        <v>0</v>
      </c>
      <c r="X11">
        <v>0</v>
      </c>
      <c r="Y11">
        <v>0</v>
      </c>
      <c r="Z11">
        <v>0</v>
      </c>
      <c r="AA11">
        <v>0</v>
      </c>
      <c r="AB11">
        <v>0</v>
      </c>
      <c r="AC11">
        <v>0</v>
      </c>
      <c r="AD11">
        <v>0</v>
      </c>
      <c r="AE11">
        <v>0</v>
      </c>
      <c r="AF11">
        <v>0</v>
      </c>
      <c r="AH11" t="s">
        <v>375</v>
      </c>
      <c r="AI11" t="s">
        <v>1031</v>
      </c>
    </row>
    <row r="12" spans="1:35" x14ac:dyDescent="0.25">
      <c r="A12">
        <v>0</v>
      </c>
      <c r="B12">
        <v>0</v>
      </c>
      <c r="C12">
        <v>0</v>
      </c>
      <c r="D12">
        <v>0</v>
      </c>
      <c r="E12">
        <v>0</v>
      </c>
      <c r="F12">
        <v>0</v>
      </c>
      <c r="G12">
        <v>0</v>
      </c>
      <c r="H12">
        <v>0</v>
      </c>
      <c r="I12">
        <v>0</v>
      </c>
      <c r="J12">
        <v>0</v>
      </c>
      <c r="L12">
        <v>0</v>
      </c>
      <c r="M12">
        <v>0</v>
      </c>
      <c r="N12">
        <v>0</v>
      </c>
      <c r="O12">
        <v>0</v>
      </c>
      <c r="P12">
        <v>0</v>
      </c>
      <c r="Q12">
        <v>0</v>
      </c>
      <c r="R12">
        <v>0</v>
      </c>
      <c r="S12">
        <v>0</v>
      </c>
      <c r="T12">
        <v>0</v>
      </c>
      <c r="U12">
        <v>0</v>
      </c>
      <c r="W12">
        <v>0</v>
      </c>
      <c r="X12">
        <v>0</v>
      </c>
      <c r="Y12">
        <v>0</v>
      </c>
      <c r="Z12">
        <v>0</v>
      </c>
      <c r="AA12">
        <v>0</v>
      </c>
      <c r="AB12">
        <v>0</v>
      </c>
      <c r="AC12">
        <v>0</v>
      </c>
      <c r="AD12">
        <v>0</v>
      </c>
      <c r="AE12">
        <v>0</v>
      </c>
      <c r="AF12">
        <v>0</v>
      </c>
      <c r="AH12" t="s">
        <v>380</v>
      </c>
      <c r="AI12" t="s">
        <v>1035</v>
      </c>
    </row>
    <row r="13" spans="1:35" x14ac:dyDescent="0.25">
      <c r="A13">
        <v>0</v>
      </c>
      <c r="B13">
        <v>0</v>
      </c>
      <c r="C13">
        <v>0</v>
      </c>
      <c r="D13">
        <v>0</v>
      </c>
      <c r="E13">
        <v>0</v>
      </c>
      <c r="F13">
        <v>0</v>
      </c>
      <c r="G13">
        <v>0</v>
      </c>
      <c r="H13">
        <v>0</v>
      </c>
      <c r="I13">
        <v>0</v>
      </c>
      <c r="J13">
        <v>0</v>
      </c>
      <c r="L13">
        <v>0</v>
      </c>
      <c r="M13">
        <v>0</v>
      </c>
      <c r="N13">
        <v>0</v>
      </c>
      <c r="O13">
        <v>0</v>
      </c>
      <c r="P13">
        <v>0</v>
      </c>
      <c r="Q13">
        <v>0</v>
      </c>
      <c r="R13">
        <v>0</v>
      </c>
      <c r="S13">
        <v>0</v>
      </c>
      <c r="T13">
        <v>0</v>
      </c>
      <c r="U13">
        <v>0</v>
      </c>
      <c r="W13">
        <v>0</v>
      </c>
      <c r="X13">
        <v>0</v>
      </c>
      <c r="Y13">
        <v>0</v>
      </c>
      <c r="Z13">
        <v>0</v>
      </c>
      <c r="AA13">
        <v>0</v>
      </c>
      <c r="AB13">
        <v>0</v>
      </c>
      <c r="AC13">
        <v>0</v>
      </c>
      <c r="AD13">
        <v>0</v>
      </c>
      <c r="AE13">
        <v>0</v>
      </c>
      <c r="AF13">
        <v>0</v>
      </c>
      <c r="AH13" t="s">
        <v>385</v>
      </c>
      <c r="AI13" t="s">
        <v>1036</v>
      </c>
    </row>
    <row r="14" spans="1:35" x14ac:dyDescent="0.25">
      <c r="A14">
        <v>0</v>
      </c>
      <c r="B14">
        <v>0</v>
      </c>
      <c r="C14">
        <v>0</v>
      </c>
      <c r="D14">
        <v>0</v>
      </c>
      <c r="E14">
        <v>0</v>
      </c>
      <c r="F14">
        <v>0</v>
      </c>
      <c r="G14">
        <v>0</v>
      </c>
      <c r="H14">
        <v>0</v>
      </c>
      <c r="I14">
        <v>0</v>
      </c>
      <c r="J14">
        <v>0</v>
      </c>
      <c r="L14">
        <v>0</v>
      </c>
      <c r="M14">
        <v>0</v>
      </c>
      <c r="N14">
        <v>0</v>
      </c>
      <c r="O14">
        <v>0</v>
      </c>
      <c r="P14">
        <v>0</v>
      </c>
      <c r="Q14">
        <v>0</v>
      </c>
      <c r="R14">
        <v>0</v>
      </c>
      <c r="S14">
        <v>0</v>
      </c>
      <c r="T14">
        <v>0</v>
      </c>
      <c r="U14">
        <v>0</v>
      </c>
      <c r="W14">
        <v>0</v>
      </c>
      <c r="X14">
        <v>0</v>
      </c>
      <c r="Y14">
        <v>0</v>
      </c>
      <c r="Z14">
        <v>0</v>
      </c>
      <c r="AA14">
        <v>0</v>
      </c>
      <c r="AB14">
        <v>0</v>
      </c>
      <c r="AC14">
        <v>0</v>
      </c>
      <c r="AD14">
        <v>0</v>
      </c>
      <c r="AE14">
        <v>0</v>
      </c>
      <c r="AF14">
        <v>0</v>
      </c>
      <c r="AH14" t="s">
        <v>390</v>
      </c>
      <c r="AI14" t="s">
        <v>1040</v>
      </c>
    </row>
    <row r="15" spans="1:35" x14ac:dyDescent="0.25">
      <c r="A15">
        <v>9.9999999999999982</v>
      </c>
      <c r="B15">
        <v>9.3333333333333339</v>
      </c>
      <c r="C15">
        <v>8.6666666666666643</v>
      </c>
      <c r="D15">
        <v>7.9999999999999991</v>
      </c>
      <c r="E15">
        <v>7.3333333333333348</v>
      </c>
      <c r="F15">
        <v>6.666666666666667</v>
      </c>
      <c r="G15">
        <v>6</v>
      </c>
      <c r="H15">
        <v>5.333333333333333</v>
      </c>
      <c r="I15">
        <v>0</v>
      </c>
      <c r="J15">
        <v>0</v>
      </c>
      <c r="L15">
        <v>10</v>
      </c>
      <c r="M15">
        <v>9.3333333333333339</v>
      </c>
      <c r="N15">
        <v>8.6666666666666661</v>
      </c>
      <c r="O15">
        <v>8</v>
      </c>
      <c r="P15">
        <v>7.3333333333333339</v>
      </c>
      <c r="Q15">
        <v>6.6666666666666679</v>
      </c>
      <c r="R15">
        <v>5.9999999999999973</v>
      </c>
      <c r="S15">
        <v>5.3333333333333499</v>
      </c>
      <c r="T15">
        <v>0</v>
      </c>
      <c r="U15">
        <v>0</v>
      </c>
      <c r="W15">
        <v>10</v>
      </c>
      <c r="X15">
        <v>10</v>
      </c>
      <c r="Y15">
        <v>10</v>
      </c>
      <c r="Z15">
        <v>10</v>
      </c>
      <c r="AA15">
        <v>10</v>
      </c>
      <c r="AB15">
        <v>10</v>
      </c>
      <c r="AC15">
        <v>10</v>
      </c>
      <c r="AD15">
        <v>10</v>
      </c>
      <c r="AE15">
        <v>10</v>
      </c>
      <c r="AF15">
        <v>10</v>
      </c>
      <c r="AH15" t="s">
        <v>394</v>
      </c>
      <c r="AI15" t="s">
        <v>1044</v>
      </c>
    </row>
    <row r="16" spans="1:35" x14ac:dyDescent="0.25">
      <c r="A16">
        <v>9.9999999999999982</v>
      </c>
      <c r="B16">
        <v>9.3333333333333339</v>
      </c>
      <c r="C16">
        <v>8.6666666666666643</v>
      </c>
      <c r="D16">
        <v>7.9999999999999991</v>
      </c>
      <c r="E16">
        <v>7.3333333333333348</v>
      </c>
      <c r="F16">
        <v>6.666666666666667</v>
      </c>
      <c r="G16">
        <v>6</v>
      </c>
      <c r="H16">
        <v>5.333333333333333</v>
      </c>
      <c r="I16">
        <v>0</v>
      </c>
      <c r="J16">
        <v>0</v>
      </c>
      <c r="L16">
        <v>10</v>
      </c>
      <c r="M16">
        <v>9.3333333333333339</v>
      </c>
      <c r="N16">
        <v>8.6666666666666661</v>
      </c>
      <c r="O16">
        <v>8</v>
      </c>
      <c r="P16">
        <v>7.3333333333333339</v>
      </c>
      <c r="Q16">
        <v>6.6666666666666679</v>
      </c>
      <c r="R16">
        <v>5.9999999999999991</v>
      </c>
      <c r="S16">
        <v>5.3333333333333419</v>
      </c>
      <c r="T16">
        <v>0</v>
      </c>
      <c r="U16">
        <v>0</v>
      </c>
      <c r="W16">
        <v>9.9999999999999964</v>
      </c>
      <c r="X16">
        <v>9.9999999999999964</v>
      </c>
      <c r="Y16">
        <v>10</v>
      </c>
      <c r="Z16">
        <v>9.9999999999999947</v>
      </c>
      <c r="AA16">
        <v>9.9999999999999964</v>
      </c>
      <c r="AB16">
        <v>10</v>
      </c>
      <c r="AC16">
        <v>9.3333333333333339</v>
      </c>
      <c r="AD16">
        <v>8.6666666666666643</v>
      </c>
      <c r="AE16">
        <v>8</v>
      </c>
      <c r="AF16">
        <v>7.333333333333333</v>
      </c>
      <c r="AH16" t="s">
        <v>399</v>
      </c>
      <c r="AI16" t="s">
        <v>1046</v>
      </c>
    </row>
    <row r="17" spans="1:35" x14ac:dyDescent="0.25">
      <c r="A17">
        <v>9.9999999999999982</v>
      </c>
      <c r="B17">
        <v>9.3333333333333339</v>
      </c>
      <c r="C17">
        <v>8.6666666666666643</v>
      </c>
      <c r="D17">
        <v>7.9999999999999991</v>
      </c>
      <c r="E17">
        <v>7.3333333333333348</v>
      </c>
      <c r="F17">
        <v>6.666666666666667</v>
      </c>
      <c r="G17">
        <v>6</v>
      </c>
      <c r="H17">
        <v>5.333333333333333</v>
      </c>
      <c r="I17">
        <v>0</v>
      </c>
      <c r="J17">
        <v>0</v>
      </c>
      <c r="L17">
        <v>10</v>
      </c>
      <c r="M17">
        <v>9.3333333333333339</v>
      </c>
      <c r="N17">
        <v>8.6666666666666661</v>
      </c>
      <c r="O17">
        <v>8</v>
      </c>
      <c r="P17">
        <v>7.3333333333333339</v>
      </c>
      <c r="Q17">
        <v>6.6666666666666679</v>
      </c>
      <c r="R17">
        <v>5.9999999999999991</v>
      </c>
      <c r="S17">
        <v>5.3333333333333419</v>
      </c>
      <c r="T17">
        <v>0</v>
      </c>
      <c r="U17">
        <v>0</v>
      </c>
      <c r="W17">
        <v>9.9999999999999964</v>
      </c>
      <c r="X17">
        <v>9.9999999999999964</v>
      </c>
      <c r="Y17">
        <v>10</v>
      </c>
      <c r="Z17">
        <v>9.9999999999999947</v>
      </c>
      <c r="AA17">
        <v>9.9999999999999964</v>
      </c>
      <c r="AB17">
        <v>10</v>
      </c>
      <c r="AC17">
        <v>9.3333333333333339</v>
      </c>
      <c r="AD17">
        <v>8.6666666666666643</v>
      </c>
      <c r="AE17">
        <v>8</v>
      </c>
      <c r="AF17">
        <v>7.333333333333333</v>
      </c>
      <c r="AH17" t="s">
        <v>404</v>
      </c>
      <c r="AI17" t="s">
        <v>1051</v>
      </c>
    </row>
    <row r="18" spans="1:35" x14ac:dyDescent="0.25">
      <c r="A18">
        <v>-9.9999999999999982</v>
      </c>
      <c r="B18">
        <v>-9.3333333333333339</v>
      </c>
      <c r="C18">
        <v>-8.6666666666666643</v>
      </c>
      <c r="D18">
        <v>-7.9999999999999991</v>
      </c>
      <c r="E18">
        <v>-7.3333333333333348</v>
      </c>
      <c r="F18">
        <v>-6.666666666666667</v>
      </c>
      <c r="G18">
        <v>-6</v>
      </c>
      <c r="H18">
        <v>-5.333333333333333</v>
      </c>
      <c r="I18">
        <v>0</v>
      </c>
      <c r="J18">
        <v>0</v>
      </c>
      <c r="L18">
        <v>-10</v>
      </c>
      <c r="M18">
        <v>-9.3333333333333339</v>
      </c>
      <c r="N18">
        <v>-8.6666666666666661</v>
      </c>
      <c r="O18">
        <v>-8</v>
      </c>
      <c r="P18">
        <v>-7.3333333333333339</v>
      </c>
      <c r="Q18">
        <v>-6.6666666666666679</v>
      </c>
      <c r="R18">
        <v>-5.9999999999999991</v>
      </c>
      <c r="S18">
        <v>-5.3333333333333419</v>
      </c>
      <c r="T18">
        <v>0</v>
      </c>
      <c r="U18">
        <v>0</v>
      </c>
      <c r="W18">
        <v>-9.9999999999999964</v>
      </c>
      <c r="X18">
        <v>-9.9999999999999964</v>
      </c>
      <c r="Y18">
        <v>-10</v>
      </c>
      <c r="Z18">
        <v>-9.9999999999999947</v>
      </c>
      <c r="AA18">
        <v>-9.9999999999999964</v>
      </c>
      <c r="AB18">
        <v>-10</v>
      </c>
      <c r="AC18">
        <v>-9.3333333333333339</v>
      </c>
      <c r="AD18">
        <v>-8.6666666666666643</v>
      </c>
      <c r="AE18">
        <v>-8</v>
      </c>
      <c r="AF18">
        <v>-7.333333333333333</v>
      </c>
      <c r="AH18" t="s">
        <v>409</v>
      </c>
      <c r="AI18" t="s">
        <v>1055</v>
      </c>
    </row>
    <row r="19" spans="1:35" x14ac:dyDescent="0.25">
      <c r="A19">
        <v>9.9999999999999982</v>
      </c>
      <c r="B19">
        <v>9.3333333333333339</v>
      </c>
      <c r="C19">
        <v>8.6666666666666643</v>
      </c>
      <c r="D19">
        <v>7.9999999999999991</v>
      </c>
      <c r="E19">
        <v>7.3333333333333348</v>
      </c>
      <c r="F19">
        <v>6.666666666666667</v>
      </c>
      <c r="G19">
        <v>6</v>
      </c>
      <c r="H19">
        <v>5.333333333333333</v>
      </c>
      <c r="I19">
        <v>0</v>
      </c>
      <c r="J19">
        <v>0</v>
      </c>
      <c r="L19">
        <v>10</v>
      </c>
      <c r="M19">
        <v>9.3333333333333339</v>
      </c>
      <c r="N19">
        <v>8.6666666666666661</v>
      </c>
      <c r="O19">
        <v>8</v>
      </c>
      <c r="P19">
        <v>7.3333333333333339</v>
      </c>
      <c r="Q19">
        <v>6.6666666666666679</v>
      </c>
      <c r="R19">
        <v>5.9999999999999991</v>
      </c>
      <c r="S19">
        <v>5.3333333333333419</v>
      </c>
      <c r="T19">
        <v>0</v>
      </c>
      <c r="U19">
        <v>0</v>
      </c>
      <c r="W19">
        <v>10.000000000000018</v>
      </c>
      <c r="X19">
        <v>8.0000000000000178</v>
      </c>
      <c r="Y19">
        <v>6.0000000000000027</v>
      </c>
      <c r="Z19">
        <v>4.0000000000000231</v>
      </c>
      <c r="AA19">
        <v>2.0000000000000204</v>
      </c>
      <c r="AB19">
        <v>0</v>
      </c>
      <c r="AC19">
        <v>0</v>
      </c>
      <c r="AD19">
        <v>0</v>
      </c>
      <c r="AE19">
        <v>0</v>
      </c>
      <c r="AF19">
        <v>0</v>
      </c>
      <c r="AH19" t="s">
        <v>413</v>
      </c>
      <c r="AI19" t="s">
        <v>1060</v>
      </c>
    </row>
    <row r="20" spans="1:35" x14ac:dyDescent="0.25">
      <c r="A20">
        <v>7.8886090522101181E-31</v>
      </c>
      <c r="B20">
        <v>7.8886090522101181E-31</v>
      </c>
      <c r="C20">
        <v>-7.8886090522101181E-31</v>
      </c>
      <c r="D20">
        <v>-3.944304526105059E-31</v>
      </c>
      <c r="E20">
        <v>5.9164567891575885E-31</v>
      </c>
      <c r="F20">
        <v>3.944304526105059E-31</v>
      </c>
      <c r="G20">
        <v>0</v>
      </c>
      <c r="H20">
        <v>0</v>
      </c>
      <c r="I20">
        <v>0</v>
      </c>
      <c r="J20">
        <v>0</v>
      </c>
      <c r="L20">
        <v>0</v>
      </c>
      <c r="M20">
        <v>0</v>
      </c>
      <c r="N20">
        <v>0</v>
      </c>
      <c r="O20">
        <v>0</v>
      </c>
      <c r="P20">
        <v>0</v>
      </c>
      <c r="Q20">
        <v>0</v>
      </c>
      <c r="R20">
        <v>-1.4802973661668891E-15</v>
      </c>
      <c r="S20">
        <v>8.0358999877630503E-15</v>
      </c>
      <c r="T20">
        <v>0</v>
      </c>
      <c r="U20">
        <v>0</v>
      </c>
      <c r="W20">
        <v>3.5527136788004946E-15</v>
      </c>
      <c r="X20">
        <v>3.3835368369528713E-15</v>
      </c>
      <c r="Y20">
        <v>8.4588420923823043E-16</v>
      </c>
      <c r="Z20">
        <v>4.6523631508101917E-15</v>
      </c>
      <c r="AA20">
        <v>4.2294210461910638E-15</v>
      </c>
      <c r="AB20">
        <v>0</v>
      </c>
      <c r="AC20">
        <v>0.66666666666666541</v>
      </c>
      <c r="AD20">
        <v>1.3333333333333353</v>
      </c>
      <c r="AE20">
        <v>1.9999999999999996</v>
      </c>
      <c r="AF20">
        <v>2.666666666666667</v>
      </c>
      <c r="AH20" t="s">
        <v>418</v>
      </c>
      <c r="AI20" t="s">
        <v>1065</v>
      </c>
    </row>
    <row r="21" spans="1:35" x14ac:dyDescent="0.25">
      <c r="A21">
        <v>7.8886090522101181E-31</v>
      </c>
      <c r="B21">
        <v>7.8886090522101181E-31</v>
      </c>
      <c r="C21">
        <v>-7.8886090522101181E-31</v>
      </c>
      <c r="D21">
        <v>-3.944304526105059E-31</v>
      </c>
      <c r="E21">
        <v>5.9164567891575885E-31</v>
      </c>
      <c r="F21">
        <v>3.944304526105059E-31</v>
      </c>
      <c r="G21">
        <v>0</v>
      </c>
      <c r="H21">
        <v>0</v>
      </c>
      <c r="I21">
        <v>0</v>
      </c>
      <c r="J21">
        <v>0</v>
      </c>
      <c r="L21">
        <v>0</v>
      </c>
      <c r="M21">
        <v>0</v>
      </c>
      <c r="N21">
        <v>0</v>
      </c>
      <c r="O21">
        <v>0</v>
      </c>
      <c r="P21">
        <v>0</v>
      </c>
      <c r="Q21">
        <v>0</v>
      </c>
      <c r="R21">
        <v>-1.4802973661668891E-15</v>
      </c>
      <c r="S21">
        <v>8.0358999877630503E-15</v>
      </c>
      <c r="T21">
        <v>0</v>
      </c>
      <c r="U21">
        <v>0</v>
      </c>
      <c r="W21">
        <v>3.5527136788004946E-15</v>
      </c>
      <c r="X21">
        <v>3.3835368369528713E-15</v>
      </c>
      <c r="Y21">
        <v>8.4588420923823043E-16</v>
      </c>
      <c r="Z21">
        <v>4.6523631508101917E-15</v>
      </c>
      <c r="AA21">
        <v>4.2294210461910638E-15</v>
      </c>
      <c r="AB21">
        <v>0</v>
      </c>
      <c r="AC21">
        <v>0.66666666666666541</v>
      </c>
      <c r="AD21">
        <v>1.3333333333333353</v>
      </c>
      <c r="AE21">
        <v>1.9999999999999996</v>
      </c>
      <c r="AF21">
        <v>2.666666666666667</v>
      </c>
      <c r="AH21" t="s">
        <v>423</v>
      </c>
      <c r="AI21" t="s">
        <v>1070</v>
      </c>
    </row>
    <row r="22" spans="1:35" x14ac:dyDescent="0.25">
      <c r="A22">
        <v>0</v>
      </c>
      <c r="B22">
        <v>0</v>
      </c>
      <c r="C22">
        <v>0</v>
      </c>
      <c r="D22">
        <v>0</v>
      </c>
      <c r="E22">
        <v>0</v>
      </c>
      <c r="F22">
        <v>0</v>
      </c>
      <c r="G22">
        <v>0</v>
      </c>
      <c r="H22">
        <v>0</v>
      </c>
      <c r="I22">
        <v>0</v>
      </c>
      <c r="J22">
        <v>0</v>
      </c>
      <c r="L22">
        <v>0</v>
      </c>
      <c r="M22">
        <v>0</v>
      </c>
      <c r="N22">
        <v>0</v>
      </c>
      <c r="O22">
        <v>0</v>
      </c>
      <c r="P22">
        <v>0</v>
      </c>
      <c r="Q22">
        <v>0</v>
      </c>
      <c r="R22">
        <v>0</v>
      </c>
      <c r="S22">
        <v>0</v>
      </c>
      <c r="T22">
        <v>0</v>
      </c>
      <c r="U22">
        <v>0</v>
      </c>
      <c r="W22">
        <v>0</v>
      </c>
      <c r="X22">
        <v>0</v>
      </c>
      <c r="Y22">
        <v>0</v>
      </c>
      <c r="Z22">
        <v>0</v>
      </c>
      <c r="AA22">
        <v>0</v>
      </c>
      <c r="AB22">
        <v>0</v>
      </c>
      <c r="AC22">
        <v>0</v>
      </c>
      <c r="AD22">
        <v>0</v>
      </c>
      <c r="AE22">
        <v>0</v>
      </c>
      <c r="AF22">
        <v>0</v>
      </c>
      <c r="AH22" t="s">
        <v>427</v>
      </c>
      <c r="AI22" t="s">
        <v>1075</v>
      </c>
    </row>
    <row r="23" spans="1:35" x14ac:dyDescent="0.25">
      <c r="A23">
        <v>0</v>
      </c>
      <c r="B23">
        <v>0</v>
      </c>
      <c r="C23">
        <v>0</v>
      </c>
      <c r="D23">
        <v>0</v>
      </c>
      <c r="E23">
        <v>0</v>
      </c>
      <c r="F23">
        <v>0</v>
      </c>
      <c r="G23">
        <v>0</v>
      </c>
      <c r="H23">
        <v>0</v>
      </c>
      <c r="I23">
        <v>0</v>
      </c>
      <c r="J23">
        <v>0</v>
      </c>
      <c r="L23">
        <v>0</v>
      </c>
      <c r="M23">
        <v>0</v>
      </c>
      <c r="N23">
        <v>0</v>
      </c>
      <c r="O23">
        <v>0</v>
      </c>
      <c r="P23">
        <v>0</v>
      </c>
      <c r="Q23">
        <v>0</v>
      </c>
      <c r="R23">
        <v>-1.4802973661668891E-15</v>
      </c>
      <c r="S23">
        <v>8.0358999877630503E-15</v>
      </c>
      <c r="T23">
        <v>0</v>
      </c>
      <c r="U23">
        <v>0</v>
      </c>
      <c r="W23">
        <v>3.5527136788004946E-15</v>
      </c>
      <c r="X23">
        <v>3.3835368369528713E-15</v>
      </c>
      <c r="Y23">
        <v>8.4588420923823043E-16</v>
      </c>
      <c r="Z23">
        <v>4.6523631508101917E-15</v>
      </c>
      <c r="AA23">
        <v>4.2294210461910638E-15</v>
      </c>
      <c r="AB23">
        <v>0</v>
      </c>
      <c r="AC23">
        <v>0.66666666666666541</v>
      </c>
      <c r="AD23">
        <v>1.3333333333333353</v>
      </c>
      <c r="AE23">
        <v>1.9999999999999996</v>
      </c>
      <c r="AF23">
        <v>2.666666666666667</v>
      </c>
      <c r="AH23" t="s">
        <v>432</v>
      </c>
      <c r="AI23" t="s">
        <v>1080</v>
      </c>
    </row>
    <row r="24" spans="1:35" x14ac:dyDescent="0.25">
      <c r="A24">
        <v>7.8886090522101181E-31</v>
      </c>
      <c r="B24">
        <v>7.8886090522101181E-31</v>
      </c>
      <c r="C24">
        <v>-7.8886090522101181E-31</v>
      </c>
      <c r="D24">
        <v>-3.944304526105059E-31</v>
      </c>
      <c r="E24">
        <v>5.9164567891575885E-31</v>
      </c>
      <c r="F24">
        <v>3.944304526105059E-31</v>
      </c>
      <c r="G24">
        <v>0</v>
      </c>
      <c r="H24">
        <v>0</v>
      </c>
      <c r="I24">
        <v>0</v>
      </c>
      <c r="J24">
        <v>0</v>
      </c>
      <c r="L24">
        <v>0</v>
      </c>
      <c r="M24">
        <v>0</v>
      </c>
      <c r="N24">
        <v>0</v>
      </c>
      <c r="O24">
        <v>0</v>
      </c>
      <c r="P24">
        <v>0</v>
      </c>
      <c r="Q24">
        <v>0</v>
      </c>
      <c r="R24">
        <v>-1.4802973661668891E-15</v>
      </c>
      <c r="S24">
        <v>8.0358999877630503E-15</v>
      </c>
      <c r="T24">
        <v>0</v>
      </c>
      <c r="U24">
        <v>0</v>
      </c>
      <c r="W24">
        <v>3.5527136788004946E-15</v>
      </c>
      <c r="X24">
        <v>3.3835368369528713E-15</v>
      </c>
      <c r="Y24">
        <v>8.4588420923823043E-16</v>
      </c>
      <c r="Z24">
        <v>4.6523631508101917E-15</v>
      </c>
      <c r="AA24">
        <v>4.2294210461910638E-15</v>
      </c>
      <c r="AB24">
        <v>0</v>
      </c>
      <c r="AC24">
        <v>0.66666666666666541</v>
      </c>
      <c r="AD24">
        <v>1.3333333333333353</v>
      </c>
      <c r="AE24">
        <v>1.9999999999999996</v>
      </c>
      <c r="AF24">
        <v>2.666666666666667</v>
      </c>
      <c r="AH24" t="s">
        <v>437</v>
      </c>
      <c r="AI24" t="s">
        <v>1081</v>
      </c>
    </row>
    <row r="25" spans="1:35" x14ac:dyDescent="0.25">
      <c r="A25">
        <v>-2.6387909570800916E-15</v>
      </c>
      <c r="B25">
        <v>1.1584935909132072E-15</v>
      </c>
      <c r="C25">
        <v>-4.7626958737543048E-15</v>
      </c>
      <c r="D25">
        <v>-1.1584935909132088E-15</v>
      </c>
      <c r="E25">
        <v>2.0595441616234785E-15</v>
      </c>
      <c r="F25">
        <v>2.5744302020293205E-16</v>
      </c>
      <c r="G25">
        <v>-6.6613381477509383E-16</v>
      </c>
      <c r="H25">
        <v>-7.7715611723760978E-16</v>
      </c>
      <c r="I25">
        <v>0</v>
      </c>
      <c r="J25">
        <v>0</v>
      </c>
      <c r="L25">
        <v>-1.4901332290649936E-14</v>
      </c>
      <c r="M25">
        <v>6.2949522547960075E-15</v>
      </c>
      <c r="N25">
        <v>5.9703687791580948E-15</v>
      </c>
      <c r="O25">
        <v>-5.5474266745389874E-15</v>
      </c>
      <c r="P25">
        <v>6.2949522547960178E-15</v>
      </c>
      <c r="Q25">
        <v>-2.9605947323337489E-15</v>
      </c>
      <c r="R25">
        <v>-1.4802973661668859E-15</v>
      </c>
      <c r="S25">
        <v>8.0358999877630345E-15</v>
      </c>
      <c r="T25">
        <v>0</v>
      </c>
      <c r="U25">
        <v>0</v>
      </c>
      <c r="W25">
        <v>3.5527136788005009E-15</v>
      </c>
      <c r="X25">
        <v>3.3835368369528713E-15</v>
      </c>
      <c r="Y25">
        <v>8.4588420923823675E-16</v>
      </c>
      <c r="Z25">
        <v>4.6523631508102011E-15</v>
      </c>
      <c r="AA25">
        <v>4.2294210461910638E-15</v>
      </c>
      <c r="AB25">
        <v>0</v>
      </c>
      <c r="AC25">
        <v>-3.6637359812630142E-15</v>
      </c>
      <c r="AD25">
        <v>6.2912638062092178E-15</v>
      </c>
      <c r="AE25">
        <v>-7.4014868308342718E-16</v>
      </c>
      <c r="AF25">
        <v>1.3322676295501926E-15</v>
      </c>
      <c r="AH25" t="s">
        <v>442</v>
      </c>
      <c r="AI25" t="s">
        <v>1086</v>
      </c>
    </row>
    <row r="26" spans="1:35" x14ac:dyDescent="0.25">
      <c r="A26">
        <v>2.6387909570800849E-15</v>
      </c>
      <c r="B26">
        <v>-1.1584935909132051E-15</v>
      </c>
      <c r="C26">
        <v>4.7626958737543025E-15</v>
      </c>
      <c r="D26">
        <v>1.1584935909132106E-15</v>
      </c>
      <c r="E26">
        <v>-2.0595441616234785E-15</v>
      </c>
      <c r="F26">
        <v>-2.5744302020293126E-16</v>
      </c>
      <c r="G26">
        <v>6.6613381477509392E-16</v>
      </c>
      <c r="H26">
        <v>7.7715611723760968E-16</v>
      </c>
      <c r="I26">
        <v>0</v>
      </c>
      <c r="J26">
        <v>0</v>
      </c>
      <c r="L26">
        <v>1.4901332290649936E-14</v>
      </c>
      <c r="M26">
        <v>-6.2949522547960075E-15</v>
      </c>
      <c r="N26">
        <v>-5.9703687791580948E-15</v>
      </c>
      <c r="O26">
        <v>5.5474266745389874E-15</v>
      </c>
      <c r="P26">
        <v>-6.2949522547960178E-15</v>
      </c>
      <c r="Q26">
        <v>2.9605947323337489E-15</v>
      </c>
      <c r="R26">
        <v>0</v>
      </c>
      <c r="S26">
        <v>0</v>
      </c>
      <c r="T26">
        <v>0</v>
      </c>
      <c r="U26">
        <v>0</v>
      </c>
      <c r="W26">
        <v>0</v>
      </c>
      <c r="X26">
        <v>0</v>
      </c>
      <c r="Y26">
        <v>0</v>
      </c>
      <c r="Z26">
        <v>0</v>
      </c>
      <c r="AA26">
        <v>0</v>
      </c>
      <c r="AB26">
        <v>0</v>
      </c>
      <c r="AC26">
        <v>0.66666666666666896</v>
      </c>
      <c r="AD26">
        <v>1.3333333333333288</v>
      </c>
      <c r="AE26">
        <v>2.0000000000000004</v>
      </c>
      <c r="AF26">
        <v>2.6666666666666656</v>
      </c>
      <c r="AH26" t="s">
        <v>447</v>
      </c>
      <c r="AI26" t="s">
        <v>1090</v>
      </c>
    </row>
    <row r="27" spans="1:35" x14ac:dyDescent="0.25">
      <c r="A27">
        <v>0</v>
      </c>
      <c r="B27">
        <v>0</v>
      </c>
      <c r="C27">
        <v>0</v>
      </c>
      <c r="D27">
        <v>0</v>
      </c>
      <c r="E27">
        <v>0</v>
      </c>
      <c r="F27">
        <v>-2.5744302020293126E-16</v>
      </c>
      <c r="G27">
        <v>9.3258734068513153E-16</v>
      </c>
      <c r="H27">
        <v>1.0880185641326535E-15</v>
      </c>
      <c r="I27">
        <v>0</v>
      </c>
      <c r="J27">
        <v>0</v>
      </c>
      <c r="L27">
        <v>1.4901332290649936E-14</v>
      </c>
      <c r="M27">
        <v>-6.2949522547960036E-15</v>
      </c>
      <c r="N27">
        <v>-5.9703687791580963E-15</v>
      </c>
      <c r="O27">
        <v>5.5474266745389874E-15</v>
      </c>
      <c r="P27">
        <v>-6.2949522547960178E-15</v>
      </c>
      <c r="Q27">
        <v>2.9605947323337481E-15</v>
      </c>
      <c r="R27">
        <v>5.9211894646677783E-16</v>
      </c>
      <c r="S27">
        <v>-3.2143599951052321E-15</v>
      </c>
      <c r="T27">
        <v>0</v>
      </c>
      <c r="U27">
        <v>0</v>
      </c>
      <c r="W27">
        <v>0</v>
      </c>
      <c r="X27">
        <v>-1.3534147347811494E-15</v>
      </c>
      <c r="Y27">
        <v>-3.383536836952846E-16</v>
      </c>
      <c r="Z27">
        <v>-1.8609452603240811E-15</v>
      </c>
      <c r="AA27">
        <v>-1.6917684184764262E-15</v>
      </c>
      <c r="AB27">
        <v>0</v>
      </c>
      <c r="AC27">
        <v>0.66666666666666896</v>
      </c>
      <c r="AD27">
        <v>1.3333333333333288</v>
      </c>
      <c r="AE27">
        <v>2.0000000000000004</v>
      </c>
      <c r="AF27">
        <v>2.6666666666666656</v>
      </c>
      <c r="AH27" t="s">
        <v>452</v>
      </c>
      <c r="AI27" t="s">
        <v>1096</v>
      </c>
    </row>
    <row r="28" spans="1:35" x14ac:dyDescent="0.25">
      <c r="A28">
        <v>7.0997481469891062E-30</v>
      </c>
      <c r="B28">
        <v>-1.5777218104420236E-30</v>
      </c>
      <c r="C28">
        <v>1.5777218104420236E-30</v>
      </c>
      <c r="D28">
        <v>-1.5777218104420236E-30</v>
      </c>
      <c r="E28">
        <v>7.8886090522101181E-31</v>
      </c>
      <c r="F28">
        <v>-2.5744302020293126E-16</v>
      </c>
      <c r="G28">
        <v>9.3258734068513153E-16</v>
      </c>
      <c r="H28">
        <v>1.0880185641326535E-15</v>
      </c>
      <c r="I28">
        <v>0</v>
      </c>
      <c r="J28">
        <v>0</v>
      </c>
      <c r="L28">
        <v>1.4108315844489109E-14</v>
      </c>
      <c r="M28">
        <v>-6.2949522547960036E-15</v>
      </c>
      <c r="N28">
        <v>-5.9703687791580963E-15</v>
      </c>
      <c r="O28">
        <v>5.5474266745389874E-15</v>
      </c>
      <c r="P28">
        <v>-6.2949522547960178E-15</v>
      </c>
      <c r="Q28">
        <v>2.9605947323337481E-15</v>
      </c>
      <c r="R28">
        <v>5.9211894646677783E-16</v>
      </c>
      <c r="S28">
        <v>-3.2143599951052321E-15</v>
      </c>
      <c r="T28">
        <v>0</v>
      </c>
      <c r="U28">
        <v>0</v>
      </c>
      <c r="W28">
        <v>0</v>
      </c>
      <c r="X28">
        <v>-1.3534147347811494E-15</v>
      </c>
      <c r="Y28">
        <v>-3.383536836952846E-16</v>
      </c>
      <c r="Z28">
        <v>-1.8609452603240811E-15</v>
      </c>
      <c r="AA28">
        <v>-1.6917684184764262E-15</v>
      </c>
      <c r="AB28">
        <v>0</v>
      </c>
      <c r="AC28">
        <v>0.66666666666666896</v>
      </c>
      <c r="AD28">
        <v>1.3333333333333288</v>
      </c>
      <c r="AE28">
        <v>2.0000000000000004</v>
      </c>
      <c r="AF28">
        <v>2.6666666666666656</v>
      </c>
      <c r="AH28" t="s">
        <v>457</v>
      </c>
      <c r="AI28" t="s">
        <v>1101</v>
      </c>
    </row>
    <row r="29" spans="1:35" x14ac:dyDescent="0.25">
      <c r="A29">
        <v>1.9721522630525295E-31</v>
      </c>
      <c r="B29">
        <v>1.9721522630525295E-31</v>
      </c>
      <c r="C29">
        <v>0</v>
      </c>
      <c r="D29">
        <v>-5.6699377562760224E-31</v>
      </c>
      <c r="E29">
        <v>4.4373425918681914E-31</v>
      </c>
      <c r="F29">
        <v>1.7256332301709633E-31</v>
      </c>
      <c r="G29">
        <v>0</v>
      </c>
      <c r="H29">
        <v>0</v>
      </c>
      <c r="I29">
        <v>0</v>
      </c>
      <c r="J29">
        <v>0</v>
      </c>
      <c r="L29">
        <v>7.4506661453249712E-15</v>
      </c>
      <c r="M29">
        <v>-3.1474761273980093E-15</v>
      </c>
      <c r="N29">
        <v>-2.9851843895790501E-15</v>
      </c>
      <c r="O29">
        <v>2.7737133372694929E-15</v>
      </c>
      <c r="P29">
        <v>-3.1474761273980097E-15</v>
      </c>
      <c r="Q29">
        <v>1.4802973661668753E-15</v>
      </c>
      <c r="R29">
        <v>-1.4802973661668875E-15</v>
      </c>
      <c r="S29">
        <v>8.0358999877630471E-15</v>
      </c>
      <c r="T29">
        <v>0</v>
      </c>
      <c r="U29">
        <v>0</v>
      </c>
      <c r="W29">
        <v>3.5527136788004946E-15</v>
      </c>
      <c r="X29">
        <v>3.3835368369528713E-15</v>
      </c>
      <c r="Y29">
        <v>8.4588420923823043E-16</v>
      </c>
      <c r="Z29">
        <v>4.6523631508101948E-15</v>
      </c>
      <c r="AA29">
        <v>4.2294210461910654E-15</v>
      </c>
      <c r="AB29">
        <v>0</v>
      </c>
      <c r="AC29">
        <v>0.66666666666666541</v>
      </c>
      <c r="AD29">
        <v>1.3333333333333353</v>
      </c>
      <c r="AE29">
        <v>1.9999999999999996</v>
      </c>
      <c r="AF29">
        <v>2.666666666666667</v>
      </c>
      <c r="AH29" t="s">
        <v>462</v>
      </c>
      <c r="AI29" t="s">
        <v>1105</v>
      </c>
    </row>
    <row r="30" spans="1:35" x14ac:dyDescent="0.25">
      <c r="A30">
        <v>7.8886090522101181E-31</v>
      </c>
      <c r="B30">
        <v>7.8886090522101181E-31</v>
      </c>
      <c r="C30">
        <v>-7.8886090522101181E-31</v>
      </c>
      <c r="D30">
        <v>-3.944304526105059E-31</v>
      </c>
      <c r="E30">
        <v>5.9164567891575885E-31</v>
      </c>
      <c r="F30">
        <v>3.944304526105059E-31</v>
      </c>
      <c r="G30">
        <v>0</v>
      </c>
      <c r="H30">
        <v>0</v>
      </c>
      <c r="I30">
        <v>0</v>
      </c>
      <c r="J30">
        <v>0</v>
      </c>
      <c r="L30">
        <v>7.4506661453249712E-15</v>
      </c>
      <c r="M30">
        <v>-3.1474761273980093E-15</v>
      </c>
      <c r="N30">
        <v>-2.9851843895790501E-15</v>
      </c>
      <c r="O30">
        <v>2.7737133372694929E-15</v>
      </c>
      <c r="P30">
        <v>-3.1474761273980097E-15</v>
      </c>
      <c r="Q30">
        <v>1.4802973661668753E-15</v>
      </c>
      <c r="R30">
        <v>-1.4802973661668891E-15</v>
      </c>
      <c r="S30">
        <v>8.0358999877630503E-15</v>
      </c>
      <c r="T30">
        <v>0</v>
      </c>
      <c r="U30">
        <v>0</v>
      </c>
      <c r="W30">
        <v>3.5527136788004946E-15</v>
      </c>
      <c r="X30">
        <v>3.3835368369528713E-15</v>
      </c>
      <c r="Y30">
        <v>8.4588420923823043E-16</v>
      </c>
      <c r="Z30">
        <v>4.6523631508101917E-15</v>
      </c>
      <c r="AA30">
        <v>4.2294210461910638E-15</v>
      </c>
      <c r="AB30">
        <v>0</v>
      </c>
      <c r="AC30">
        <v>0.66666666666666541</v>
      </c>
      <c r="AD30">
        <v>1.3333333333333353</v>
      </c>
      <c r="AE30">
        <v>1.9999999999999996</v>
      </c>
      <c r="AF30">
        <v>2.666666666666667</v>
      </c>
      <c r="AH30" t="s">
        <v>466</v>
      </c>
      <c r="AI30" t="s">
        <v>1111</v>
      </c>
    </row>
    <row r="31" spans="1:35" x14ac:dyDescent="0.25">
      <c r="A31">
        <v>6.3108872417680944E-30</v>
      </c>
      <c r="B31">
        <v>3.1554436208840472E-30</v>
      </c>
      <c r="C31">
        <v>3.1554436208840472E-30</v>
      </c>
      <c r="D31">
        <v>7.8886090522101181E-31</v>
      </c>
      <c r="E31">
        <v>1.5777218104420236E-30</v>
      </c>
      <c r="F31">
        <v>-1.5777218104420236E-30</v>
      </c>
      <c r="G31">
        <v>-2.4651903288156619E-32</v>
      </c>
      <c r="H31">
        <v>0</v>
      </c>
      <c r="I31">
        <v>0</v>
      </c>
      <c r="J31">
        <v>0</v>
      </c>
      <c r="L31">
        <v>-7.4506661453249696E-15</v>
      </c>
      <c r="M31">
        <v>3.1474761273980081E-15</v>
      </c>
      <c r="N31">
        <v>2.9851843895790493E-15</v>
      </c>
      <c r="O31">
        <v>-2.7737133372694929E-15</v>
      </c>
      <c r="P31">
        <v>3.1474761273980089E-15</v>
      </c>
      <c r="Q31">
        <v>-1.4802973661668753E-15</v>
      </c>
      <c r="R31">
        <v>0</v>
      </c>
      <c r="S31">
        <v>0</v>
      </c>
      <c r="T31">
        <v>0</v>
      </c>
      <c r="U31">
        <v>0</v>
      </c>
      <c r="W31">
        <v>0</v>
      </c>
      <c r="X31">
        <v>0</v>
      </c>
      <c r="Y31">
        <v>0</v>
      </c>
      <c r="Z31">
        <v>3.1554436208840472E-30</v>
      </c>
      <c r="AA31">
        <v>0</v>
      </c>
      <c r="AB31">
        <v>0</v>
      </c>
      <c r="AC31">
        <v>0</v>
      </c>
      <c r="AD31">
        <v>0</v>
      </c>
      <c r="AE31">
        <v>0</v>
      </c>
      <c r="AF31">
        <v>0</v>
      </c>
      <c r="AH31" t="s">
        <v>470</v>
      </c>
      <c r="AI31" t="s">
        <v>1116</v>
      </c>
    </row>
    <row r="32" spans="1:35" x14ac:dyDescent="0.25">
      <c r="A32">
        <v>6.3108872417680944E-30</v>
      </c>
      <c r="B32">
        <v>3.1554436208840472E-30</v>
      </c>
      <c r="C32">
        <v>3.1554436208840472E-30</v>
      </c>
      <c r="D32">
        <v>7.8886090522101181E-31</v>
      </c>
      <c r="E32">
        <v>1.5777218104420236E-30</v>
      </c>
      <c r="F32">
        <v>-1.5777218104420236E-30</v>
      </c>
      <c r="G32">
        <v>-2.4651903288156619E-32</v>
      </c>
      <c r="H32">
        <v>0</v>
      </c>
      <c r="I32">
        <v>0</v>
      </c>
      <c r="J32">
        <v>0</v>
      </c>
      <c r="L32">
        <v>-7.4506661453249696E-15</v>
      </c>
      <c r="M32">
        <v>3.1474761273980081E-15</v>
      </c>
      <c r="N32">
        <v>2.9851843895790493E-15</v>
      </c>
      <c r="O32">
        <v>-2.7737133372694929E-15</v>
      </c>
      <c r="P32">
        <v>3.1474761273980089E-15</v>
      </c>
      <c r="Q32">
        <v>-1.4802973661668753E-15</v>
      </c>
      <c r="R32">
        <v>0</v>
      </c>
      <c r="S32">
        <v>0</v>
      </c>
      <c r="T32">
        <v>0</v>
      </c>
      <c r="U32">
        <v>0</v>
      </c>
      <c r="W32">
        <v>0</v>
      </c>
      <c r="X32">
        <v>0</v>
      </c>
      <c r="Y32">
        <v>0</v>
      </c>
      <c r="Z32">
        <v>3.1554436208840472E-30</v>
      </c>
      <c r="AA32">
        <v>0</v>
      </c>
      <c r="AB32">
        <v>0</v>
      </c>
      <c r="AC32">
        <v>0</v>
      </c>
      <c r="AD32">
        <v>0</v>
      </c>
      <c r="AE32">
        <v>0</v>
      </c>
      <c r="AF32">
        <v>0</v>
      </c>
      <c r="AH32" t="s">
        <v>473</v>
      </c>
      <c r="AI32" t="s">
        <v>1120</v>
      </c>
    </row>
    <row r="33" spans="1:35" x14ac:dyDescent="0.25">
      <c r="A33">
        <v>0</v>
      </c>
      <c r="B33">
        <v>0</v>
      </c>
      <c r="C33">
        <v>0</v>
      </c>
      <c r="D33">
        <v>0</v>
      </c>
      <c r="E33">
        <v>0</v>
      </c>
      <c r="F33">
        <v>0</v>
      </c>
      <c r="G33">
        <v>0</v>
      </c>
      <c r="H33">
        <v>0</v>
      </c>
      <c r="I33">
        <v>0</v>
      </c>
      <c r="J33">
        <v>0</v>
      </c>
      <c r="L33">
        <v>-7.4506661453249712E-15</v>
      </c>
      <c r="M33">
        <v>3.1474761273980093E-15</v>
      </c>
      <c r="N33">
        <v>2.9851843895790501E-15</v>
      </c>
      <c r="O33">
        <v>-2.7737133372694929E-15</v>
      </c>
      <c r="P33">
        <v>3.1474761273980097E-15</v>
      </c>
      <c r="Q33">
        <v>-1.4802973661668753E-15</v>
      </c>
      <c r="R33">
        <v>0</v>
      </c>
      <c r="S33">
        <v>0</v>
      </c>
      <c r="T33">
        <v>0</v>
      </c>
      <c r="U33">
        <v>0</v>
      </c>
      <c r="W33">
        <v>0</v>
      </c>
      <c r="X33">
        <v>0</v>
      </c>
      <c r="Y33">
        <v>0</v>
      </c>
      <c r="Z33">
        <v>0</v>
      </c>
      <c r="AA33">
        <v>0</v>
      </c>
      <c r="AB33">
        <v>0</v>
      </c>
      <c r="AC33">
        <v>0</v>
      </c>
      <c r="AD33">
        <v>0</v>
      </c>
      <c r="AE33">
        <v>0</v>
      </c>
      <c r="AF33">
        <v>0</v>
      </c>
      <c r="AH33" t="s">
        <v>477</v>
      </c>
      <c r="AI33" t="s">
        <v>1125</v>
      </c>
    </row>
    <row r="34" spans="1:35" x14ac:dyDescent="0.25">
      <c r="A34">
        <v>0</v>
      </c>
      <c r="B34">
        <v>0</v>
      </c>
      <c r="C34">
        <v>0</v>
      </c>
      <c r="D34">
        <v>0</v>
      </c>
      <c r="E34">
        <v>0</v>
      </c>
      <c r="F34">
        <v>0</v>
      </c>
      <c r="G34">
        <v>0</v>
      </c>
      <c r="H34">
        <v>0</v>
      </c>
      <c r="I34">
        <v>0</v>
      </c>
      <c r="J34">
        <v>0</v>
      </c>
      <c r="L34">
        <v>-7.4506661453249712E-15</v>
      </c>
      <c r="M34">
        <v>3.1474761273980093E-15</v>
      </c>
      <c r="N34">
        <v>2.9851843895790501E-15</v>
      </c>
      <c r="O34">
        <v>-2.7737133372694929E-15</v>
      </c>
      <c r="P34">
        <v>3.1474761273980097E-15</v>
      </c>
      <c r="Q34">
        <v>-1.4802973661668753E-15</v>
      </c>
      <c r="R34">
        <v>0</v>
      </c>
      <c r="S34">
        <v>0</v>
      </c>
      <c r="T34">
        <v>0</v>
      </c>
      <c r="U34">
        <v>0</v>
      </c>
      <c r="W34">
        <v>0</v>
      </c>
      <c r="X34">
        <v>0</v>
      </c>
      <c r="Y34">
        <v>0</v>
      </c>
      <c r="Z34">
        <v>0</v>
      </c>
      <c r="AA34">
        <v>0</v>
      </c>
      <c r="AB34">
        <v>0</v>
      </c>
      <c r="AC34">
        <v>0</v>
      </c>
      <c r="AD34">
        <v>0</v>
      </c>
      <c r="AE34">
        <v>0</v>
      </c>
      <c r="AF34">
        <v>0</v>
      </c>
      <c r="AH34" t="s">
        <v>482</v>
      </c>
      <c r="AI34" t="s">
        <v>1129</v>
      </c>
    </row>
    <row r="35" spans="1:35" x14ac:dyDescent="0.25">
      <c r="A35">
        <v>0</v>
      </c>
      <c r="B35">
        <v>0</v>
      </c>
      <c r="C35">
        <v>0</v>
      </c>
      <c r="D35">
        <v>0</v>
      </c>
      <c r="E35">
        <v>0</v>
      </c>
      <c r="F35">
        <v>0</v>
      </c>
      <c r="G35">
        <v>0</v>
      </c>
      <c r="H35">
        <v>0</v>
      </c>
      <c r="I35">
        <v>0</v>
      </c>
      <c r="J35">
        <v>0</v>
      </c>
      <c r="L35">
        <v>-7.4506661453249712E-15</v>
      </c>
      <c r="M35">
        <v>3.1474761273980093E-15</v>
      </c>
      <c r="N35">
        <v>2.9851843895790501E-15</v>
      </c>
      <c r="O35">
        <v>-2.7737133372694929E-15</v>
      </c>
      <c r="P35">
        <v>3.1474761273980097E-15</v>
      </c>
      <c r="Q35">
        <v>-1.4802973661668753E-15</v>
      </c>
      <c r="R35">
        <v>0</v>
      </c>
      <c r="S35">
        <v>0</v>
      </c>
      <c r="T35">
        <v>0</v>
      </c>
      <c r="U35">
        <v>0</v>
      </c>
      <c r="W35">
        <v>0</v>
      </c>
      <c r="X35">
        <v>0</v>
      </c>
      <c r="Y35">
        <v>0</v>
      </c>
      <c r="Z35">
        <v>0</v>
      </c>
      <c r="AA35">
        <v>0</v>
      </c>
      <c r="AB35">
        <v>0</v>
      </c>
      <c r="AC35">
        <v>0</v>
      </c>
      <c r="AD35">
        <v>0</v>
      </c>
      <c r="AE35">
        <v>0</v>
      </c>
      <c r="AF35">
        <v>0</v>
      </c>
      <c r="AH35" t="s">
        <v>486</v>
      </c>
      <c r="AI35" t="s">
        <v>1133</v>
      </c>
    </row>
    <row r="36" spans="1:35" x14ac:dyDescent="0.25">
      <c r="A36">
        <v>0</v>
      </c>
      <c r="B36">
        <v>0</v>
      </c>
      <c r="C36">
        <v>0</v>
      </c>
      <c r="D36">
        <v>0</v>
      </c>
      <c r="E36">
        <v>0</v>
      </c>
      <c r="F36">
        <v>0</v>
      </c>
      <c r="G36">
        <v>0</v>
      </c>
      <c r="H36">
        <v>0</v>
      </c>
      <c r="I36">
        <v>0</v>
      </c>
      <c r="J36">
        <v>0</v>
      </c>
      <c r="L36">
        <v>-7.4506661453249712E-15</v>
      </c>
      <c r="M36">
        <v>3.1474761273980093E-15</v>
      </c>
      <c r="N36">
        <v>2.9851843895790501E-15</v>
      </c>
      <c r="O36">
        <v>-2.7737133372694929E-15</v>
      </c>
      <c r="P36">
        <v>3.1474761273980097E-15</v>
      </c>
      <c r="Q36">
        <v>-1.4802973661668753E-15</v>
      </c>
      <c r="R36">
        <v>0</v>
      </c>
      <c r="S36">
        <v>0</v>
      </c>
      <c r="T36">
        <v>0</v>
      </c>
      <c r="U36">
        <v>0</v>
      </c>
      <c r="W36">
        <v>0</v>
      </c>
      <c r="X36">
        <v>0</v>
      </c>
      <c r="Y36">
        <v>0</v>
      </c>
      <c r="Z36">
        <v>0</v>
      </c>
      <c r="AA36">
        <v>0</v>
      </c>
      <c r="AB36">
        <v>0</v>
      </c>
      <c r="AC36">
        <v>0</v>
      </c>
      <c r="AD36">
        <v>0</v>
      </c>
      <c r="AE36">
        <v>0</v>
      </c>
      <c r="AF36">
        <v>0</v>
      </c>
      <c r="AH36" t="s">
        <v>489</v>
      </c>
      <c r="AI36" t="s">
        <v>1137</v>
      </c>
    </row>
    <row r="37" spans="1:35" x14ac:dyDescent="0.25">
      <c r="A37">
        <v>0</v>
      </c>
      <c r="B37">
        <v>0</v>
      </c>
      <c r="C37">
        <v>0</v>
      </c>
      <c r="D37">
        <v>0</v>
      </c>
      <c r="E37">
        <v>0</v>
      </c>
      <c r="F37">
        <v>0</v>
      </c>
      <c r="G37">
        <v>0</v>
      </c>
      <c r="H37">
        <v>0</v>
      </c>
      <c r="I37">
        <v>0</v>
      </c>
      <c r="J37">
        <v>0</v>
      </c>
      <c r="L37">
        <v>-7.4506661453249712E-15</v>
      </c>
      <c r="M37">
        <v>3.1474761273980093E-15</v>
      </c>
      <c r="N37">
        <v>2.9851843895790501E-15</v>
      </c>
      <c r="O37">
        <v>-2.7737133372694929E-15</v>
      </c>
      <c r="P37">
        <v>3.1474761273980097E-15</v>
      </c>
      <c r="Q37">
        <v>-1.4802973661668753E-15</v>
      </c>
      <c r="R37">
        <v>0</v>
      </c>
      <c r="S37">
        <v>0</v>
      </c>
      <c r="T37">
        <v>0</v>
      </c>
      <c r="U37">
        <v>0</v>
      </c>
      <c r="W37">
        <v>0</v>
      </c>
      <c r="X37">
        <v>0</v>
      </c>
      <c r="Y37">
        <v>0</v>
      </c>
      <c r="Z37">
        <v>0</v>
      </c>
      <c r="AA37">
        <v>0</v>
      </c>
      <c r="AB37">
        <v>0</v>
      </c>
      <c r="AC37">
        <v>0</v>
      </c>
      <c r="AD37">
        <v>0</v>
      </c>
      <c r="AE37">
        <v>0</v>
      </c>
      <c r="AF37">
        <v>0</v>
      </c>
      <c r="AH37" t="s">
        <v>493</v>
      </c>
      <c r="AI37" s="60" t="s">
        <v>1142</v>
      </c>
    </row>
    <row r="38" spans="1:35" x14ac:dyDescent="0.25">
      <c r="A38">
        <v>0</v>
      </c>
      <c r="B38">
        <v>0</v>
      </c>
      <c r="C38">
        <v>0</v>
      </c>
      <c r="D38">
        <v>0</v>
      </c>
      <c r="E38">
        <v>0</v>
      </c>
      <c r="F38">
        <v>0</v>
      </c>
      <c r="G38">
        <v>0</v>
      </c>
      <c r="H38">
        <v>0</v>
      </c>
      <c r="I38">
        <v>0</v>
      </c>
      <c r="J38">
        <v>0</v>
      </c>
      <c r="L38">
        <v>-7.4506661453249712E-15</v>
      </c>
      <c r="M38">
        <v>3.1474761273980093E-15</v>
      </c>
      <c r="N38">
        <v>2.9851843895790501E-15</v>
      </c>
      <c r="O38">
        <v>-2.7737133372694929E-15</v>
      </c>
      <c r="P38">
        <v>3.1474761273980097E-15</v>
      </c>
      <c r="Q38">
        <v>-1.4802973661668753E-15</v>
      </c>
      <c r="R38">
        <v>0</v>
      </c>
      <c r="S38">
        <v>0</v>
      </c>
      <c r="T38">
        <v>0</v>
      </c>
      <c r="U38">
        <v>0</v>
      </c>
      <c r="W38">
        <v>0</v>
      </c>
      <c r="X38">
        <v>0</v>
      </c>
      <c r="Y38">
        <v>0</v>
      </c>
      <c r="Z38">
        <v>0</v>
      </c>
      <c r="AA38">
        <v>0</v>
      </c>
      <c r="AB38">
        <v>0</v>
      </c>
      <c r="AC38">
        <v>0</v>
      </c>
      <c r="AD38">
        <v>0</v>
      </c>
      <c r="AE38">
        <v>0</v>
      </c>
      <c r="AF38">
        <v>0</v>
      </c>
      <c r="AH38" t="s">
        <v>497</v>
      </c>
      <c r="AI38" t="s">
        <v>1147</v>
      </c>
    </row>
    <row r="39" spans="1:35" x14ac:dyDescent="0.25">
      <c r="A39">
        <v>0</v>
      </c>
      <c r="B39">
        <v>0</v>
      </c>
      <c r="C39">
        <v>0</v>
      </c>
      <c r="D39">
        <v>0</v>
      </c>
      <c r="E39">
        <v>0</v>
      </c>
      <c r="F39">
        <v>0</v>
      </c>
      <c r="G39">
        <v>0</v>
      </c>
      <c r="H39">
        <v>0</v>
      </c>
      <c r="I39">
        <v>0</v>
      </c>
      <c r="J39">
        <v>0</v>
      </c>
      <c r="L39">
        <v>-7.4506661453249712E-15</v>
      </c>
      <c r="M39">
        <v>3.1474761273980093E-15</v>
      </c>
      <c r="N39">
        <v>2.9851843895790501E-15</v>
      </c>
      <c r="O39">
        <v>-2.7737133372694929E-15</v>
      </c>
      <c r="P39">
        <v>3.1474761273980097E-15</v>
      </c>
      <c r="Q39">
        <v>-1.4802973661668753E-15</v>
      </c>
      <c r="R39">
        <v>0</v>
      </c>
      <c r="S39">
        <v>0</v>
      </c>
      <c r="T39">
        <v>0</v>
      </c>
      <c r="U39">
        <v>0</v>
      </c>
      <c r="W39">
        <v>0</v>
      </c>
      <c r="X39">
        <v>0</v>
      </c>
      <c r="Y39">
        <v>0</v>
      </c>
      <c r="Z39">
        <v>0</v>
      </c>
      <c r="AA39">
        <v>0</v>
      </c>
      <c r="AB39">
        <v>0</v>
      </c>
      <c r="AC39">
        <v>0</v>
      </c>
      <c r="AD39">
        <v>0</v>
      </c>
      <c r="AE39">
        <v>0</v>
      </c>
      <c r="AF39">
        <v>0</v>
      </c>
      <c r="AH39" t="s">
        <v>502</v>
      </c>
      <c r="AI39" t="s">
        <v>1152</v>
      </c>
    </row>
    <row r="40" spans="1:35" x14ac:dyDescent="0.25">
      <c r="A40">
        <v>0</v>
      </c>
      <c r="B40">
        <v>0</v>
      </c>
      <c r="C40">
        <v>0</v>
      </c>
      <c r="D40">
        <v>0</v>
      </c>
      <c r="E40">
        <v>0</v>
      </c>
      <c r="F40">
        <v>0</v>
      </c>
      <c r="G40">
        <v>0</v>
      </c>
      <c r="H40">
        <v>0</v>
      </c>
      <c r="I40">
        <v>0</v>
      </c>
      <c r="J40">
        <v>0</v>
      </c>
      <c r="L40">
        <v>-7.4506661453249712E-15</v>
      </c>
      <c r="M40">
        <v>3.1474761273980093E-15</v>
      </c>
      <c r="N40">
        <v>2.9851843895790501E-15</v>
      </c>
      <c r="O40">
        <v>-2.7737133372694929E-15</v>
      </c>
      <c r="P40">
        <v>3.1474761273980097E-15</v>
      </c>
      <c r="Q40">
        <v>-1.4802973661668753E-15</v>
      </c>
      <c r="R40">
        <v>0</v>
      </c>
      <c r="S40">
        <v>0</v>
      </c>
      <c r="T40">
        <v>0</v>
      </c>
      <c r="U40">
        <v>0</v>
      </c>
      <c r="W40">
        <v>0</v>
      </c>
      <c r="X40">
        <v>0</v>
      </c>
      <c r="Y40">
        <v>0</v>
      </c>
      <c r="Z40">
        <v>0</v>
      </c>
      <c r="AA40">
        <v>0</v>
      </c>
      <c r="AB40">
        <v>0</v>
      </c>
      <c r="AC40">
        <v>0</v>
      </c>
      <c r="AD40">
        <v>0</v>
      </c>
      <c r="AE40">
        <v>0</v>
      </c>
      <c r="AF40">
        <v>0</v>
      </c>
      <c r="AH40" t="s">
        <v>505</v>
      </c>
      <c r="AI40" t="s">
        <v>1156</v>
      </c>
    </row>
    <row r="41" spans="1:35" x14ac:dyDescent="0.25">
      <c r="A41">
        <v>0</v>
      </c>
      <c r="B41">
        <v>0</v>
      </c>
      <c r="C41">
        <v>0</v>
      </c>
      <c r="D41">
        <v>0</v>
      </c>
      <c r="E41">
        <v>0</v>
      </c>
      <c r="F41">
        <v>0</v>
      </c>
      <c r="G41">
        <v>0</v>
      </c>
      <c r="H41">
        <v>0</v>
      </c>
      <c r="I41">
        <v>0</v>
      </c>
      <c r="J41">
        <v>0</v>
      </c>
      <c r="L41">
        <v>-7.4506661453249712E-15</v>
      </c>
      <c r="M41">
        <v>3.1474761273980093E-15</v>
      </c>
      <c r="N41">
        <v>2.9851843895790501E-15</v>
      </c>
      <c r="O41">
        <v>-2.7737133372694929E-15</v>
      </c>
      <c r="P41">
        <v>3.1474761273980097E-15</v>
      </c>
      <c r="Q41">
        <v>-1.4802973661668753E-15</v>
      </c>
      <c r="R41">
        <v>0</v>
      </c>
      <c r="S41">
        <v>0</v>
      </c>
      <c r="T41">
        <v>0</v>
      </c>
      <c r="U41">
        <v>0</v>
      </c>
      <c r="W41">
        <v>0</v>
      </c>
      <c r="X41">
        <v>0</v>
      </c>
      <c r="Y41">
        <v>0</v>
      </c>
      <c r="Z41">
        <v>0</v>
      </c>
      <c r="AA41">
        <v>0</v>
      </c>
      <c r="AB41">
        <v>0</v>
      </c>
      <c r="AC41">
        <v>0</v>
      </c>
      <c r="AD41">
        <v>0</v>
      </c>
      <c r="AE41">
        <v>0</v>
      </c>
      <c r="AF41">
        <v>0</v>
      </c>
      <c r="AH41" t="s">
        <v>510</v>
      </c>
      <c r="AI41" t="s">
        <v>1160</v>
      </c>
    </row>
    <row r="42" spans="1:35" x14ac:dyDescent="0.25">
      <c r="A42">
        <v>0</v>
      </c>
      <c r="B42">
        <v>0</v>
      </c>
      <c r="C42">
        <v>0</v>
      </c>
      <c r="D42">
        <v>0</v>
      </c>
      <c r="E42">
        <v>0</v>
      </c>
      <c r="F42">
        <v>0</v>
      </c>
      <c r="G42">
        <v>0</v>
      </c>
      <c r="H42">
        <v>0</v>
      </c>
      <c r="I42">
        <v>0</v>
      </c>
      <c r="J42">
        <v>0</v>
      </c>
      <c r="L42">
        <v>-7.4506661453249712E-15</v>
      </c>
      <c r="M42">
        <v>3.1474761273980093E-15</v>
      </c>
      <c r="N42">
        <v>2.9851843895790501E-15</v>
      </c>
      <c r="O42">
        <v>-2.7737133372694929E-15</v>
      </c>
      <c r="P42">
        <v>3.1474761273980097E-15</v>
      </c>
      <c r="Q42">
        <v>-1.4802973661668753E-15</v>
      </c>
      <c r="R42">
        <v>0</v>
      </c>
      <c r="S42">
        <v>0</v>
      </c>
      <c r="T42">
        <v>0</v>
      </c>
      <c r="U42">
        <v>0</v>
      </c>
      <c r="W42">
        <v>0</v>
      </c>
      <c r="X42">
        <v>0</v>
      </c>
      <c r="Y42">
        <v>0</v>
      </c>
      <c r="Z42">
        <v>0</v>
      </c>
      <c r="AA42">
        <v>0</v>
      </c>
      <c r="AB42">
        <v>0</v>
      </c>
      <c r="AC42">
        <v>0</v>
      </c>
      <c r="AD42">
        <v>0</v>
      </c>
      <c r="AE42">
        <v>0</v>
      </c>
      <c r="AF42">
        <v>0</v>
      </c>
      <c r="AH42" t="s">
        <v>514</v>
      </c>
      <c r="AI42" t="s">
        <v>1162</v>
      </c>
    </row>
    <row r="43" spans="1:35" x14ac:dyDescent="0.25">
      <c r="A43">
        <v>2.6387909570800963E-15</v>
      </c>
      <c r="B43">
        <v>-1.1584935909131978E-15</v>
      </c>
      <c r="C43">
        <v>4.7626958737543033E-15</v>
      </c>
      <c r="D43">
        <v>1.1584935909132096E-15</v>
      </c>
      <c r="E43">
        <v>-2.0595441616234777E-15</v>
      </c>
      <c r="F43">
        <v>-2.5744302020293599E-16</v>
      </c>
      <c r="G43">
        <v>6.6613381477509392E-16</v>
      </c>
      <c r="H43">
        <v>7.7715611723760968E-16</v>
      </c>
      <c r="I43">
        <v>0</v>
      </c>
      <c r="J43">
        <v>0</v>
      </c>
      <c r="L43">
        <v>-1.3805065841367707E-30</v>
      </c>
      <c r="M43">
        <v>5.9164567891575885E-30</v>
      </c>
      <c r="N43">
        <v>4.3387349787155649E-30</v>
      </c>
      <c r="O43">
        <v>7.8886090522101181E-31</v>
      </c>
      <c r="P43">
        <v>5.9164567891575885E-31</v>
      </c>
      <c r="Q43">
        <v>-3.944304526105059E-31</v>
      </c>
      <c r="R43">
        <v>1.4802973661668875E-15</v>
      </c>
      <c r="S43">
        <v>-8.0358999877630471E-15</v>
      </c>
      <c r="T43">
        <v>0</v>
      </c>
      <c r="U43">
        <v>0</v>
      </c>
      <c r="W43">
        <v>-3.5527136788004946E-15</v>
      </c>
      <c r="X43">
        <v>-3.3835368369528713E-15</v>
      </c>
      <c r="Y43">
        <v>-8.4588420923823043E-16</v>
      </c>
      <c r="Z43">
        <v>-4.6523631508101917E-15</v>
      </c>
      <c r="AA43">
        <v>-4.2294210461910654E-15</v>
      </c>
      <c r="AB43">
        <v>0</v>
      </c>
      <c r="AC43">
        <v>0</v>
      </c>
      <c r="AD43">
        <v>0</v>
      </c>
      <c r="AE43">
        <v>0</v>
      </c>
      <c r="AF43">
        <v>0</v>
      </c>
      <c r="AH43" t="s">
        <v>518</v>
      </c>
      <c r="AI43" t="s">
        <v>1167</v>
      </c>
    </row>
    <row r="44" spans="1:35" x14ac:dyDescent="0.25">
      <c r="A44">
        <v>0</v>
      </c>
      <c r="B44">
        <v>0</v>
      </c>
      <c r="C44">
        <v>0</v>
      </c>
      <c r="D44">
        <v>0</v>
      </c>
      <c r="E44">
        <v>0</v>
      </c>
      <c r="F44">
        <v>0</v>
      </c>
      <c r="G44">
        <v>0</v>
      </c>
      <c r="H44">
        <v>0</v>
      </c>
      <c r="I44">
        <v>0</v>
      </c>
      <c r="J44">
        <v>0</v>
      </c>
      <c r="L44">
        <v>7.9301644616082762E-16</v>
      </c>
      <c r="M44">
        <v>0</v>
      </c>
      <c r="N44">
        <v>0</v>
      </c>
      <c r="O44">
        <v>0</v>
      </c>
      <c r="P44">
        <v>0</v>
      </c>
      <c r="Q44">
        <v>0</v>
      </c>
      <c r="R44">
        <v>0</v>
      </c>
      <c r="S44">
        <v>0</v>
      </c>
      <c r="T44">
        <v>0</v>
      </c>
      <c r="U44">
        <v>0</v>
      </c>
      <c r="W44">
        <v>0</v>
      </c>
      <c r="X44">
        <v>0</v>
      </c>
      <c r="Y44">
        <v>0</v>
      </c>
      <c r="Z44">
        <v>0</v>
      </c>
      <c r="AA44">
        <v>0</v>
      </c>
      <c r="AB44">
        <v>0</v>
      </c>
      <c r="AC44">
        <v>0</v>
      </c>
      <c r="AD44">
        <v>0</v>
      </c>
      <c r="AE44">
        <v>0</v>
      </c>
      <c r="AF44">
        <v>0</v>
      </c>
      <c r="AH44" t="s">
        <v>521</v>
      </c>
      <c r="AI44" t="s">
        <v>1172</v>
      </c>
    </row>
    <row r="45" spans="1:35" x14ac:dyDescent="0.25">
      <c r="A45">
        <v>0</v>
      </c>
      <c r="B45">
        <v>0</v>
      </c>
      <c r="C45">
        <v>0</v>
      </c>
      <c r="D45">
        <v>0</v>
      </c>
      <c r="E45">
        <v>0</v>
      </c>
      <c r="F45">
        <v>0</v>
      </c>
      <c r="G45">
        <v>0</v>
      </c>
      <c r="H45">
        <v>0</v>
      </c>
      <c r="I45">
        <v>0</v>
      </c>
      <c r="J45">
        <v>0</v>
      </c>
      <c r="L45">
        <v>7.9301644616082762E-16</v>
      </c>
      <c r="M45">
        <v>0</v>
      </c>
      <c r="N45">
        <v>0</v>
      </c>
      <c r="O45">
        <v>0</v>
      </c>
      <c r="P45">
        <v>0</v>
      </c>
      <c r="Q45">
        <v>0</v>
      </c>
      <c r="R45">
        <v>0</v>
      </c>
      <c r="S45">
        <v>0</v>
      </c>
      <c r="T45">
        <v>0</v>
      </c>
      <c r="U45">
        <v>0</v>
      </c>
      <c r="W45">
        <v>0</v>
      </c>
      <c r="X45">
        <v>0</v>
      </c>
      <c r="Y45">
        <v>0</v>
      </c>
      <c r="Z45">
        <v>0</v>
      </c>
      <c r="AA45">
        <v>0</v>
      </c>
      <c r="AB45">
        <v>0</v>
      </c>
      <c r="AC45">
        <v>0</v>
      </c>
      <c r="AD45">
        <v>0</v>
      </c>
      <c r="AE45">
        <v>0</v>
      </c>
      <c r="AF45">
        <v>0</v>
      </c>
      <c r="AH45" t="s">
        <v>525</v>
      </c>
      <c r="AI45" t="s">
        <v>1176</v>
      </c>
    </row>
    <row r="46" spans="1:35" x14ac:dyDescent="0.25">
      <c r="A46">
        <v>0</v>
      </c>
      <c r="B46">
        <v>0</v>
      </c>
      <c r="C46">
        <v>0</v>
      </c>
      <c r="D46">
        <v>0</v>
      </c>
      <c r="E46">
        <v>0</v>
      </c>
      <c r="F46">
        <v>0</v>
      </c>
      <c r="G46">
        <v>0</v>
      </c>
      <c r="H46">
        <v>0</v>
      </c>
      <c r="I46">
        <v>0</v>
      </c>
      <c r="J46">
        <v>0</v>
      </c>
      <c r="L46">
        <v>0</v>
      </c>
      <c r="M46">
        <v>0</v>
      </c>
      <c r="N46">
        <v>0</v>
      </c>
      <c r="O46">
        <v>0</v>
      </c>
      <c r="P46">
        <v>0</v>
      </c>
      <c r="Q46">
        <v>0</v>
      </c>
      <c r="R46">
        <v>0</v>
      </c>
      <c r="S46">
        <v>0</v>
      </c>
      <c r="T46">
        <v>0</v>
      </c>
      <c r="U46">
        <v>0</v>
      </c>
      <c r="W46">
        <v>0</v>
      </c>
      <c r="X46">
        <v>0</v>
      </c>
      <c r="Y46">
        <v>0</v>
      </c>
      <c r="Z46">
        <v>0</v>
      </c>
      <c r="AA46">
        <v>0</v>
      </c>
      <c r="AB46">
        <v>0</v>
      </c>
      <c r="AC46">
        <v>0</v>
      </c>
      <c r="AD46">
        <v>0</v>
      </c>
      <c r="AE46">
        <v>0</v>
      </c>
      <c r="AF46">
        <v>0</v>
      </c>
      <c r="AH46" t="s">
        <v>529</v>
      </c>
      <c r="AI46" t="s">
        <v>1181</v>
      </c>
    </row>
    <row r="47" spans="1:35" x14ac:dyDescent="0.25">
      <c r="A47">
        <v>0</v>
      </c>
      <c r="B47">
        <v>0</v>
      </c>
      <c r="C47">
        <v>0</v>
      </c>
      <c r="D47">
        <v>0</v>
      </c>
      <c r="E47">
        <v>0</v>
      </c>
      <c r="F47">
        <v>0</v>
      </c>
      <c r="G47">
        <v>0</v>
      </c>
      <c r="H47">
        <v>0</v>
      </c>
      <c r="I47">
        <v>0</v>
      </c>
      <c r="J47">
        <v>0</v>
      </c>
      <c r="L47">
        <v>7.9301644616082762E-16</v>
      </c>
      <c r="M47">
        <v>0</v>
      </c>
      <c r="N47">
        <v>0</v>
      </c>
      <c r="O47">
        <v>0</v>
      </c>
      <c r="P47">
        <v>0</v>
      </c>
      <c r="Q47">
        <v>0</v>
      </c>
      <c r="R47">
        <v>0</v>
      </c>
      <c r="S47">
        <v>0</v>
      </c>
      <c r="T47">
        <v>0</v>
      </c>
      <c r="U47">
        <v>0</v>
      </c>
      <c r="W47">
        <v>0</v>
      </c>
      <c r="X47">
        <v>0</v>
      </c>
      <c r="Y47">
        <v>0</v>
      </c>
      <c r="Z47">
        <v>0</v>
      </c>
      <c r="AA47">
        <v>0</v>
      </c>
      <c r="AB47">
        <v>0</v>
      </c>
      <c r="AC47">
        <v>0</v>
      </c>
      <c r="AD47">
        <v>0</v>
      </c>
      <c r="AE47">
        <v>0</v>
      </c>
      <c r="AF47">
        <v>0</v>
      </c>
      <c r="AH47" t="s">
        <v>533</v>
      </c>
      <c r="AI47" t="s">
        <v>1185</v>
      </c>
    </row>
    <row r="48" spans="1:35" x14ac:dyDescent="0.25">
      <c r="A48">
        <v>0</v>
      </c>
      <c r="B48">
        <v>0</v>
      </c>
      <c r="C48">
        <v>0</v>
      </c>
      <c r="D48">
        <v>0</v>
      </c>
      <c r="E48">
        <v>0</v>
      </c>
      <c r="F48">
        <v>0</v>
      </c>
      <c r="G48">
        <v>0</v>
      </c>
      <c r="H48">
        <v>0</v>
      </c>
      <c r="I48">
        <v>0</v>
      </c>
      <c r="J48">
        <v>0</v>
      </c>
      <c r="L48">
        <v>7.9301644616082762E-16</v>
      </c>
      <c r="M48">
        <v>0</v>
      </c>
      <c r="N48">
        <v>-1.2325951644078312E-31</v>
      </c>
      <c r="O48">
        <v>0</v>
      </c>
      <c r="P48">
        <v>-1.97215226305253E-31</v>
      </c>
      <c r="Q48">
        <v>0</v>
      </c>
      <c r="R48">
        <v>0</v>
      </c>
      <c r="S48">
        <v>0</v>
      </c>
      <c r="T48">
        <v>0</v>
      </c>
      <c r="U48">
        <v>0</v>
      </c>
      <c r="W48">
        <v>0</v>
      </c>
      <c r="X48">
        <v>0</v>
      </c>
      <c r="Y48">
        <v>0</v>
      </c>
      <c r="Z48">
        <v>0</v>
      </c>
      <c r="AA48">
        <v>0</v>
      </c>
      <c r="AB48">
        <v>0</v>
      </c>
      <c r="AC48">
        <v>0</v>
      </c>
      <c r="AD48">
        <v>0</v>
      </c>
      <c r="AE48">
        <v>0</v>
      </c>
      <c r="AF48">
        <v>0</v>
      </c>
      <c r="AH48" t="s">
        <v>538</v>
      </c>
      <c r="AI48" t="s">
        <v>1189</v>
      </c>
    </row>
    <row r="49" spans="1:35" x14ac:dyDescent="0.25">
      <c r="A49">
        <v>0</v>
      </c>
      <c r="B49">
        <v>0</v>
      </c>
      <c r="C49">
        <v>0</v>
      </c>
      <c r="D49">
        <v>0</v>
      </c>
      <c r="E49">
        <v>0</v>
      </c>
      <c r="F49">
        <v>0</v>
      </c>
      <c r="G49">
        <v>0</v>
      </c>
      <c r="H49">
        <v>0</v>
      </c>
      <c r="I49">
        <v>0</v>
      </c>
      <c r="J49">
        <v>0</v>
      </c>
      <c r="L49">
        <v>-6.6576496991641448E-15</v>
      </c>
      <c r="M49">
        <v>3.1474761273980093E-15</v>
      </c>
      <c r="N49">
        <v>2.9851843895790501E-15</v>
      </c>
      <c r="O49">
        <v>-2.7737133372694929E-15</v>
      </c>
      <c r="P49">
        <v>3.1474761273980097E-15</v>
      </c>
      <c r="Q49">
        <v>-1.4802973661668753E-15</v>
      </c>
      <c r="R49">
        <v>0</v>
      </c>
      <c r="S49">
        <v>0</v>
      </c>
      <c r="T49">
        <v>0</v>
      </c>
      <c r="U49">
        <v>0</v>
      </c>
      <c r="W49">
        <v>0</v>
      </c>
      <c r="X49">
        <v>0</v>
      </c>
      <c r="Y49">
        <v>0</v>
      </c>
      <c r="Z49">
        <v>0</v>
      </c>
      <c r="AA49">
        <v>0</v>
      </c>
      <c r="AB49">
        <v>0</v>
      </c>
      <c r="AC49">
        <v>0</v>
      </c>
      <c r="AD49">
        <v>0</v>
      </c>
      <c r="AE49">
        <v>0</v>
      </c>
      <c r="AF49">
        <v>0</v>
      </c>
      <c r="AH49" t="s">
        <v>543</v>
      </c>
      <c r="AI49" t="s">
        <v>1193</v>
      </c>
    </row>
    <row r="50" spans="1:35" x14ac:dyDescent="0.25">
      <c r="A50">
        <v>0</v>
      </c>
      <c r="B50">
        <v>0</v>
      </c>
      <c r="C50">
        <v>-7.8886090522101181E-31</v>
      </c>
      <c r="D50">
        <v>3.944304526105059E-31</v>
      </c>
      <c r="E50">
        <v>0</v>
      </c>
      <c r="F50">
        <v>0</v>
      </c>
      <c r="G50">
        <v>9.8607613152626476E-32</v>
      </c>
      <c r="H50">
        <v>0</v>
      </c>
      <c r="I50">
        <v>0</v>
      </c>
      <c r="J50">
        <v>0</v>
      </c>
      <c r="L50">
        <v>-6.6576496991641448E-15</v>
      </c>
      <c r="M50">
        <v>3.1474761273980093E-15</v>
      </c>
      <c r="N50">
        <v>2.9851843895790501E-15</v>
      </c>
      <c r="O50">
        <v>-2.7737133372694929E-15</v>
      </c>
      <c r="P50">
        <v>3.1474761273980097E-15</v>
      </c>
      <c r="Q50">
        <v>-1.4802973661668753E-15</v>
      </c>
      <c r="R50">
        <v>0</v>
      </c>
      <c r="S50">
        <v>0</v>
      </c>
      <c r="T50">
        <v>0</v>
      </c>
      <c r="U50">
        <v>0</v>
      </c>
      <c r="W50">
        <v>0</v>
      </c>
      <c r="X50">
        <v>0</v>
      </c>
      <c r="Y50">
        <v>0</v>
      </c>
      <c r="Z50">
        <v>0</v>
      </c>
      <c r="AA50">
        <v>0</v>
      </c>
      <c r="AB50">
        <v>0</v>
      </c>
      <c r="AC50">
        <v>-3.5749181392930012E-15</v>
      </c>
      <c r="AD50">
        <v>6.291263806209213E-15</v>
      </c>
      <c r="AE50">
        <v>-7.4014868308342402E-16</v>
      </c>
      <c r="AF50">
        <v>9.7699626167014375E-16</v>
      </c>
      <c r="AH50" t="s">
        <v>546</v>
      </c>
      <c r="AI50" t="s">
        <v>1198</v>
      </c>
    </row>
    <row r="51" spans="1:35" x14ac:dyDescent="0.25">
      <c r="A51">
        <v>0</v>
      </c>
      <c r="B51">
        <v>0</v>
      </c>
      <c r="C51">
        <v>-7.8886090522101181E-31</v>
      </c>
      <c r="D51">
        <v>3.944304526105059E-31</v>
      </c>
      <c r="E51">
        <v>0</v>
      </c>
      <c r="F51">
        <v>0</v>
      </c>
      <c r="G51">
        <v>9.8607613152626476E-32</v>
      </c>
      <c r="H51">
        <v>0</v>
      </c>
      <c r="I51">
        <v>0</v>
      </c>
      <c r="J51">
        <v>0</v>
      </c>
      <c r="L51">
        <v>-6.6576496991641448E-15</v>
      </c>
      <c r="M51">
        <v>3.1474761273980093E-15</v>
      </c>
      <c r="N51">
        <v>2.9851843895790501E-15</v>
      </c>
      <c r="O51">
        <v>-2.7737133372694929E-15</v>
      </c>
      <c r="P51">
        <v>3.1474761273980097E-15</v>
      </c>
      <c r="Q51">
        <v>-1.4802973661668753E-15</v>
      </c>
      <c r="R51">
        <v>0</v>
      </c>
      <c r="S51">
        <v>0</v>
      </c>
      <c r="T51">
        <v>0</v>
      </c>
      <c r="U51">
        <v>0</v>
      </c>
      <c r="W51">
        <v>0</v>
      </c>
      <c r="X51">
        <v>0</v>
      </c>
      <c r="Y51">
        <v>0</v>
      </c>
      <c r="Z51">
        <v>0</v>
      </c>
      <c r="AA51">
        <v>0</v>
      </c>
      <c r="AB51">
        <v>0</v>
      </c>
      <c r="AC51">
        <v>-3.5749181392930012E-15</v>
      </c>
      <c r="AD51">
        <v>6.291263806209213E-15</v>
      </c>
      <c r="AE51">
        <v>-7.4014868308342402E-16</v>
      </c>
      <c r="AF51">
        <v>9.7699626167014375E-16</v>
      </c>
      <c r="AH51" t="s">
        <v>549</v>
      </c>
      <c r="AI51" t="s">
        <v>1202</v>
      </c>
    </row>
    <row r="52" spans="1:35" x14ac:dyDescent="0.25">
      <c r="A52">
        <v>0</v>
      </c>
      <c r="B52">
        <v>0</v>
      </c>
      <c r="C52">
        <v>0</v>
      </c>
      <c r="D52">
        <v>0</v>
      </c>
      <c r="E52">
        <v>0</v>
      </c>
      <c r="F52">
        <v>0</v>
      </c>
      <c r="G52">
        <v>0</v>
      </c>
      <c r="H52">
        <v>0</v>
      </c>
      <c r="I52">
        <v>0</v>
      </c>
      <c r="J52">
        <v>0</v>
      </c>
      <c r="L52">
        <v>0</v>
      </c>
      <c r="M52">
        <v>0</v>
      </c>
      <c r="N52">
        <v>0</v>
      </c>
      <c r="O52">
        <v>0</v>
      </c>
      <c r="P52">
        <v>0</v>
      </c>
      <c r="Q52">
        <v>0</v>
      </c>
      <c r="R52">
        <v>0</v>
      </c>
      <c r="S52">
        <v>0</v>
      </c>
      <c r="T52">
        <v>0</v>
      </c>
      <c r="U52">
        <v>0</v>
      </c>
      <c r="W52">
        <v>0</v>
      </c>
      <c r="X52">
        <v>0</v>
      </c>
      <c r="Y52">
        <v>0</v>
      </c>
      <c r="Z52">
        <v>0</v>
      </c>
      <c r="AA52">
        <v>0</v>
      </c>
      <c r="AB52">
        <v>0</v>
      </c>
      <c r="AC52">
        <v>0</v>
      </c>
      <c r="AD52">
        <v>0</v>
      </c>
      <c r="AE52">
        <v>0</v>
      </c>
      <c r="AF52">
        <v>0</v>
      </c>
      <c r="AH52" t="s">
        <v>553</v>
      </c>
      <c r="AI52" t="s">
        <v>1208</v>
      </c>
    </row>
    <row r="53" spans="1:35" x14ac:dyDescent="0.25">
      <c r="A53">
        <v>6.3108872417680944E-30</v>
      </c>
      <c r="B53">
        <v>-1.5777218104420236E-30</v>
      </c>
      <c r="C53">
        <v>7.8886090522101181E-31</v>
      </c>
      <c r="D53">
        <v>-7.8886090522101181E-31</v>
      </c>
      <c r="E53">
        <v>7.8886090522101181E-31</v>
      </c>
      <c r="F53">
        <v>-2.5744302020293126E-16</v>
      </c>
      <c r="G53">
        <v>9.3258734068513153E-16</v>
      </c>
      <c r="H53">
        <v>1.0880185641326535E-15</v>
      </c>
      <c r="I53">
        <v>0</v>
      </c>
      <c r="J53">
        <v>0</v>
      </c>
      <c r="L53">
        <v>0</v>
      </c>
      <c r="M53">
        <v>0</v>
      </c>
      <c r="N53">
        <v>0</v>
      </c>
      <c r="O53">
        <v>0</v>
      </c>
      <c r="P53">
        <v>0</v>
      </c>
      <c r="Q53">
        <v>0</v>
      </c>
      <c r="R53">
        <v>2.0724163126336639E-15</v>
      </c>
      <c r="S53">
        <v>-1.1250259982868279E-14</v>
      </c>
      <c r="T53">
        <v>0</v>
      </c>
      <c r="U53">
        <v>0</v>
      </c>
      <c r="W53">
        <v>-3.5527136788004946E-15</v>
      </c>
      <c r="X53">
        <v>-4.7369515717340223E-15</v>
      </c>
      <c r="Y53">
        <v>-1.184237892933515E-15</v>
      </c>
      <c r="Z53">
        <v>-6.5133084111342727E-15</v>
      </c>
      <c r="AA53">
        <v>-5.9211894646674916E-15</v>
      </c>
      <c r="AB53">
        <v>0</v>
      </c>
      <c r="AC53">
        <v>0</v>
      </c>
      <c r="AD53">
        <v>-2.1693674893577825E-30</v>
      </c>
      <c r="AE53">
        <v>-6.3108872417680948E-31</v>
      </c>
      <c r="AF53">
        <v>1.9228484564762163E-30</v>
      </c>
      <c r="AH53" t="s">
        <v>558</v>
      </c>
      <c r="AI53" t="s">
        <v>1212</v>
      </c>
    </row>
    <row r="54" spans="1:35" x14ac:dyDescent="0.25">
      <c r="A54">
        <v>0</v>
      </c>
      <c r="B54">
        <v>0</v>
      </c>
      <c r="C54">
        <v>0</v>
      </c>
      <c r="D54">
        <v>0</v>
      </c>
      <c r="E54">
        <v>0</v>
      </c>
      <c r="F54">
        <v>0</v>
      </c>
      <c r="G54">
        <v>0</v>
      </c>
      <c r="H54">
        <v>0</v>
      </c>
      <c r="I54">
        <v>0</v>
      </c>
      <c r="J54">
        <v>0</v>
      </c>
      <c r="L54">
        <v>0</v>
      </c>
      <c r="M54">
        <v>0</v>
      </c>
      <c r="N54">
        <v>0</v>
      </c>
      <c r="O54">
        <v>0</v>
      </c>
      <c r="P54">
        <v>0</v>
      </c>
      <c r="Q54">
        <v>0</v>
      </c>
      <c r="R54">
        <v>0</v>
      </c>
      <c r="S54">
        <v>0</v>
      </c>
      <c r="T54">
        <v>0</v>
      </c>
      <c r="U54">
        <v>0</v>
      </c>
      <c r="W54">
        <v>0</v>
      </c>
      <c r="X54">
        <v>0</v>
      </c>
      <c r="Y54">
        <v>0</v>
      </c>
      <c r="Z54">
        <v>0</v>
      </c>
      <c r="AA54">
        <v>0</v>
      </c>
      <c r="AB54">
        <v>0</v>
      </c>
      <c r="AC54">
        <v>0</v>
      </c>
      <c r="AD54">
        <v>0</v>
      </c>
      <c r="AE54">
        <v>0</v>
      </c>
      <c r="AF54">
        <v>0</v>
      </c>
      <c r="AH54" t="s">
        <v>561</v>
      </c>
      <c r="AI54" t="s">
        <v>1217</v>
      </c>
    </row>
    <row r="55" spans="1:35" x14ac:dyDescent="0.25">
      <c r="A55">
        <v>0</v>
      </c>
      <c r="B55">
        <v>0</v>
      </c>
      <c r="C55">
        <v>0</v>
      </c>
      <c r="D55">
        <v>0</v>
      </c>
      <c r="E55">
        <v>0</v>
      </c>
      <c r="F55">
        <v>0</v>
      </c>
      <c r="G55">
        <v>0</v>
      </c>
      <c r="H55">
        <v>0</v>
      </c>
      <c r="I55">
        <v>0</v>
      </c>
      <c r="J55">
        <v>0</v>
      </c>
      <c r="L55">
        <v>0</v>
      </c>
      <c r="M55">
        <v>0</v>
      </c>
      <c r="N55">
        <v>0</v>
      </c>
      <c r="O55">
        <v>0</v>
      </c>
      <c r="P55">
        <v>0</v>
      </c>
      <c r="Q55">
        <v>0</v>
      </c>
      <c r="R55">
        <v>0</v>
      </c>
      <c r="S55">
        <v>0</v>
      </c>
      <c r="T55">
        <v>0</v>
      </c>
      <c r="U55">
        <v>0</v>
      </c>
      <c r="W55">
        <v>0</v>
      </c>
      <c r="X55">
        <v>0</v>
      </c>
      <c r="Y55">
        <v>0</v>
      </c>
      <c r="Z55">
        <v>0</v>
      </c>
      <c r="AA55">
        <v>0</v>
      </c>
      <c r="AB55">
        <v>0</v>
      </c>
      <c r="AC55">
        <v>0</v>
      </c>
      <c r="AD55">
        <v>0</v>
      </c>
      <c r="AE55">
        <v>0</v>
      </c>
      <c r="AF55">
        <v>0</v>
      </c>
      <c r="AH55" t="s">
        <v>564</v>
      </c>
      <c r="AI55" t="s">
        <v>1569</v>
      </c>
    </row>
    <row r="56" spans="1:35" x14ac:dyDescent="0.25">
      <c r="A56">
        <v>-1.0555163828320364E-15</v>
      </c>
      <c r="B56">
        <v>4.6339743636528282E-16</v>
      </c>
      <c r="C56">
        <v>-1.905078349501722E-15</v>
      </c>
      <c r="D56">
        <v>-4.633974363652836E-16</v>
      </c>
      <c r="E56">
        <v>8.2381766464939143E-16</v>
      </c>
      <c r="F56">
        <v>1.0297720808117282E-16</v>
      </c>
      <c r="G56">
        <v>-2.6645352591003756E-16</v>
      </c>
      <c r="H56">
        <v>-3.1086244689504391E-16</v>
      </c>
      <c r="I56">
        <v>0</v>
      </c>
      <c r="J56">
        <v>0</v>
      </c>
      <c r="L56">
        <v>-5.9605329162599743E-15</v>
      </c>
      <c r="M56">
        <v>2.517980901918403E-15</v>
      </c>
      <c r="N56">
        <v>2.3881475116632379E-15</v>
      </c>
      <c r="O56">
        <v>-2.2189706698155948E-15</v>
      </c>
      <c r="P56">
        <v>2.517980901918407E-15</v>
      </c>
      <c r="Q56">
        <v>-1.1842378929334997E-15</v>
      </c>
      <c r="R56">
        <v>-5.9211894646677783E-16</v>
      </c>
      <c r="S56">
        <v>3.2143599951052321E-15</v>
      </c>
      <c r="T56">
        <v>0</v>
      </c>
      <c r="U56">
        <v>0</v>
      </c>
      <c r="W56">
        <v>1.7763568394002587E-15</v>
      </c>
      <c r="X56">
        <v>1.3534147347811494E-15</v>
      </c>
      <c r="Y56">
        <v>3.383536836952846E-16</v>
      </c>
      <c r="Z56">
        <v>1.8609452603240811E-15</v>
      </c>
      <c r="AA56">
        <v>1.6917684184764262E-15</v>
      </c>
      <c r="AB56">
        <v>0</v>
      </c>
      <c r="AC56">
        <v>-1.4654943925052022E-15</v>
      </c>
      <c r="AD56">
        <v>2.5165055224836792E-15</v>
      </c>
      <c r="AE56">
        <v>-2.9605947323338349E-16</v>
      </c>
      <c r="AF56">
        <v>5.329070518200764E-16</v>
      </c>
      <c r="AH56" t="s">
        <v>567</v>
      </c>
      <c r="AI56" t="s">
        <v>1570</v>
      </c>
    </row>
    <row r="57" spans="1:35" x14ac:dyDescent="0.25">
      <c r="A57">
        <v>-1.0555163828320364E-15</v>
      </c>
      <c r="B57">
        <v>4.6339743636528282E-16</v>
      </c>
      <c r="C57">
        <v>-1.905078349501722E-15</v>
      </c>
      <c r="D57">
        <v>-4.633974363652836E-16</v>
      </c>
      <c r="E57">
        <v>8.2381766464939143E-16</v>
      </c>
      <c r="F57">
        <v>1.0297720808117282E-16</v>
      </c>
      <c r="G57">
        <v>-2.6645352591003756E-16</v>
      </c>
      <c r="H57">
        <v>-3.1086244689504391E-16</v>
      </c>
      <c r="I57">
        <v>0</v>
      </c>
      <c r="J57">
        <v>0</v>
      </c>
      <c r="L57">
        <v>-5.9605329162599743E-15</v>
      </c>
      <c r="M57">
        <v>2.517980901918403E-15</v>
      </c>
      <c r="N57">
        <v>2.3881475116632379E-15</v>
      </c>
      <c r="O57">
        <v>-2.2189706698155948E-15</v>
      </c>
      <c r="P57">
        <v>2.517980901918407E-15</v>
      </c>
      <c r="Q57">
        <v>-1.1842378929334997E-15</v>
      </c>
      <c r="R57">
        <v>-5.9211894646677783E-16</v>
      </c>
      <c r="S57">
        <v>3.2143599951052321E-15</v>
      </c>
      <c r="T57">
        <v>0</v>
      </c>
      <c r="U57">
        <v>0</v>
      </c>
      <c r="W57">
        <v>1.7763568394002587E-15</v>
      </c>
      <c r="X57">
        <v>1.3534147347811494E-15</v>
      </c>
      <c r="Y57">
        <v>3.383536836952846E-16</v>
      </c>
      <c r="Z57">
        <v>1.8609452603240811E-15</v>
      </c>
      <c r="AA57">
        <v>1.6917684184764262E-15</v>
      </c>
      <c r="AB57">
        <v>0</v>
      </c>
      <c r="AC57">
        <v>-1.4654943925052022E-15</v>
      </c>
      <c r="AD57">
        <v>2.5165055224836792E-15</v>
      </c>
      <c r="AE57">
        <v>-2.9605947323338349E-16</v>
      </c>
      <c r="AF57">
        <v>5.329070518200764E-16</v>
      </c>
      <c r="AH57" t="s">
        <v>570</v>
      </c>
      <c r="AI57" t="s">
        <v>1571</v>
      </c>
    </row>
    <row r="58" spans="1:35" x14ac:dyDescent="0.25">
      <c r="A58">
        <v>-1.0555163828320364E-15</v>
      </c>
      <c r="B58">
        <v>4.6339743636528282E-16</v>
      </c>
      <c r="C58">
        <v>-1.905078349501722E-15</v>
      </c>
      <c r="D58">
        <v>-4.633974363652836E-16</v>
      </c>
      <c r="E58">
        <v>8.2381766464939143E-16</v>
      </c>
      <c r="F58">
        <v>1.0297720808117282E-16</v>
      </c>
      <c r="G58">
        <v>-2.6645352591003756E-16</v>
      </c>
      <c r="H58">
        <v>-3.1086244689504391E-16</v>
      </c>
      <c r="I58">
        <v>0</v>
      </c>
      <c r="J58">
        <v>0</v>
      </c>
      <c r="L58">
        <v>-5.9605329162599743E-15</v>
      </c>
      <c r="M58">
        <v>2.517980901918403E-15</v>
      </c>
      <c r="N58">
        <v>2.3881475116632379E-15</v>
      </c>
      <c r="O58">
        <v>-2.2189706698155948E-15</v>
      </c>
      <c r="P58">
        <v>2.517980901918407E-15</v>
      </c>
      <c r="Q58">
        <v>-1.1842378929334997E-15</v>
      </c>
      <c r="R58">
        <v>-5.9211894646677783E-16</v>
      </c>
      <c r="S58">
        <v>3.2143599951052321E-15</v>
      </c>
      <c r="T58">
        <v>0</v>
      </c>
      <c r="U58">
        <v>0</v>
      </c>
      <c r="W58">
        <v>1.7763568394002587E-15</v>
      </c>
      <c r="X58">
        <v>1.3534147347811494E-15</v>
      </c>
      <c r="Y58">
        <v>3.383536836952846E-16</v>
      </c>
      <c r="Z58">
        <v>1.8609452603240811E-15</v>
      </c>
      <c r="AA58">
        <v>1.6917684184764262E-15</v>
      </c>
      <c r="AB58">
        <v>0</v>
      </c>
      <c r="AC58">
        <v>-1.4654943925052022E-15</v>
      </c>
      <c r="AD58">
        <v>2.5165055224836792E-15</v>
      </c>
      <c r="AE58">
        <v>-2.9605947323338349E-16</v>
      </c>
      <c r="AF58">
        <v>5.329070518200764E-16</v>
      </c>
      <c r="AH58" t="s">
        <v>575</v>
      </c>
      <c r="AI58" t="s">
        <v>1572</v>
      </c>
    </row>
    <row r="59" spans="1:35" x14ac:dyDescent="0.25">
      <c r="A59">
        <v>-2.6387909570800916E-15</v>
      </c>
      <c r="B59">
        <v>1.1584935909132072E-15</v>
      </c>
      <c r="C59">
        <v>-4.7626958737543048E-15</v>
      </c>
      <c r="D59">
        <v>-1.1584935909132088E-15</v>
      </c>
      <c r="E59">
        <v>2.0595441616234785E-15</v>
      </c>
      <c r="F59">
        <v>2.5744302020293205E-16</v>
      </c>
      <c r="G59">
        <v>-6.6613381477509383E-16</v>
      </c>
      <c r="H59">
        <v>-7.7715611723760978E-16</v>
      </c>
      <c r="I59">
        <v>0</v>
      </c>
      <c r="J59">
        <v>0</v>
      </c>
      <c r="L59">
        <v>-1.4901332290649936E-14</v>
      </c>
      <c r="M59">
        <v>6.2949522547960075E-15</v>
      </c>
      <c r="N59">
        <v>5.9703687791580948E-15</v>
      </c>
      <c r="O59">
        <v>-5.5474266745389874E-15</v>
      </c>
      <c r="P59">
        <v>6.2949522547960178E-15</v>
      </c>
      <c r="Q59">
        <v>-2.9605947323337489E-15</v>
      </c>
      <c r="R59">
        <v>-1.4802973661668859E-15</v>
      </c>
      <c r="S59">
        <v>8.0358999877630345E-15</v>
      </c>
      <c r="T59">
        <v>0</v>
      </c>
      <c r="U59">
        <v>0</v>
      </c>
      <c r="W59">
        <v>3.5527136788005009E-15</v>
      </c>
      <c r="X59">
        <v>3.3835368369528713E-15</v>
      </c>
      <c r="Y59">
        <v>8.4588420923823675E-16</v>
      </c>
      <c r="Z59">
        <v>4.6523631508102011E-15</v>
      </c>
      <c r="AA59">
        <v>4.2294210461910638E-15</v>
      </c>
      <c r="AB59">
        <v>0</v>
      </c>
      <c r="AC59">
        <v>-3.6637359812630142E-15</v>
      </c>
      <c r="AD59">
        <v>6.2912638062092178E-15</v>
      </c>
      <c r="AE59">
        <v>-7.4014868308342718E-16</v>
      </c>
      <c r="AF59">
        <v>1.3322676295501926E-15</v>
      </c>
      <c r="AH59" t="s">
        <v>578</v>
      </c>
      <c r="AI59" t="s">
        <v>1573</v>
      </c>
    </row>
    <row r="60" spans="1:35" x14ac:dyDescent="0.25">
      <c r="A60">
        <v>-2.6387909570800916E-15</v>
      </c>
      <c r="B60">
        <v>1.1584935909132072E-15</v>
      </c>
      <c r="C60">
        <v>-4.7626958737543048E-15</v>
      </c>
      <c r="D60">
        <v>-1.1584935909132088E-15</v>
      </c>
      <c r="E60">
        <v>2.0595441616234785E-15</v>
      </c>
      <c r="F60">
        <v>2.5744302020293205E-16</v>
      </c>
      <c r="G60">
        <v>-6.6613381477509383E-16</v>
      </c>
      <c r="H60">
        <v>-7.7715611723760978E-16</v>
      </c>
      <c r="I60">
        <v>0</v>
      </c>
      <c r="J60">
        <v>0</v>
      </c>
      <c r="L60">
        <v>-1.4901332290649936E-14</v>
      </c>
      <c r="M60">
        <v>6.2949522547960075E-15</v>
      </c>
      <c r="N60">
        <v>5.9703687791580948E-15</v>
      </c>
      <c r="O60">
        <v>-5.5474266745389874E-15</v>
      </c>
      <c r="P60">
        <v>6.2949522547960178E-15</v>
      </c>
      <c r="Q60">
        <v>-2.9605947323337489E-15</v>
      </c>
      <c r="R60">
        <v>-1.4802973661668859E-15</v>
      </c>
      <c r="S60">
        <v>8.0358999877630345E-15</v>
      </c>
      <c r="T60">
        <v>0</v>
      </c>
      <c r="U60">
        <v>0</v>
      </c>
      <c r="W60">
        <v>3.5527136788005009E-15</v>
      </c>
      <c r="X60">
        <v>3.3835368369528713E-15</v>
      </c>
      <c r="Y60">
        <v>8.4588420923823675E-16</v>
      </c>
      <c r="Z60">
        <v>4.6523631508102011E-15</v>
      </c>
      <c r="AA60">
        <v>4.2294210461910638E-15</v>
      </c>
      <c r="AB60">
        <v>0</v>
      </c>
      <c r="AC60">
        <v>-3.6637359812630142E-15</v>
      </c>
      <c r="AD60">
        <v>6.2912638062092178E-15</v>
      </c>
      <c r="AE60">
        <v>-7.4014868308342718E-16</v>
      </c>
      <c r="AF60">
        <v>1.3322676295501926E-15</v>
      </c>
      <c r="AH60" t="s">
        <v>581</v>
      </c>
      <c r="AI60" t="s">
        <v>1574</v>
      </c>
    </row>
    <row r="61" spans="1:35" x14ac:dyDescent="0.25">
      <c r="A61">
        <v>2.6387909570800849E-15</v>
      </c>
      <c r="B61">
        <v>-1.1584935909132051E-15</v>
      </c>
      <c r="C61">
        <v>4.7626958737543025E-15</v>
      </c>
      <c r="D61">
        <v>1.1584935909132106E-15</v>
      </c>
      <c r="E61">
        <v>-2.0595441616234785E-15</v>
      </c>
      <c r="F61">
        <v>0</v>
      </c>
      <c r="G61">
        <v>-2.6645352591003756E-16</v>
      </c>
      <c r="H61">
        <v>-3.1086244689504391E-16</v>
      </c>
      <c r="I61">
        <v>0</v>
      </c>
      <c r="J61">
        <v>0</v>
      </c>
      <c r="L61">
        <v>0</v>
      </c>
      <c r="M61">
        <v>-3.2305732309050964E-30</v>
      </c>
      <c r="N61">
        <v>1.5777218104420236E-30</v>
      </c>
      <c r="O61">
        <v>0</v>
      </c>
      <c r="P61">
        <v>0</v>
      </c>
      <c r="Q61">
        <v>7.8886090522101181E-31</v>
      </c>
      <c r="R61">
        <v>-5.9211894646677783E-16</v>
      </c>
      <c r="S61">
        <v>3.2143599951052321E-15</v>
      </c>
      <c r="T61">
        <v>0</v>
      </c>
      <c r="U61">
        <v>0</v>
      </c>
      <c r="W61">
        <v>0</v>
      </c>
      <c r="X61">
        <v>1.3534147347811494E-15</v>
      </c>
      <c r="Y61">
        <v>3.383536836952846E-16</v>
      </c>
      <c r="Z61">
        <v>1.8609452603240811E-15</v>
      </c>
      <c r="AA61">
        <v>1.6917684184764262E-15</v>
      </c>
      <c r="AB61">
        <v>0</v>
      </c>
      <c r="AC61">
        <v>0</v>
      </c>
      <c r="AD61">
        <v>2.1693674893577825E-30</v>
      </c>
      <c r="AE61">
        <v>6.3108872417680948E-31</v>
      </c>
      <c r="AF61">
        <v>-1.9228484564762163E-30</v>
      </c>
      <c r="AH61" t="s">
        <v>585</v>
      </c>
      <c r="AI61" t="s">
        <v>1248</v>
      </c>
    </row>
    <row r="62" spans="1:35" x14ac:dyDescent="0.25">
      <c r="A62">
        <v>5.2775819141601819E-16</v>
      </c>
      <c r="B62">
        <v>-2.3169871818264141E-16</v>
      </c>
      <c r="C62">
        <v>9.5253917475086101E-16</v>
      </c>
      <c r="D62">
        <v>2.316987181826418E-16</v>
      </c>
      <c r="E62">
        <v>-4.1190883232469572E-16</v>
      </c>
      <c r="F62">
        <v>-5.148860404058641E-17</v>
      </c>
      <c r="G62">
        <v>1.3322676295501878E-16</v>
      </c>
      <c r="H62">
        <v>1.5543122344752196E-16</v>
      </c>
      <c r="I62">
        <v>0</v>
      </c>
      <c r="J62">
        <v>0</v>
      </c>
      <c r="L62">
        <v>2.9802664581299871E-15</v>
      </c>
      <c r="M62">
        <v>-1.2589904509592015E-15</v>
      </c>
      <c r="N62">
        <v>-1.194073755831619E-15</v>
      </c>
      <c r="O62">
        <v>1.1094853349077974E-15</v>
      </c>
      <c r="P62">
        <v>-1.2589904509592035E-15</v>
      </c>
      <c r="Q62">
        <v>5.9211894646674983E-16</v>
      </c>
      <c r="R62">
        <v>2.96059473233333E-16</v>
      </c>
      <c r="S62">
        <v>-1.6071799975525703E-15</v>
      </c>
      <c r="T62">
        <v>0</v>
      </c>
      <c r="U62">
        <v>0</v>
      </c>
      <c r="W62">
        <v>1.2621774483536189E-29</v>
      </c>
      <c r="X62">
        <v>-6.7670736739057236E-16</v>
      </c>
      <c r="Y62">
        <v>-1.6917684184766754E-16</v>
      </c>
      <c r="Z62">
        <v>-9.3047263016203896E-16</v>
      </c>
      <c r="AA62">
        <v>-8.458842092382115E-16</v>
      </c>
      <c r="AB62">
        <v>0</v>
      </c>
      <c r="AC62">
        <v>7.3274719625261215E-16</v>
      </c>
      <c r="AD62">
        <v>-1.2582527612418593E-15</v>
      </c>
      <c r="AE62">
        <v>1.4802973661666019E-16</v>
      </c>
      <c r="AF62">
        <v>-2.664535259100382E-16</v>
      </c>
      <c r="AH62" t="s">
        <v>590</v>
      </c>
      <c r="AI62" t="s">
        <v>1297</v>
      </c>
    </row>
    <row r="63" spans="1:35" x14ac:dyDescent="0.25">
      <c r="A63">
        <v>5.2775819141601819E-16</v>
      </c>
      <c r="B63">
        <v>-2.3169871818264141E-16</v>
      </c>
      <c r="C63">
        <v>9.5253917475086101E-16</v>
      </c>
      <c r="D63">
        <v>2.316987181826418E-16</v>
      </c>
      <c r="E63">
        <v>-4.1190883232469572E-16</v>
      </c>
      <c r="F63">
        <v>-5.148860404058641E-17</v>
      </c>
      <c r="G63">
        <v>1.3322676295501878E-16</v>
      </c>
      <c r="H63">
        <v>1.5543122344752196E-16</v>
      </c>
      <c r="I63">
        <v>0</v>
      </c>
      <c r="J63">
        <v>0</v>
      </c>
      <c r="L63">
        <v>2.9802664581299871E-15</v>
      </c>
      <c r="M63">
        <v>-1.2589904509592015E-15</v>
      </c>
      <c r="N63">
        <v>-1.194073755831619E-15</v>
      </c>
      <c r="O63">
        <v>1.1094853349077974E-15</v>
      </c>
      <c r="P63">
        <v>-1.2589904509592035E-15</v>
      </c>
      <c r="Q63">
        <v>5.9211894646674983E-16</v>
      </c>
      <c r="R63">
        <v>2.96059473233333E-16</v>
      </c>
      <c r="S63">
        <v>-1.6071799975525703E-15</v>
      </c>
      <c r="T63">
        <v>0</v>
      </c>
      <c r="U63">
        <v>0</v>
      </c>
      <c r="W63">
        <v>1.2621774483536189E-29</v>
      </c>
      <c r="X63">
        <v>-6.7670736739057236E-16</v>
      </c>
      <c r="Y63">
        <v>-1.6917684184766754E-16</v>
      </c>
      <c r="Z63">
        <v>-9.3047263016203896E-16</v>
      </c>
      <c r="AA63">
        <v>-8.458842092382115E-16</v>
      </c>
      <c r="AB63">
        <v>0</v>
      </c>
      <c r="AC63">
        <v>7.3274719625261215E-16</v>
      </c>
      <c r="AD63">
        <v>-1.2582527612418593E-15</v>
      </c>
      <c r="AE63">
        <v>1.4802973661666019E-16</v>
      </c>
      <c r="AF63">
        <v>-2.664535259100382E-16</v>
      </c>
      <c r="AH63" t="s">
        <v>593</v>
      </c>
      <c r="AI63" t="s">
        <v>1301</v>
      </c>
    </row>
    <row r="64" spans="1:35" x14ac:dyDescent="0.25">
      <c r="A64">
        <v>1.0555163828320364E-15</v>
      </c>
      <c r="B64">
        <v>-4.6339743636528282E-16</v>
      </c>
      <c r="C64">
        <v>1.905078349501722E-15</v>
      </c>
      <c r="D64">
        <v>4.633974363652836E-16</v>
      </c>
      <c r="E64">
        <v>-8.2381766464939143E-16</v>
      </c>
      <c r="F64">
        <v>-1.0297720808117282E-16</v>
      </c>
      <c r="G64">
        <v>2.6645352591003756E-16</v>
      </c>
      <c r="H64">
        <v>3.1086244689504391E-16</v>
      </c>
      <c r="I64">
        <v>0</v>
      </c>
      <c r="J64">
        <v>0</v>
      </c>
      <c r="L64">
        <v>5.9605329162599743E-15</v>
      </c>
      <c r="M64">
        <v>-2.517980901918403E-15</v>
      </c>
      <c r="N64">
        <v>-2.3881475116632379E-15</v>
      </c>
      <c r="O64">
        <v>2.2189706698155948E-15</v>
      </c>
      <c r="P64">
        <v>-2.517980901918407E-15</v>
      </c>
      <c r="Q64">
        <v>1.1842378929334997E-15</v>
      </c>
      <c r="R64">
        <v>5.9211894646666601E-16</v>
      </c>
      <c r="S64">
        <v>-3.2143599951051406E-15</v>
      </c>
      <c r="T64">
        <v>0</v>
      </c>
      <c r="U64">
        <v>0</v>
      </c>
      <c r="W64">
        <v>2.5243548967072378E-29</v>
      </c>
      <c r="X64">
        <v>-1.3534147347811447E-15</v>
      </c>
      <c r="Y64">
        <v>-3.3835368369533509E-16</v>
      </c>
      <c r="Z64">
        <v>-1.8609452603240779E-15</v>
      </c>
      <c r="AA64">
        <v>-1.691768418476423E-15</v>
      </c>
      <c r="AB64">
        <v>0</v>
      </c>
      <c r="AC64">
        <v>1.4654943925052243E-15</v>
      </c>
      <c r="AD64">
        <v>-2.5165055224837187E-15</v>
      </c>
      <c r="AE64">
        <v>2.9605947323332038E-16</v>
      </c>
      <c r="AF64">
        <v>-5.329070518200764E-16</v>
      </c>
      <c r="AH64" t="s">
        <v>598</v>
      </c>
      <c r="AI64" t="s">
        <v>1303</v>
      </c>
    </row>
    <row r="65" spans="1:35" x14ac:dyDescent="0.25">
      <c r="A65">
        <v>1.0555163828320364E-15</v>
      </c>
      <c r="B65">
        <v>-4.6339743636528282E-16</v>
      </c>
      <c r="C65">
        <v>1.905078349501722E-15</v>
      </c>
      <c r="D65">
        <v>4.633974363652836E-16</v>
      </c>
      <c r="E65">
        <v>-8.2381766464939143E-16</v>
      </c>
      <c r="F65">
        <v>-1.0297720808117282E-16</v>
      </c>
      <c r="G65">
        <v>2.6645352591003756E-16</v>
      </c>
      <c r="H65">
        <v>3.1086244689504391E-16</v>
      </c>
      <c r="I65">
        <v>0</v>
      </c>
      <c r="J65">
        <v>0</v>
      </c>
      <c r="L65">
        <v>5.9605329162599743E-15</v>
      </c>
      <c r="M65">
        <v>-2.517980901918403E-15</v>
      </c>
      <c r="N65">
        <v>-2.3881475116632379E-15</v>
      </c>
      <c r="O65">
        <v>2.2189706698155948E-15</v>
      </c>
      <c r="P65">
        <v>-2.517980901918407E-15</v>
      </c>
      <c r="Q65">
        <v>1.1842378929334997E-15</v>
      </c>
      <c r="R65">
        <v>5.9211894646666601E-16</v>
      </c>
      <c r="S65">
        <v>-3.2143599951051406E-15</v>
      </c>
      <c r="T65">
        <v>0</v>
      </c>
      <c r="U65">
        <v>0</v>
      </c>
      <c r="W65">
        <v>2.5243548967072378E-29</v>
      </c>
      <c r="X65">
        <v>-1.3534147347811447E-15</v>
      </c>
      <c r="Y65">
        <v>-3.3835368369533509E-16</v>
      </c>
      <c r="Z65">
        <v>-1.8609452603240779E-15</v>
      </c>
      <c r="AA65">
        <v>-1.691768418476423E-15</v>
      </c>
      <c r="AB65">
        <v>0</v>
      </c>
      <c r="AC65">
        <v>1.4654943925052243E-15</v>
      </c>
      <c r="AD65">
        <v>-2.5165055224837187E-15</v>
      </c>
      <c r="AE65">
        <v>2.9605947323332038E-16</v>
      </c>
      <c r="AF65">
        <v>-5.329070518200764E-16</v>
      </c>
      <c r="AH65" t="s">
        <v>603</v>
      </c>
      <c r="AI65" t="s">
        <v>1307</v>
      </c>
    </row>
    <row r="66" spans="1:35" x14ac:dyDescent="0.25">
      <c r="A66">
        <v>5.2775819141601819E-16</v>
      </c>
      <c r="B66">
        <v>-2.3169871818264141E-16</v>
      </c>
      <c r="C66">
        <v>9.5253917475086101E-16</v>
      </c>
      <c r="D66">
        <v>2.316987181826418E-16</v>
      </c>
      <c r="E66">
        <v>-4.1190883232469572E-16</v>
      </c>
      <c r="F66">
        <v>-5.148860404058641E-17</v>
      </c>
      <c r="G66">
        <v>1.3322676295501878E-16</v>
      </c>
      <c r="H66">
        <v>1.5543122344752196E-16</v>
      </c>
      <c r="I66">
        <v>0</v>
      </c>
      <c r="J66">
        <v>0</v>
      </c>
      <c r="L66">
        <v>2.9802664581299871E-15</v>
      </c>
      <c r="M66">
        <v>-1.2589904509592015E-15</v>
      </c>
      <c r="N66">
        <v>-1.194073755831619E-15</v>
      </c>
      <c r="O66">
        <v>1.1094853349077974E-15</v>
      </c>
      <c r="P66">
        <v>-1.2589904509592035E-15</v>
      </c>
      <c r="Q66">
        <v>5.9211894646674983E-16</v>
      </c>
      <c r="R66">
        <v>2.96059473233333E-16</v>
      </c>
      <c r="S66">
        <v>-1.6071799975525703E-15</v>
      </c>
      <c r="T66">
        <v>0</v>
      </c>
      <c r="U66">
        <v>0</v>
      </c>
      <c r="W66">
        <v>1.2621774483536189E-29</v>
      </c>
      <c r="X66">
        <v>-6.7670736739057236E-16</v>
      </c>
      <c r="Y66">
        <v>-1.6917684184766754E-16</v>
      </c>
      <c r="Z66">
        <v>-9.3047263016203896E-16</v>
      </c>
      <c r="AA66">
        <v>-8.458842092382115E-16</v>
      </c>
      <c r="AB66">
        <v>0</v>
      </c>
      <c r="AC66">
        <v>7.3274719625261215E-16</v>
      </c>
      <c r="AD66">
        <v>-1.2582527612418593E-15</v>
      </c>
      <c r="AE66">
        <v>1.4802973661666019E-16</v>
      </c>
      <c r="AF66">
        <v>-2.664535259100382E-16</v>
      </c>
      <c r="AH66" t="s">
        <v>607</v>
      </c>
      <c r="AI66" t="s">
        <v>1311</v>
      </c>
    </row>
    <row r="67" spans="1:35" x14ac:dyDescent="0.25">
      <c r="A67">
        <v>0</v>
      </c>
      <c r="B67">
        <v>0</v>
      </c>
      <c r="C67">
        <v>0</v>
      </c>
      <c r="D67">
        <v>0</v>
      </c>
      <c r="E67">
        <v>0</v>
      </c>
      <c r="F67">
        <v>0</v>
      </c>
      <c r="G67">
        <v>0</v>
      </c>
      <c r="H67">
        <v>0</v>
      </c>
      <c r="I67">
        <v>0</v>
      </c>
      <c r="J67">
        <v>0</v>
      </c>
      <c r="L67">
        <v>0</v>
      </c>
      <c r="M67">
        <v>0</v>
      </c>
      <c r="N67">
        <v>0</v>
      </c>
      <c r="O67">
        <v>0</v>
      </c>
      <c r="P67">
        <v>0</v>
      </c>
      <c r="Q67">
        <v>0</v>
      </c>
      <c r="R67">
        <v>0</v>
      </c>
      <c r="S67">
        <v>0</v>
      </c>
      <c r="T67">
        <v>0</v>
      </c>
      <c r="U67">
        <v>0</v>
      </c>
      <c r="W67">
        <v>0</v>
      </c>
      <c r="X67">
        <v>0</v>
      </c>
      <c r="Y67">
        <v>0</v>
      </c>
      <c r="Z67">
        <v>0</v>
      </c>
      <c r="AA67">
        <v>0</v>
      </c>
      <c r="AB67">
        <v>0</v>
      </c>
      <c r="AC67">
        <v>0</v>
      </c>
      <c r="AD67">
        <v>0</v>
      </c>
      <c r="AE67">
        <v>0</v>
      </c>
      <c r="AF67">
        <v>0</v>
      </c>
      <c r="AH67" t="s">
        <v>611</v>
      </c>
      <c r="AI67" t="s">
        <v>1316</v>
      </c>
    </row>
    <row r="68" spans="1:35" x14ac:dyDescent="0.25">
      <c r="A68">
        <v>0</v>
      </c>
      <c r="B68">
        <v>0</v>
      </c>
      <c r="C68">
        <v>0</v>
      </c>
      <c r="D68">
        <v>0</v>
      </c>
      <c r="E68">
        <v>0</v>
      </c>
      <c r="F68">
        <v>0</v>
      </c>
      <c r="G68">
        <v>0</v>
      </c>
      <c r="H68">
        <v>0</v>
      </c>
      <c r="I68">
        <v>0</v>
      </c>
      <c r="J68">
        <v>0</v>
      </c>
      <c r="L68">
        <v>0</v>
      </c>
      <c r="M68">
        <v>0</v>
      </c>
      <c r="N68">
        <v>0</v>
      </c>
      <c r="O68">
        <v>0</v>
      </c>
      <c r="P68">
        <v>0</v>
      </c>
      <c r="Q68">
        <v>0</v>
      </c>
      <c r="R68">
        <v>0</v>
      </c>
      <c r="S68">
        <v>0</v>
      </c>
      <c r="T68">
        <v>0</v>
      </c>
      <c r="U68">
        <v>0</v>
      </c>
      <c r="W68">
        <v>0</v>
      </c>
      <c r="X68">
        <v>0</v>
      </c>
      <c r="Y68">
        <v>0</v>
      </c>
      <c r="Z68">
        <v>0</v>
      </c>
      <c r="AA68">
        <v>0</v>
      </c>
      <c r="AB68">
        <v>0</v>
      </c>
      <c r="AC68">
        <v>0</v>
      </c>
      <c r="AD68">
        <v>0</v>
      </c>
      <c r="AE68">
        <v>0</v>
      </c>
      <c r="AF68">
        <v>0</v>
      </c>
      <c r="AH68" t="s">
        <v>615</v>
      </c>
      <c r="AI68" t="s">
        <v>1321</v>
      </c>
    </row>
    <row r="69" spans="1:35" x14ac:dyDescent="0.25">
      <c r="A69">
        <v>0</v>
      </c>
      <c r="B69">
        <v>0</v>
      </c>
      <c r="C69">
        <v>0</v>
      </c>
      <c r="D69">
        <v>0</v>
      </c>
      <c r="E69">
        <v>0</v>
      </c>
      <c r="F69">
        <v>0</v>
      </c>
      <c r="G69">
        <v>0</v>
      </c>
      <c r="H69">
        <v>0</v>
      </c>
      <c r="I69">
        <v>0</v>
      </c>
      <c r="J69">
        <v>0</v>
      </c>
      <c r="L69">
        <v>0</v>
      </c>
      <c r="M69">
        <v>0</v>
      </c>
      <c r="N69">
        <v>0</v>
      </c>
      <c r="O69">
        <v>0</v>
      </c>
      <c r="P69">
        <v>0</v>
      </c>
      <c r="Q69">
        <v>0</v>
      </c>
      <c r="R69">
        <v>0</v>
      </c>
      <c r="S69">
        <v>0</v>
      </c>
      <c r="T69">
        <v>0</v>
      </c>
      <c r="U69">
        <v>0</v>
      </c>
      <c r="W69">
        <v>0</v>
      </c>
      <c r="X69">
        <v>0</v>
      </c>
      <c r="Y69">
        <v>0</v>
      </c>
      <c r="Z69">
        <v>0</v>
      </c>
      <c r="AA69">
        <v>0</v>
      </c>
      <c r="AB69">
        <v>0</v>
      </c>
      <c r="AC69">
        <v>0</v>
      </c>
      <c r="AD69">
        <v>0</v>
      </c>
      <c r="AE69">
        <v>0</v>
      </c>
      <c r="AF69">
        <v>0</v>
      </c>
      <c r="AH69" t="s">
        <v>620</v>
      </c>
      <c r="AI69" t="s">
        <v>1325</v>
      </c>
    </row>
    <row r="70" spans="1:35" x14ac:dyDescent="0.25">
      <c r="A70">
        <v>0</v>
      </c>
      <c r="B70">
        <v>0</v>
      </c>
      <c r="C70">
        <v>0</v>
      </c>
      <c r="D70">
        <v>0</v>
      </c>
      <c r="E70">
        <v>0</v>
      </c>
      <c r="F70">
        <v>0</v>
      </c>
      <c r="G70">
        <v>0</v>
      </c>
      <c r="H70">
        <v>0</v>
      </c>
      <c r="I70">
        <v>0</v>
      </c>
      <c r="J70">
        <v>0</v>
      </c>
      <c r="L70">
        <v>0</v>
      </c>
      <c r="M70">
        <v>0</v>
      </c>
      <c r="N70">
        <v>0</v>
      </c>
      <c r="O70">
        <v>0</v>
      </c>
      <c r="P70">
        <v>0</v>
      </c>
      <c r="Q70">
        <v>0</v>
      </c>
      <c r="R70">
        <v>0</v>
      </c>
      <c r="S70">
        <v>0</v>
      </c>
      <c r="T70">
        <v>0</v>
      </c>
      <c r="U70">
        <v>0</v>
      </c>
      <c r="W70">
        <v>0</v>
      </c>
      <c r="X70">
        <v>0</v>
      </c>
      <c r="Y70">
        <v>0</v>
      </c>
      <c r="Z70">
        <v>0</v>
      </c>
      <c r="AA70">
        <v>0</v>
      </c>
      <c r="AB70">
        <v>0</v>
      </c>
      <c r="AC70">
        <v>0</v>
      </c>
      <c r="AD70">
        <v>0</v>
      </c>
      <c r="AE70">
        <v>0</v>
      </c>
      <c r="AF70">
        <v>0</v>
      </c>
      <c r="AH70" t="s">
        <v>625</v>
      </c>
      <c r="AI70" t="s">
        <v>1329</v>
      </c>
    </row>
    <row r="71" spans="1:35" x14ac:dyDescent="0.25">
      <c r="A71">
        <v>0</v>
      </c>
      <c r="B71">
        <v>0</v>
      </c>
      <c r="C71">
        <v>0</v>
      </c>
      <c r="D71">
        <v>0</v>
      </c>
      <c r="E71">
        <v>0</v>
      </c>
      <c r="F71">
        <v>0</v>
      </c>
      <c r="G71">
        <v>0</v>
      </c>
      <c r="H71">
        <v>0</v>
      </c>
      <c r="I71">
        <v>0</v>
      </c>
      <c r="J71">
        <v>0</v>
      </c>
      <c r="L71">
        <v>0</v>
      </c>
      <c r="M71">
        <v>0</v>
      </c>
      <c r="N71">
        <v>0</v>
      </c>
      <c r="O71">
        <v>0</v>
      </c>
      <c r="P71">
        <v>0</v>
      </c>
      <c r="Q71">
        <v>0</v>
      </c>
      <c r="R71">
        <v>0</v>
      </c>
      <c r="S71">
        <v>0</v>
      </c>
      <c r="T71">
        <v>0</v>
      </c>
      <c r="U71">
        <v>0</v>
      </c>
      <c r="W71">
        <v>0</v>
      </c>
      <c r="X71">
        <v>0</v>
      </c>
      <c r="Y71">
        <v>0</v>
      </c>
      <c r="Z71">
        <v>0</v>
      </c>
      <c r="AA71">
        <v>0</v>
      </c>
      <c r="AB71">
        <v>0</v>
      </c>
      <c r="AC71">
        <v>0</v>
      </c>
      <c r="AD71">
        <v>0</v>
      </c>
      <c r="AE71">
        <v>0</v>
      </c>
      <c r="AF71">
        <v>0</v>
      </c>
      <c r="AH71" t="s">
        <v>629</v>
      </c>
      <c r="AI71" t="s">
        <v>1335</v>
      </c>
    </row>
    <row r="72" spans="1:35" x14ac:dyDescent="0.25">
      <c r="A72">
        <v>0</v>
      </c>
      <c r="B72">
        <v>0</v>
      </c>
      <c r="C72">
        <v>0</v>
      </c>
      <c r="D72">
        <v>0</v>
      </c>
      <c r="E72">
        <v>0</v>
      </c>
      <c r="F72">
        <v>2.5744302020293126E-16</v>
      </c>
      <c r="G72">
        <v>-9.3258734068513153E-16</v>
      </c>
      <c r="H72">
        <v>-1.0880185641326535E-15</v>
      </c>
      <c r="I72">
        <v>0</v>
      </c>
      <c r="J72">
        <v>0</v>
      </c>
      <c r="L72">
        <v>-7.4506661453249665E-15</v>
      </c>
      <c r="M72">
        <v>3.1474761273979955E-15</v>
      </c>
      <c r="N72">
        <v>2.9851843895790466E-15</v>
      </c>
      <c r="O72">
        <v>-2.7737133372694945E-15</v>
      </c>
      <c r="P72">
        <v>3.1474761273980089E-15</v>
      </c>
      <c r="Q72">
        <v>-1.4802973661668733E-15</v>
      </c>
      <c r="R72">
        <v>-5.9211894646677783E-16</v>
      </c>
      <c r="S72">
        <v>3.2143599951052321E-15</v>
      </c>
      <c r="T72">
        <v>0</v>
      </c>
      <c r="U72">
        <v>0</v>
      </c>
      <c r="W72">
        <v>0</v>
      </c>
      <c r="X72">
        <v>1.3534147347811494E-15</v>
      </c>
      <c r="Y72">
        <v>3.383536836952846E-16</v>
      </c>
      <c r="Z72">
        <v>1.8609452603240811E-15</v>
      </c>
      <c r="AA72">
        <v>1.6917684184764262E-15</v>
      </c>
      <c r="AB72">
        <v>0</v>
      </c>
      <c r="AC72">
        <v>-0.66666666666666896</v>
      </c>
      <c r="AD72">
        <v>-1.3333333333333288</v>
      </c>
      <c r="AE72">
        <v>-2.0000000000000004</v>
      </c>
      <c r="AF72">
        <v>-2.6666666666666656</v>
      </c>
      <c r="AH72" t="s">
        <v>633</v>
      </c>
      <c r="AI72" t="s">
        <v>1337</v>
      </c>
    </row>
    <row r="73" spans="1:35" x14ac:dyDescent="0.25">
      <c r="A73">
        <v>0</v>
      </c>
      <c r="B73">
        <v>0</v>
      </c>
      <c r="C73">
        <v>0</v>
      </c>
      <c r="D73">
        <v>0</v>
      </c>
      <c r="E73">
        <v>0</v>
      </c>
      <c r="F73">
        <v>0</v>
      </c>
      <c r="G73">
        <v>0</v>
      </c>
      <c r="H73">
        <v>0</v>
      </c>
      <c r="I73">
        <v>0</v>
      </c>
      <c r="J73">
        <v>0</v>
      </c>
      <c r="L73">
        <v>0</v>
      </c>
      <c r="M73">
        <v>0</v>
      </c>
      <c r="N73">
        <v>0</v>
      </c>
      <c r="O73">
        <v>0</v>
      </c>
      <c r="P73">
        <v>0</v>
      </c>
      <c r="Q73">
        <v>0</v>
      </c>
      <c r="R73">
        <v>0</v>
      </c>
      <c r="S73">
        <v>0</v>
      </c>
      <c r="T73">
        <v>0</v>
      </c>
      <c r="U73">
        <v>0</v>
      </c>
      <c r="W73">
        <v>0</v>
      </c>
      <c r="X73">
        <v>0</v>
      </c>
      <c r="Y73">
        <v>0</v>
      </c>
      <c r="Z73">
        <v>0</v>
      </c>
      <c r="AA73">
        <v>0</v>
      </c>
      <c r="AB73">
        <v>0</v>
      </c>
      <c r="AC73">
        <v>0</v>
      </c>
      <c r="AD73">
        <v>0</v>
      </c>
      <c r="AE73">
        <v>0</v>
      </c>
      <c r="AF73">
        <v>0</v>
      </c>
      <c r="AH73" t="s">
        <v>636</v>
      </c>
      <c r="AI73" t="s">
        <v>1341</v>
      </c>
    </row>
    <row r="74" spans="1:35" x14ac:dyDescent="0.25">
      <c r="A74">
        <v>0</v>
      </c>
      <c r="B74">
        <v>0</v>
      </c>
      <c r="C74">
        <v>0</v>
      </c>
      <c r="D74">
        <v>0</v>
      </c>
      <c r="E74">
        <v>0</v>
      </c>
      <c r="F74">
        <v>0</v>
      </c>
      <c r="G74">
        <v>0</v>
      </c>
      <c r="H74">
        <v>0</v>
      </c>
      <c r="I74">
        <v>0</v>
      </c>
      <c r="J74">
        <v>0</v>
      </c>
      <c r="L74">
        <v>0</v>
      </c>
      <c r="M74">
        <v>0</v>
      </c>
      <c r="N74">
        <v>0</v>
      </c>
      <c r="O74">
        <v>0</v>
      </c>
      <c r="P74">
        <v>0</v>
      </c>
      <c r="Q74">
        <v>0</v>
      </c>
      <c r="R74">
        <v>0</v>
      </c>
      <c r="S74">
        <v>0</v>
      </c>
      <c r="T74">
        <v>0</v>
      </c>
      <c r="U74">
        <v>0</v>
      </c>
      <c r="W74">
        <v>0</v>
      </c>
      <c r="X74">
        <v>0</v>
      </c>
      <c r="Y74">
        <v>0</v>
      </c>
      <c r="Z74">
        <v>0</v>
      </c>
      <c r="AA74">
        <v>0</v>
      </c>
      <c r="AB74">
        <v>0</v>
      </c>
      <c r="AC74">
        <v>0</v>
      </c>
      <c r="AD74">
        <v>0</v>
      </c>
      <c r="AE74">
        <v>0</v>
      </c>
      <c r="AF74">
        <v>0</v>
      </c>
      <c r="AH74" t="s">
        <v>639</v>
      </c>
      <c r="AI74" s="60" t="s">
        <v>1342</v>
      </c>
    </row>
    <row r="75" spans="1:35" x14ac:dyDescent="0.25">
      <c r="A75">
        <v>0</v>
      </c>
      <c r="B75">
        <v>0</v>
      </c>
      <c r="C75">
        <v>0</v>
      </c>
      <c r="D75">
        <v>0</v>
      </c>
      <c r="E75">
        <v>0</v>
      </c>
      <c r="F75">
        <v>0</v>
      </c>
      <c r="G75">
        <v>0</v>
      </c>
      <c r="H75">
        <v>0</v>
      </c>
      <c r="I75">
        <v>0</v>
      </c>
      <c r="J75">
        <v>0</v>
      </c>
      <c r="L75">
        <v>0</v>
      </c>
      <c r="M75">
        <v>0</v>
      </c>
      <c r="N75">
        <v>0</v>
      </c>
      <c r="O75">
        <v>0</v>
      </c>
      <c r="P75">
        <v>0</v>
      </c>
      <c r="Q75">
        <v>0</v>
      </c>
      <c r="R75">
        <v>0</v>
      </c>
      <c r="S75">
        <v>0</v>
      </c>
      <c r="T75">
        <v>0</v>
      </c>
      <c r="U75">
        <v>0</v>
      </c>
      <c r="W75">
        <v>0</v>
      </c>
      <c r="X75">
        <v>0</v>
      </c>
      <c r="Y75">
        <v>0</v>
      </c>
      <c r="Z75">
        <v>0</v>
      </c>
      <c r="AA75">
        <v>0</v>
      </c>
      <c r="AB75">
        <v>0</v>
      </c>
      <c r="AC75">
        <v>0</v>
      </c>
      <c r="AD75">
        <v>0</v>
      </c>
      <c r="AE75">
        <v>0</v>
      </c>
      <c r="AF75">
        <v>0</v>
      </c>
      <c r="AH75" t="s">
        <v>642</v>
      </c>
      <c r="AI75" s="60" t="s">
        <v>1348</v>
      </c>
    </row>
    <row r="76" spans="1:35" x14ac:dyDescent="0.25">
      <c r="A76">
        <v>0</v>
      </c>
      <c r="B76">
        <v>0</v>
      </c>
      <c r="C76">
        <v>0</v>
      </c>
      <c r="D76">
        <v>0</v>
      </c>
      <c r="E76">
        <v>0</v>
      </c>
      <c r="F76">
        <v>0</v>
      </c>
      <c r="G76">
        <v>0</v>
      </c>
      <c r="H76">
        <v>0</v>
      </c>
      <c r="I76">
        <v>0</v>
      </c>
      <c r="J76">
        <v>0</v>
      </c>
      <c r="L76">
        <v>0</v>
      </c>
      <c r="M76">
        <v>0</v>
      </c>
      <c r="N76">
        <v>0</v>
      </c>
      <c r="O76">
        <v>0</v>
      </c>
      <c r="P76">
        <v>0</v>
      </c>
      <c r="Q76">
        <v>0</v>
      </c>
      <c r="R76">
        <v>0</v>
      </c>
      <c r="S76">
        <v>0</v>
      </c>
      <c r="T76">
        <v>0</v>
      </c>
      <c r="U76">
        <v>0</v>
      </c>
      <c r="W76">
        <v>0</v>
      </c>
      <c r="X76">
        <v>0</v>
      </c>
      <c r="Y76">
        <v>0</v>
      </c>
      <c r="Z76">
        <v>0</v>
      </c>
      <c r="AA76">
        <v>0</v>
      </c>
      <c r="AB76">
        <v>0</v>
      </c>
      <c r="AC76">
        <v>0</v>
      </c>
      <c r="AD76">
        <v>0</v>
      </c>
      <c r="AE76">
        <v>0</v>
      </c>
      <c r="AF76">
        <v>0</v>
      </c>
      <c r="AH76" t="s">
        <v>646</v>
      </c>
      <c r="AI76" s="60" t="s">
        <v>1353</v>
      </c>
    </row>
    <row r="77" spans="1:35" x14ac:dyDescent="0.25">
      <c r="A77">
        <v>0</v>
      </c>
      <c r="B77">
        <v>0</v>
      </c>
      <c r="C77">
        <v>0</v>
      </c>
      <c r="D77">
        <v>0</v>
      </c>
      <c r="E77">
        <v>0</v>
      </c>
      <c r="F77">
        <v>0</v>
      </c>
      <c r="G77">
        <v>0</v>
      </c>
      <c r="H77">
        <v>0</v>
      </c>
      <c r="I77">
        <v>0</v>
      </c>
      <c r="J77">
        <v>0</v>
      </c>
      <c r="L77">
        <v>0</v>
      </c>
      <c r="M77">
        <v>0</v>
      </c>
      <c r="N77">
        <v>0</v>
      </c>
      <c r="O77">
        <v>0</v>
      </c>
      <c r="P77">
        <v>0</v>
      </c>
      <c r="Q77">
        <v>0</v>
      </c>
      <c r="R77">
        <v>0</v>
      </c>
      <c r="S77">
        <v>0</v>
      </c>
      <c r="T77">
        <v>0</v>
      </c>
      <c r="U77">
        <v>0</v>
      </c>
      <c r="W77">
        <v>0</v>
      </c>
      <c r="X77">
        <v>0</v>
      </c>
      <c r="Y77">
        <v>0</v>
      </c>
      <c r="Z77">
        <v>0</v>
      </c>
      <c r="AA77">
        <v>0</v>
      </c>
      <c r="AB77">
        <v>0</v>
      </c>
      <c r="AC77">
        <v>0</v>
      </c>
      <c r="AD77">
        <v>0</v>
      </c>
      <c r="AE77">
        <v>0</v>
      </c>
      <c r="AF77">
        <v>0</v>
      </c>
      <c r="AH77" t="s">
        <v>649</v>
      </c>
      <c r="AI77" s="60" t="s">
        <v>1357</v>
      </c>
    </row>
    <row r="78" spans="1:35" x14ac:dyDescent="0.25">
      <c r="A78">
        <v>0</v>
      </c>
      <c r="B78">
        <v>0</v>
      </c>
      <c r="C78">
        <v>0</v>
      </c>
      <c r="D78">
        <v>0</v>
      </c>
      <c r="E78">
        <v>0</v>
      </c>
      <c r="F78">
        <v>0</v>
      </c>
      <c r="G78">
        <v>0</v>
      </c>
      <c r="H78">
        <v>0</v>
      </c>
      <c r="I78">
        <v>0</v>
      </c>
      <c r="J78">
        <v>0</v>
      </c>
      <c r="L78">
        <v>0</v>
      </c>
      <c r="M78">
        <v>0</v>
      </c>
      <c r="N78">
        <v>0</v>
      </c>
      <c r="O78">
        <v>0</v>
      </c>
      <c r="P78">
        <v>0</v>
      </c>
      <c r="Q78">
        <v>0</v>
      </c>
      <c r="R78">
        <v>0</v>
      </c>
      <c r="S78">
        <v>0</v>
      </c>
      <c r="T78">
        <v>0</v>
      </c>
      <c r="U78">
        <v>0</v>
      </c>
      <c r="W78">
        <v>0</v>
      </c>
      <c r="X78">
        <v>0</v>
      </c>
      <c r="Y78">
        <v>0</v>
      </c>
      <c r="Z78">
        <v>0</v>
      </c>
      <c r="AA78">
        <v>0</v>
      </c>
      <c r="AB78">
        <v>0</v>
      </c>
      <c r="AC78">
        <v>0</v>
      </c>
      <c r="AD78">
        <v>0</v>
      </c>
      <c r="AE78">
        <v>0</v>
      </c>
      <c r="AF78">
        <v>0</v>
      </c>
      <c r="AH78" t="s">
        <v>653</v>
      </c>
      <c r="AI78" s="60" t="s">
        <v>1362</v>
      </c>
    </row>
    <row r="79" spans="1:35" x14ac:dyDescent="0.25">
      <c r="A79">
        <v>0</v>
      </c>
      <c r="B79">
        <v>0</v>
      </c>
      <c r="C79">
        <v>0</v>
      </c>
      <c r="D79">
        <v>0</v>
      </c>
      <c r="E79">
        <v>0</v>
      </c>
      <c r="F79">
        <v>0</v>
      </c>
      <c r="G79">
        <v>0</v>
      </c>
      <c r="H79">
        <v>0</v>
      </c>
      <c r="I79">
        <v>0</v>
      </c>
      <c r="J79">
        <v>0</v>
      </c>
      <c r="L79">
        <v>0</v>
      </c>
      <c r="M79">
        <v>0</v>
      </c>
      <c r="N79">
        <v>0</v>
      </c>
      <c r="O79">
        <v>0</v>
      </c>
      <c r="P79">
        <v>0</v>
      </c>
      <c r="Q79">
        <v>0</v>
      </c>
      <c r="R79">
        <v>0</v>
      </c>
      <c r="S79">
        <v>0</v>
      </c>
      <c r="T79">
        <v>0</v>
      </c>
      <c r="U79">
        <v>0</v>
      </c>
      <c r="W79">
        <v>0</v>
      </c>
      <c r="X79">
        <v>0</v>
      </c>
      <c r="Y79">
        <v>0</v>
      </c>
      <c r="Z79">
        <v>0</v>
      </c>
      <c r="AA79">
        <v>0</v>
      </c>
      <c r="AB79">
        <v>0</v>
      </c>
      <c r="AC79">
        <v>0</v>
      </c>
      <c r="AD79">
        <v>0</v>
      </c>
      <c r="AE79">
        <v>0</v>
      </c>
      <c r="AF79">
        <v>0</v>
      </c>
      <c r="AH79" t="s">
        <v>656</v>
      </c>
      <c r="AI79" s="60" t="s">
        <v>1365</v>
      </c>
    </row>
    <row r="80" spans="1:35" x14ac:dyDescent="0.25">
      <c r="A80">
        <v>0</v>
      </c>
      <c r="B80">
        <v>0</v>
      </c>
      <c r="C80">
        <v>0</v>
      </c>
      <c r="D80">
        <v>0</v>
      </c>
      <c r="E80">
        <v>0</v>
      </c>
      <c r="F80">
        <v>0</v>
      </c>
      <c r="G80">
        <v>0</v>
      </c>
      <c r="H80">
        <v>0</v>
      </c>
      <c r="I80">
        <v>0</v>
      </c>
      <c r="J80">
        <v>0</v>
      </c>
      <c r="L80">
        <v>0</v>
      </c>
      <c r="M80">
        <v>0</v>
      </c>
      <c r="N80">
        <v>0</v>
      </c>
      <c r="O80">
        <v>0</v>
      </c>
      <c r="P80">
        <v>0</v>
      </c>
      <c r="Q80">
        <v>0</v>
      </c>
      <c r="R80">
        <v>0</v>
      </c>
      <c r="S80">
        <v>0</v>
      </c>
      <c r="T80">
        <v>0</v>
      </c>
      <c r="U80">
        <v>0</v>
      </c>
      <c r="W80">
        <v>0</v>
      </c>
      <c r="X80">
        <v>0</v>
      </c>
      <c r="Y80">
        <v>0</v>
      </c>
      <c r="Z80">
        <v>0</v>
      </c>
      <c r="AA80">
        <v>0</v>
      </c>
      <c r="AB80">
        <v>0</v>
      </c>
      <c r="AC80">
        <v>0</v>
      </c>
      <c r="AD80">
        <v>0</v>
      </c>
      <c r="AE80">
        <v>0</v>
      </c>
      <c r="AF80">
        <v>0</v>
      </c>
      <c r="AH80" t="s">
        <v>660</v>
      </c>
      <c r="AI80" s="60" t="s">
        <v>1374</v>
      </c>
    </row>
    <row r="81" spans="1:35" x14ac:dyDescent="0.25">
      <c r="A81">
        <v>0</v>
      </c>
      <c r="B81">
        <v>0</v>
      </c>
      <c r="C81">
        <v>0</v>
      </c>
      <c r="D81">
        <v>0</v>
      </c>
      <c r="E81">
        <v>0</v>
      </c>
      <c r="F81">
        <v>0</v>
      </c>
      <c r="G81">
        <v>0</v>
      </c>
      <c r="H81">
        <v>0</v>
      </c>
      <c r="I81">
        <v>0</v>
      </c>
      <c r="J81">
        <v>0</v>
      </c>
      <c r="L81">
        <v>0</v>
      </c>
      <c r="M81">
        <v>0</v>
      </c>
      <c r="N81">
        <v>0</v>
      </c>
      <c r="O81">
        <v>0</v>
      </c>
      <c r="P81">
        <v>0</v>
      </c>
      <c r="Q81">
        <v>0</v>
      </c>
      <c r="R81">
        <v>0</v>
      </c>
      <c r="S81">
        <v>0</v>
      </c>
      <c r="T81">
        <v>0</v>
      </c>
      <c r="U81">
        <v>0</v>
      </c>
      <c r="W81">
        <v>0</v>
      </c>
      <c r="X81">
        <v>0</v>
      </c>
      <c r="Y81">
        <v>0</v>
      </c>
      <c r="Z81">
        <v>0</v>
      </c>
      <c r="AA81">
        <v>0</v>
      </c>
      <c r="AB81">
        <v>0</v>
      </c>
      <c r="AC81">
        <v>0</v>
      </c>
      <c r="AD81">
        <v>0</v>
      </c>
      <c r="AE81">
        <v>0</v>
      </c>
      <c r="AF81">
        <v>0</v>
      </c>
      <c r="AH81" t="s">
        <v>665</v>
      </c>
      <c r="AI81" s="60" t="s">
        <v>1378</v>
      </c>
    </row>
    <row r="82" spans="1:35" x14ac:dyDescent="0.25">
      <c r="A82">
        <v>0</v>
      </c>
      <c r="B82">
        <v>0</v>
      </c>
      <c r="C82">
        <v>0</v>
      </c>
      <c r="D82">
        <v>0</v>
      </c>
      <c r="E82">
        <v>0</v>
      </c>
      <c r="F82">
        <v>0</v>
      </c>
      <c r="G82">
        <v>0</v>
      </c>
      <c r="H82">
        <v>0</v>
      </c>
      <c r="I82">
        <v>0</v>
      </c>
      <c r="J82">
        <v>0</v>
      </c>
      <c r="L82">
        <v>0</v>
      </c>
      <c r="M82">
        <v>0</v>
      </c>
      <c r="N82">
        <v>0</v>
      </c>
      <c r="O82">
        <v>0</v>
      </c>
      <c r="P82">
        <v>0</v>
      </c>
      <c r="Q82">
        <v>0</v>
      </c>
      <c r="R82">
        <v>0</v>
      </c>
      <c r="S82">
        <v>0</v>
      </c>
      <c r="T82">
        <v>0</v>
      </c>
      <c r="U82">
        <v>0</v>
      </c>
      <c r="W82">
        <v>0</v>
      </c>
      <c r="X82">
        <v>0</v>
      </c>
      <c r="Y82">
        <v>0</v>
      </c>
      <c r="Z82">
        <v>0</v>
      </c>
      <c r="AA82">
        <v>0</v>
      </c>
      <c r="AB82">
        <v>0</v>
      </c>
      <c r="AC82">
        <v>0</v>
      </c>
      <c r="AD82">
        <v>0</v>
      </c>
      <c r="AE82">
        <v>0</v>
      </c>
      <c r="AF82">
        <v>0</v>
      </c>
      <c r="AH82" t="s">
        <v>668</v>
      </c>
      <c r="AI82" s="60" t="s">
        <v>1384</v>
      </c>
    </row>
    <row r="83" spans="1:35" x14ac:dyDescent="0.25">
      <c r="A83">
        <v>0</v>
      </c>
      <c r="B83">
        <v>0</v>
      </c>
      <c r="C83">
        <v>0</v>
      </c>
      <c r="D83">
        <v>0</v>
      </c>
      <c r="E83">
        <v>0</v>
      </c>
      <c r="F83">
        <v>0</v>
      </c>
      <c r="G83">
        <v>0</v>
      </c>
      <c r="H83">
        <v>0</v>
      </c>
      <c r="I83">
        <v>0</v>
      </c>
      <c r="J83">
        <v>0</v>
      </c>
      <c r="L83">
        <v>0</v>
      </c>
      <c r="M83">
        <v>0</v>
      </c>
      <c r="N83">
        <v>0</v>
      </c>
      <c r="O83">
        <v>0</v>
      </c>
      <c r="P83">
        <v>0</v>
      </c>
      <c r="Q83">
        <v>0</v>
      </c>
      <c r="R83">
        <v>0</v>
      </c>
      <c r="S83">
        <v>0</v>
      </c>
      <c r="T83">
        <v>0</v>
      </c>
      <c r="U83">
        <v>0</v>
      </c>
      <c r="W83">
        <v>0</v>
      </c>
      <c r="X83">
        <v>0</v>
      </c>
      <c r="Y83">
        <v>0</v>
      </c>
      <c r="Z83">
        <v>0</v>
      </c>
      <c r="AA83">
        <v>0</v>
      </c>
      <c r="AB83">
        <v>0</v>
      </c>
      <c r="AC83">
        <v>0</v>
      </c>
      <c r="AD83">
        <v>0</v>
      </c>
      <c r="AE83">
        <v>0</v>
      </c>
      <c r="AF83">
        <v>0</v>
      </c>
      <c r="AH83" t="s">
        <v>672</v>
      </c>
      <c r="AI83" t="s">
        <v>1389</v>
      </c>
    </row>
    <row r="84" spans="1:35" x14ac:dyDescent="0.25">
      <c r="A84">
        <v>0</v>
      </c>
      <c r="B84">
        <v>0</v>
      </c>
      <c r="C84">
        <v>0</v>
      </c>
      <c r="D84">
        <v>0</v>
      </c>
      <c r="E84">
        <v>0</v>
      </c>
      <c r="F84">
        <v>0</v>
      </c>
      <c r="G84">
        <v>0</v>
      </c>
      <c r="H84">
        <v>0</v>
      </c>
      <c r="I84">
        <v>0</v>
      </c>
      <c r="J84">
        <v>0</v>
      </c>
      <c r="L84">
        <v>0</v>
      </c>
      <c r="M84">
        <v>0</v>
      </c>
      <c r="N84">
        <v>0</v>
      </c>
      <c r="O84">
        <v>0</v>
      </c>
      <c r="P84">
        <v>0</v>
      </c>
      <c r="Q84">
        <v>0</v>
      </c>
      <c r="R84">
        <v>0</v>
      </c>
      <c r="S84">
        <v>0</v>
      </c>
      <c r="T84">
        <v>0</v>
      </c>
      <c r="U84">
        <v>0</v>
      </c>
      <c r="W84">
        <v>0</v>
      </c>
      <c r="X84">
        <v>0</v>
      </c>
      <c r="Y84">
        <v>0</v>
      </c>
      <c r="Z84">
        <v>0</v>
      </c>
      <c r="AA84">
        <v>0</v>
      </c>
      <c r="AB84">
        <v>0</v>
      </c>
      <c r="AC84">
        <v>0</v>
      </c>
      <c r="AD84">
        <v>0</v>
      </c>
      <c r="AE84">
        <v>0</v>
      </c>
      <c r="AF84">
        <v>0</v>
      </c>
      <c r="AH84" t="s">
        <v>676</v>
      </c>
      <c r="AI84" t="s">
        <v>1393</v>
      </c>
    </row>
    <row r="85" spans="1:35" x14ac:dyDescent="0.25">
      <c r="A85">
        <v>0</v>
      </c>
      <c r="B85">
        <v>0</v>
      </c>
      <c r="C85">
        <v>0</v>
      </c>
      <c r="D85">
        <v>0</v>
      </c>
      <c r="E85">
        <v>0</v>
      </c>
      <c r="F85">
        <v>0</v>
      </c>
      <c r="G85">
        <v>0</v>
      </c>
      <c r="H85">
        <v>0</v>
      </c>
      <c r="I85">
        <v>0</v>
      </c>
      <c r="J85">
        <v>0</v>
      </c>
      <c r="L85">
        <v>0</v>
      </c>
      <c r="M85">
        <v>0</v>
      </c>
      <c r="N85">
        <v>0</v>
      </c>
      <c r="O85">
        <v>0</v>
      </c>
      <c r="P85">
        <v>0</v>
      </c>
      <c r="Q85">
        <v>0</v>
      </c>
      <c r="R85">
        <v>0</v>
      </c>
      <c r="S85">
        <v>0</v>
      </c>
      <c r="T85">
        <v>0</v>
      </c>
      <c r="U85">
        <v>0</v>
      </c>
      <c r="W85">
        <v>0</v>
      </c>
      <c r="X85">
        <v>0</v>
      </c>
      <c r="Y85">
        <v>0</v>
      </c>
      <c r="Z85">
        <v>0</v>
      </c>
      <c r="AA85">
        <v>0</v>
      </c>
      <c r="AB85">
        <v>0</v>
      </c>
      <c r="AC85">
        <v>0</v>
      </c>
      <c r="AD85">
        <v>0</v>
      </c>
      <c r="AE85">
        <v>0</v>
      </c>
      <c r="AF85">
        <v>0</v>
      </c>
      <c r="AH85" t="s">
        <v>679</v>
      </c>
      <c r="AI85" s="69" t="s">
        <v>1397</v>
      </c>
    </row>
    <row r="86" spans="1:35" x14ac:dyDescent="0.25">
      <c r="A86">
        <v>0</v>
      </c>
      <c r="B86">
        <v>0</v>
      </c>
      <c r="C86">
        <v>0</v>
      </c>
      <c r="D86">
        <v>0</v>
      </c>
      <c r="E86">
        <v>0</v>
      </c>
      <c r="F86">
        <v>0</v>
      </c>
      <c r="G86">
        <v>0</v>
      </c>
      <c r="H86">
        <v>0</v>
      </c>
      <c r="I86">
        <v>0</v>
      </c>
      <c r="J86">
        <v>0</v>
      </c>
      <c r="L86">
        <v>0</v>
      </c>
      <c r="M86">
        <v>0</v>
      </c>
      <c r="N86">
        <v>0</v>
      </c>
      <c r="O86">
        <v>0</v>
      </c>
      <c r="P86">
        <v>0</v>
      </c>
      <c r="Q86">
        <v>0</v>
      </c>
      <c r="R86">
        <v>0</v>
      </c>
      <c r="S86">
        <v>0</v>
      </c>
      <c r="T86">
        <v>0</v>
      </c>
      <c r="U86">
        <v>0</v>
      </c>
      <c r="W86">
        <v>0</v>
      </c>
      <c r="X86">
        <v>0</v>
      </c>
      <c r="Y86">
        <v>0</v>
      </c>
      <c r="Z86">
        <v>0</v>
      </c>
      <c r="AA86">
        <v>0</v>
      </c>
      <c r="AB86">
        <v>0</v>
      </c>
      <c r="AC86">
        <v>0</v>
      </c>
      <c r="AD86">
        <v>0</v>
      </c>
      <c r="AE86">
        <v>0</v>
      </c>
      <c r="AF86">
        <v>0</v>
      </c>
      <c r="AH86" t="s">
        <v>682</v>
      </c>
      <c r="AI86" t="s">
        <v>1401</v>
      </c>
    </row>
    <row r="87" spans="1:35" x14ac:dyDescent="0.25">
      <c r="A87">
        <v>10.000000000000002</v>
      </c>
      <c r="B87">
        <v>8.6666666666666661</v>
      </c>
      <c r="C87">
        <v>7.3333333333333366</v>
      </c>
      <c r="D87">
        <v>6.0000000000000009</v>
      </c>
      <c r="E87">
        <v>4.6666666666666652</v>
      </c>
      <c r="F87">
        <v>3.3333333333333335</v>
      </c>
      <c r="G87">
        <v>2</v>
      </c>
      <c r="H87">
        <v>0.66666666666666663</v>
      </c>
      <c r="I87">
        <v>0</v>
      </c>
      <c r="J87">
        <v>0</v>
      </c>
      <c r="L87">
        <v>20.000000000000014</v>
      </c>
      <c r="M87">
        <v>18.666666666666664</v>
      </c>
      <c r="N87">
        <v>17.333333333333329</v>
      </c>
      <c r="O87">
        <v>16.000000000000007</v>
      </c>
      <c r="P87">
        <v>14.666666666666659</v>
      </c>
      <c r="Q87">
        <v>13.333333333333336</v>
      </c>
      <c r="R87">
        <v>12.000000000000004</v>
      </c>
      <c r="S87">
        <v>10.66666666666665</v>
      </c>
      <c r="T87">
        <v>0</v>
      </c>
      <c r="U87">
        <v>0</v>
      </c>
      <c r="W87">
        <v>20</v>
      </c>
      <c r="X87">
        <v>18</v>
      </c>
      <c r="Y87">
        <v>16</v>
      </c>
      <c r="Z87">
        <v>14</v>
      </c>
      <c r="AA87">
        <v>12</v>
      </c>
      <c r="AB87">
        <v>10</v>
      </c>
      <c r="AC87">
        <v>8.0000000000000036</v>
      </c>
      <c r="AD87">
        <v>5.9999999999999938</v>
      </c>
      <c r="AE87">
        <v>4.0000000000000009</v>
      </c>
      <c r="AF87">
        <v>1.9999999999999991</v>
      </c>
      <c r="AH87" t="s">
        <v>685</v>
      </c>
      <c r="AI87" t="s">
        <v>1407</v>
      </c>
    </row>
    <row r="88" spans="1:35" x14ac:dyDescent="0.25">
      <c r="A88">
        <v>10.000000000000002</v>
      </c>
      <c r="B88">
        <v>8.6666666666666661</v>
      </c>
      <c r="C88">
        <v>7.3333333333333366</v>
      </c>
      <c r="D88">
        <v>6.0000000000000009</v>
      </c>
      <c r="E88">
        <v>4.6666666666666652</v>
      </c>
      <c r="F88">
        <v>3.3333333333333335</v>
      </c>
      <c r="G88">
        <v>2</v>
      </c>
      <c r="H88">
        <v>0.66666666666666663</v>
      </c>
      <c r="I88">
        <v>0</v>
      </c>
      <c r="J88">
        <v>0</v>
      </c>
      <c r="L88">
        <v>10</v>
      </c>
      <c r="M88">
        <v>8.6666666666666661</v>
      </c>
      <c r="N88">
        <v>7.333333333333333</v>
      </c>
      <c r="O88">
        <v>5.9999999999999991</v>
      </c>
      <c r="P88">
        <v>4.6666666666666661</v>
      </c>
      <c r="Q88">
        <v>3.3333333333333317</v>
      </c>
      <c r="R88">
        <v>2.0000000000000027</v>
      </c>
      <c r="S88">
        <v>0.66666666666665064</v>
      </c>
      <c r="T88">
        <v>0</v>
      </c>
      <c r="U88">
        <v>0</v>
      </c>
      <c r="W88">
        <v>20</v>
      </c>
      <c r="X88">
        <v>18</v>
      </c>
      <c r="Y88">
        <v>16</v>
      </c>
      <c r="Z88">
        <v>14</v>
      </c>
      <c r="AA88">
        <v>12</v>
      </c>
      <c r="AB88">
        <v>10</v>
      </c>
      <c r="AC88">
        <v>8</v>
      </c>
      <c r="AD88">
        <v>6</v>
      </c>
      <c r="AE88">
        <v>4</v>
      </c>
      <c r="AF88">
        <v>2</v>
      </c>
      <c r="AH88" t="s">
        <v>689</v>
      </c>
      <c r="AI88" t="s">
        <v>1412</v>
      </c>
    </row>
    <row r="89" spans="1:35" x14ac:dyDescent="0.25">
      <c r="A89">
        <v>10</v>
      </c>
      <c r="B89">
        <v>9</v>
      </c>
      <c r="C89">
        <v>8</v>
      </c>
      <c r="D89">
        <v>7</v>
      </c>
      <c r="E89">
        <v>6</v>
      </c>
      <c r="F89">
        <v>5</v>
      </c>
      <c r="G89">
        <v>4</v>
      </c>
      <c r="H89">
        <v>3</v>
      </c>
      <c r="I89">
        <v>0</v>
      </c>
      <c r="J89">
        <v>0</v>
      </c>
      <c r="L89">
        <v>10</v>
      </c>
      <c r="M89">
        <v>9</v>
      </c>
      <c r="N89">
        <v>8</v>
      </c>
      <c r="O89">
        <v>7</v>
      </c>
      <c r="P89">
        <v>6</v>
      </c>
      <c r="Q89">
        <v>5</v>
      </c>
      <c r="R89">
        <v>4</v>
      </c>
      <c r="S89">
        <v>3</v>
      </c>
      <c r="T89">
        <v>0</v>
      </c>
      <c r="U89">
        <v>0</v>
      </c>
      <c r="W89">
        <v>10</v>
      </c>
      <c r="X89">
        <v>9</v>
      </c>
      <c r="Y89">
        <v>8</v>
      </c>
      <c r="Z89">
        <v>7</v>
      </c>
      <c r="AA89">
        <v>6</v>
      </c>
      <c r="AB89">
        <v>5</v>
      </c>
      <c r="AC89">
        <v>4</v>
      </c>
      <c r="AD89">
        <v>3</v>
      </c>
      <c r="AE89">
        <v>2</v>
      </c>
      <c r="AF89">
        <v>1</v>
      </c>
      <c r="AH89" t="s">
        <v>692</v>
      </c>
      <c r="AI89" t="s">
        <v>1417</v>
      </c>
    </row>
    <row r="90" spans="1:35" x14ac:dyDescent="0.25">
      <c r="A90">
        <v>0</v>
      </c>
      <c r="B90">
        <v>0</v>
      </c>
      <c r="C90">
        <v>0</v>
      </c>
      <c r="D90">
        <v>0</v>
      </c>
      <c r="E90">
        <v>0</v>
      </c>
      <c r="F90">
        <v>0</v>
      </c>
      <c r="G90">
        <v>0</v>
      </c>
      <c r="H90">
        <v>0</v>
      </c>
      <c r="I90">
        <v>0</v>
      </c>
      <c r="J90">
        <v>0</v>
      </c>
      <c r="L90">
        <v>0</v>
      </c>
      <c r="M90">
        <v>0</v>
      </c>
      <c r="N90">
        <v>0</v>
      </c>
      <c r="O90">
        <v>0</v>
      </c>
      <c r="P90">
        <v>0</v>
      </c>
      <c r="Q90">
        <v>0</v>
      </c>
      <c r="R90">
        <v>0</v>
      </c>
      <c r="S90">
        <v>0</v>
      </c>
      <c r="T90">
        <v>0</v>
      </c>
      <c r="U90">
        <v>0</v>
      </c>
      <c r="W90">
        <v>0</v>
      </c>
      <c r="X90">
        <v>0</v>
      </c>
      <c r="Y90">
        <v>0</v>
      </c>
      <c r="Z90">
        <v>0</v>
      </c>
      <c r="AA90">
        <v>0</v>
      </c>
      <c r="AB90">
        <v>0</v>
      </c>
      <c r="AC90">
        <v>0</v>
      </c>
      <c r="AD90">
        <v>0</v>
      </c>
      <c r="AE90">
        <v>0</v>
      </c>
      <c r="AF90">
        <v>0</v>
      </c>
      <c r="AH90" t="s">
        <v>695</v>
      </c>
      <c r="AI90" t="s">
        <v>1424</v>
      </c>
    </row>
    <row r="91" spans="1:35" x14ac:dyDescent="0.25">
      <c r="A91">
        <v>0</v>
      </c>
      <c r="B91">
        <v>0</v>
      </c>
      <c r="C91">
        <v>0</v>
      </c>
      <c r="D91">
        <v>0</v>
      </c>
      <c r="E91">
        <v>0</v>
      </c>
      <c r="F91">
        <v>0</v>
      </c>
      <c r="G91">
        <v>0</v>
      </c>
      <c r="H91">
        <v>0</v>
      </c>
      <c r="I91">
        <v>0</v>
      </c>
      <c r="J91">
        <v>0</v>
      </c>
      <c r="L91">
        <v>0</v>
      </c>
      <c r="M91">
        <v>0</v>
      </c>
      <c r="N91">
        <v>0</v>
      </c>
      <c r="O91">
        <v>0</v>
      </c>
      <c r="P91">
        <v>0</v>
      </c>
      <c r="Q91">
        <v>0</v>
      </c>
      <c r="R91">
        <v>0</v>
      </c>
      <c r="S91">
        <v>0</v>
      </c>
      <c r="T91">
        <v>0</v>
      </c>
      <c r="U91">
        <v>0</v>
      </c>
      <c r="W91">
        <v>0</v>
      </c>
      <c r="X91">
        <v>0</v>
      </c>
      <c r="Y91">
        <v>0</v>
      </c>
      <c r="Z91">
        <v>0</v>
      </c>
      <c r="AA91">
        <v>0</v>
      </c>
      <c r="AB91">
        <v>0</v>
      </c>
      <c r="AC91">
        <v>0</v>
      </c>
      <c r="AD91">
        <v>0</v>
      </c>
      <c r="AE91">
        <v>0</v>
      </c>
      <c r="AF91">
        <v>0</v>
      </c>
      <c r="AH91" t="s">
        <v>698</v>
      </c>
      <c r="AI91" t="s">
        <v>1429</v>
      </c>
    </row>
    <row r="92" spans="1:35" x14ac:dyDescent="0.25">
      <c r="A92">
        <v>-3.6943073399121212E-15</v>
      </c>
      <c r="B92">
        <v>1.6218910272784877E-15</v>
      </c>
      <c r="C92">
        <v>-6.6677742232560249E-15</v>
      </c>
      <c r="D92">
        <v>-1.621891027278494E-15</v>
      </c>
      <c r="E92">
        <v>2.8833618262728697E-15</v>
      </c>
      <c r="F92">
        <v>1.0297720808117282E-16</v>
      </c>
      <c r="G92">
        <v>0</v>
      </c>
      <c r="H92">
        <v>0</v>
      </c>
      <c r="I92">
        <v>0</v>
      </c>
      <c r="J92">
        <v>0</v>
      </c>
      <c r="L92">
        <v>-5.9605329162599766E-15</v>
      </c>
      <c r="M92">
        <v>2.5179809019184046E-15</v>
      </c>
      <c r="N92">
        <v>2.3881475116632371E-15</v>
      </c>
      <c r="O92">
        <v>-2.2189706698155948E-15</v>
      </c>
      <c r="P92">
        <v>2.5179809019184066E-15</v>
      </c>
      <c r="Q92">
        <v>-1.1842378929335E-15</v>
      </c>
      <c r="R92">
        <v>0</v>
      </c>
      <c r="S92">
        <v>0</v>
      </c>
      <c r="T92">
        <v>0</v>
      </c>
      <c r="U92">
        <v>0</v>
      </c>
      <c r="W92">
        <v>1.7763568394002587E-15</v>
      </c>
      <c r="X92">
        <v>0</v>
      </c>
      <c r="Y92">
        <v>0</v>
      </c>
      <c r="Z92">
        <v>0</v>
      </c>
      <c r="AA92">
        <v>0</v>
      </c>
      <c r="AB92">
        <v>0</v>
      </c>
      <c r="AC92">
        <v>-1.4654943925052022E-15</v>
      </c>
      <c r="AD92">
        <v>2.5165055224836776E-15</v>
      </c>
      <c r="AE92">
        <v>-2.9605947323338349E-16</v>
      </c>
      <c r="AF92">
        <v>5.329070518200764E-16</v>
      </c>
      <c r="AH92" t="s">
        <v>701</v>
      </c>
      <c r="AI92" t="s">
        <v>1435</v>
      </c>
    </row>
    <row r="93" spans="1:35" x14ac:dyDescent="0.25">
      <c r="A93">
        <v>0</v>
      </c>
      <c r="B93">
        <v>0</v>
      </c>
      <c r="C93">
        <v>0</v>
      </c>
      <c r="D93">
        <v>0</v>
      </c>
      <c r="E93">
        <v>0</v>
      </c>
      <c r="F93">
        <v>0</v>
      </c>
      <c r="G93">
        <v>0</v>
      </c>
      <c r="H93">
        <v>0</v>
      </c>
      <c r="I93">
        <v>0</v>
      </c>
      <c r="J93">
        <v>0</v>
      </c>
      <c r="L93">
        <v>0</v>
      </c>
      <c r="M93">
        <v>0</v>
      </c>
      <c r="N93">
        <v>0</v>
      </c>
      <c r="O93">
        <v>0</v>
      </c>
      <c r="P93">
        <v>0</v>
      </c>
      <c r="Q93">
        <v>0</v>
      </c>
      <c r="R93">
        <v>0</v>
      </c>
      <c r="S93">
        <v>0</v>
      </c>
      <c r="T93">
        <v>0</v>
      </c>
      <c r="U93">
        <v>0</v>
      </c>
      <c r="W93">
        <v>0</v>
      </c>
      <c r="X93">
        <v>0</v>
      </c>
      <c r="Y93">
        <v>0</v>
      </c>
      <c r="Z93">
        <v>0</v>
      </c>
      <c r="AA93">
        <v>0</v>
      </c>
      <c r="AB93">
        <v>0</v>
      </c>
      <c r="AC93">
        <v>0</v>
      </c>
      <c r="AD93">
        <v>0</v>
      </c>
      <c r="AE93">
        <v>0</v>
      </c>
      <c r="AF93">
        <v>0</v>
      </c>
      <c r="AH93" t="s">
        <v>705</v>
      </c>
      <c r="AI93" t="s">
        <v>1440</v>
      </c>
    </row>
    <row r="94" spans="1:35" x14ac:dyDescent="0.25">
      <c r="A94">
        <v>35</v>
      </c>
      <c r="B94">
        <v>31</v>
      </c>
      <c r="C94">
        <v>27.000000000000004</v>
      </c>
      <c r="D94">
        <v>23.000000000000004</v>
      </c>
      <c r="E94">
        <v>18.999999999999996</v>
      </c>
      <c r="F94">
        <v>15</v>
      </c>
      <c r="G94">
        <v>11</v>
      </c>
      <c r="H94">
        <v>7.0000000000000009</v>
      </c>
      <c r="I94">
        <v>0</v>
      </c>
      <c r="J94">
        <v>0</v>
      </c>
      <c r="L94">
        <v>45.000000000000021</v>
      </c>
      <c r="M94">
        <v>40.999999999999993</v>
      </c>
      <c r="N94">
        <v>36.999999999999993</v>
      </c>
      <c r="O94">
        <v>33.000000000000007</v>
      </c>
      <c r="P94">
        <v>28.999999999999989</v>
      </c>
      <c r="Q94">
        <v>25.000000000000004</v>
      </c>
      <c r="R94">
        <v>21.000000000000004</v>
      </c>
      <c r="S94">
        <v>16.999999999999975</v>
      </c>
      <c r="T94">
        <v>0</v>
      </c>
      <c r="U94">
        <v>0</v>
      </c>
      <c r="W94">
        <v>50</v>
      </c>
      <c r="X94">
        <v>45</v>
      </c>
      <c r="Y94">
        <v>40</v>
      </c>
      <c r="Z94">
        <v>35</v>
      </c>
      <c r="AA94">
        <v>30</v>
      </c>
      <c r="AB94">
        <v>25</v>
      </c>
      <c r="AC94">
        <v>20.166666666666671</v>
      </c>
      <c r="AD94">
        <v>15.333333333333325</v>
      </c>
      <c r="AE94">
        <v>10.5</v>
      </c>
      <c r="AF94">
        <v>5.6666666666666652</v>
      </c>
      <c r="AH94" t="s">
        <v>709</v>
      </c>
      <c r="AI94" t="s">
        <v>1444</v>
      </c>
    </row>
    <row r="95" spans="1:35" x14ac:dyDescent="0.25">
      <c r="A95">
        <v>-2.6387909570800849E-15</v>
      </c>
      <c r="B95">
        <v>1.1584935909132051E-15</v>
      </c>
      <c r="C95">
        <v>-4.7626958737543025E-15</v>
      </c>
      <c r="D95">
        <v>-1.1584935909132106E-15</v>
      </c>
      <c r="E95">
        <v>2.0595441616234785E-15</v>
      </c>
      <c r="F95">
        <v>0</v>
      </c>
      <c r="G95">
        <v>2.6645352591003756E-16</v>
      </c>
      <c r="H95">
        <v>3.1086244689504391E-16</v>
      </c>
      <c r="I95">
        <v>0</v>
      </c>
      <c r="J95">
        <v>0</v>
      </c>
      <c r="L95">
        <v>0</v>
      </c>
      <c r="M95">
        <v>0</v>
      </c>
      <c r="N95">
        <v>0</v>
      </c>
      <c r="O95">
        <v>0</v>
      </c>
      <c r="P95">
        <v>0</v>
      </c>
      <c r="Q95">
        <v>0</v>
      </c>
      <c r="R95">
        <v>5.9211894646677783E-16</v>
      </c>
      <c r="S95">
        <v>-3.2143599951052321E-15</v>
      </c>
      <c r="T95">
        <v>0</v>
      </c>
      <c r="U95">
        <v>0</v>
      </c>
      <c r="W95">
        <v>0</v>
      </c>
      <c r="X95">
        <v>-1.3534147347811494E-15</v>
      </c>
      <c r="Y95">
        <v>-3.383536836952846E-16</v>
      </c>
      <c r="Z95">
        <v>-1.8609452603240811E-15</v>
      </c>
      <c r="AA95">
        <v>-1.6917684184764262E-15</v>
      </c>
      <c r="AB95">
        <v>0</v>
      </c>
      <c r="AC95">
        <v>0</v>
      </c>
      <c r="AD95">
        <v>0</v>
      </c>
      <c r="AE95">
        <v>0</v>
      </c>
      <c r="AF95">
        <v>0</v>
      </c>
      <c r="AH95" t="s">
        <v>712</v>
      </c>
      <c r="AI95" t="s">
        <v>1446</v>
      </c>
    </row>
    <row r="96" spans="1:35" x14ac:dyDescent="0.25">
      <c r="A96">
        <v>45.000000000000007</v>
      </c>
      <c r="B96">
        <v>40.333333333333329</v>
      </c>
      <c r="C96">
        <v>35.666666666666686</v>
      </c>
      <c r="D96">
        <v>31.000000000000007</v>
      </c>
      <c r="E96">
        <v>26.333333333333321</v>
      </c>
      <c r="F96">
        <v>21.666666666666664</v>
      </c>
      <c r="G96">
        <v>17</v>
      </c>
      <c r="H96">
        <v>12.333333333333336</v>
      </c>
      <c r="I96">
        <v>0</v>
      </c>
      <c r="J96">
        <v>0</v>
      </c>
      <c r="L96">
        <v>55.000000000000043</v>
      </c>
      <c r="M96">
        <v>50.333333333333314</v>
      </c>
      <c r="N96">
        <v>45.66666666666665</v>
      </c>
      <c r="O96">
        <v>41.000000000000021</v>
      </c>
      <c r="P96">
        <v>36.333333333333314</v>
      </c>
      <c r="Q96">
        <v>31.666666666666675</v>
      </c>
      <c r="R96">
        <v>27.000000000000007</v>
      </c>
      <c r="S96">
        <v>22.333333333333304</v>
      </c>
      <c r="T96">
        <v>0</v>
      </c>
      <c r="U96">
        <v>0</v>
      </c>
      <c r="W96">
        <v>59.999999999999986</v>
      </c>
      <c r="X96">
        <v>54.999999999999993</v>
      </c>
      <c r="Y96">
        <v>50</v>
      </c>
      <c r="Z96">
        <v>44.999999999999986</v>
      </c>
      <c r="AA96">
        <v>39.999999999999986</v>
      </c>
      <c r="AB96">
        <v>35</v>
      </c>
      <c r="AC96">
        <v>28.833333333333343</v>
      </c>
      <c r="AD96">
        <v>22.66666666666665</v>
      </c>
      <c r="AE96">
        <v>16.5</v>
      </c>
      <c r="AF96">
        <v>10.33333333333333</v>
      </c>
      <c r="AH96" t="s">
        <v>254</v>
      </c>
      <c r="AI96" s="60" t="s">
        <v>1450</v>
      </c>
    </row>
    <row r="97" spans="1:35" x14ac:dyDescent="0.25">
      <c r="A97">
        <v>9.9999999999999982</v>
      </c>
      <c r="B97">
        <v>9.3333333333333339</v>
      </c>
      <c r="C97">
        <v>8.6666666666666643</v>
      </c>
      <c r="D97">
        <v>7.9999999999999982</v>
      </c>
      <c r="E97">
        <v>7.3333333333333339</v>
      </c>
      <c r="F97">
        <v>6.6666666666666661</v>
      </c>
      <c r="G97">
        <v>6</v>
      </c>
      <c r="H97">
        <v>5.333333333333333</v>
      </c>
      <c r="I97">
        <v>0</v>
      </c>
      <c r="J97">
        <v>0</v>
      </c>
      <c r="L97">
        <v>10.000000000000014</v>
      </c>
      <c r="M97">
        <v>9.3333333333333268</v>
      </c>
      <c r="N97">
        <v>8.6666666666666607</v>
      </c>
      <c r="O97">
        <v>8.0000000000000053</v>
      </c>
      <c r="P97">
        <v>7.3333333333333277</v>
      </c>
      <c r="Q97">
        <v>6.6666666666666705</v>
      </c>
      <c r="R97">
        <v>6.0000000000000009</v>
      </c>
      <c r="S97">
        <v>5.3333333333333339</v>
      </c>
      <c r="T97">
        <v>0</v>
      </c>
      <c r="U97">
        <v>0</v>
      </c>
      <c r="W97">
        <v>9.9999999999999929</v>
      </c>
      <c r="X97">
        <v>9.9999999999999929</v>
      </c>
      <c r="Y97">
        <v>9.9999999999999982</v>
      </c>
      <c r="Z97">
        <v>9.9999999999999911</v>
      </c>
      <c r="AA97">
        <v>9.9999999999999911</v>
      </c>
      <c r="AB97">
        <v>10</v>
      </c>
      <c r="AC97">
        <v>8.6666666666666696</v>
      </c>
      <c r="AD97">
        <v>7.3333333333333295</v>
      </c>
      <c r="AE97">
        <v>6.0000000000000009</v>
      </c>
      <c r="AF97">
        <v>4.6666666666666661</v>
      </c>
      <c r="AH97" t="s">
        <v>718</v>
      </c>
      <c r="AI97" s="73" t="s">
        <v>1453</v>
      </c>
    </row>
    <row r="98" spans="1:35" x14ac:dyDescent="0.25">
      <c r="A98">
        <v>0</v>
      </c>
      <c r="B98">
        <v>0</v>
      </c>
      <c r="C98">
        <v>0</v>
      </c>
      <c r="D98">
        <v>0</v>
      </c>
      <c r="E98">
        <v>0</v>
      </c>
      <c r="F98">
        <v>0</v>
      </c>
      <c r="G98">
        <v>0</v>
      </c>
      <c r="H98">
        <v>0</v>
      </c>
      <c r="I98">
        <v>0</v>
      </c>
      <c r="J98">
        <v>0</v>
      </c>
      <c r="L98">
        <v>0</v>
      </c>
      <c r="M98">
        <v>0</v>
      </c>
      <c r="N98">
        <v>0</v>
      </c>
      <c r="O98">
        <v>0</v>
      </c>
      <c r="P98">
        <v>0</v>
      </c>
      <c r="Q98">
        <v>0</v>
      </c>
      <c r="R98">
        <v>0</v>
      </c>
      <c r="S98">
        <v>0</v>
      </c>
      <c r="T98">
        <v>0</v>
      </c>
      <c r="U98">
        <v>0</v>
      </c>
      <c r="W98">
        <v>0</v>
      </c>
      <c r="X98">
        <v>0</v>
      </c>
      <c r="Y98">
        <v>0</v>
      </c>
      <c r="Z98">
        <v>0</v>
      </c>
      <c r="AA98">
        <v>0</v>
      </c>
      <c r="AB98">
        <v>0</v>
      </c>
      <c r="AC98">
        <v>0</v>
      </c>
      <c r="AD98">
        <v>0</v>
      </c>
      <c r="AE98">
        <v>0</v>
      </c>
      <c r="AF98">
        <v>0</v>
      </c>
      <c r="AH98" t="s">
        <v>722</v>
      </c>
      <c r="AI98" s="60" t="s">
        <v>1456</v>
      </c>
    </row>
    <row r="99" spans="1:35" x14ac:dyDescent="0.25">
      <c r="A99">
        <v>2.6387909570800939E-15</v>
      </c>
      <c r="B99">
        <v>-1.1584935909131988E-15</v>
      </c>
      <c r="C99">
        <v>4.7626958737543001E-15</v>
      </c>
      <c r="D99">
        <v>1.1584935909132084E-15</v>
      </c>
      <c r="E99">
        <v>-2.0595441616234789E-15</v>
      </c>
      <c r="F99">
        <v>-2.5744302020293402E-16</v>
      </c>
      <c r="G99">
        <v>6.6613381477509402E-16</v>
      </c>
      <c r="H99">
        <v>7.7715611723760968E-16</v>
      </c>
      <c r="I99">
        <v>0</v>
      </c>
      <c r="J99">
        <v>0</v>
      </c>
      <c r="L99">
        <v>2.1558981989814085E-14</v>
      </c>
      <c r="M99">
        <v>-9.4424283821940211E-15</v>
      </c>
      <c r="N99">
        <v>-8.9555531687371453E-15</v>
      </c>
      <c r="O99">
        <v>8.3211400118084803E-15</v>
      </c>
      <c r="P99">
        <v>-9.4424283821940275E-15</v>
      </c>
      <c r="Q99">
        <v>4.4408920985006254E-15</v>
      </c>
      <c r="R99">
        <v>0</v>
      </c>
      <c r="S99">
        <v>0</v>
      </c>
      <c r="T99">
        <v>0</v>
      </c>
      <c r="U99">
        <v>0</v>
      </c>
      <c r="W99">
        <v>0</v>
      </c>
      <c r="X99">
        <v>0</v>
      </c>
      <c r="Y99">
        <v>0</v>
      </c>
      <c r="Z99">
        <v>0</v>
      </c>
      <c r="AA99">
        <v>0</v>
      </c>
      <c r="AB99">
        <v>0</v>
      </c>
      <c r="AC99">
        <v>0.66666666666666541</v>
      </c>
      <c r="AD99">
        <v>1.3333333333333353</v>
      </c>
      <c r="AE99">
        <v>1.9999999999999996</v>
      </c>
      <c r="AF99">
        <v>2.666666666666667</v>
      </c>
      <c r="AH99" t="s">
        <v>726</v>
      </c>
      <c r="AI99" t="s">
        <v>1461</v>
      </c>
    </row>
    <row r="100" spans="1:35" x14ac:dyDescent="0.25">
      <c r="A100">
        <v>2.6387909570800939E-15</v>
      </c>
      <c r="B100">
        <v>-1.1584935909131988E-15</v>
      </c>
      <c r="C100">
        <v>4.7626958737543001E-15</v>
      </c>
      <c r="D100">
        <v>1.1584935909132084E-15</v>
      </c>
      <c r="E100">
        <v>-2.0595441616234789E-15</v>
      </c>
      <c r="F100">
        <v>-2.5744302020293402E-16</v>
      </c>
      <c r="G100">
        <v>6.6613381477509402E-16</v>
      </c>
      <c r="H100">
        <v>7.7715611723760968E-16</v>
      </c>
      <c r="I100">
        <v>0</v>
      </c>
      <c r="J100">
        <v>0</v>
      </c>
      <c r="L100">
        <v>2.1558981989814085E-14</v>
      </c>
      <c r="M100">
        <v>-9.4424283821940211E-15</v>
      </c>
      <c r="N100">
        <v>-8.9555531687371453E-15</v>
      </c>
      <c r="O100">
        <v>8.3211400118084803E-15</v>
      </c>
      <c r="P100">
        <v>-9.4424283821940275E-15</v>
      </c>
      <c r="Q100">
        <v>4.4408920985006254E-15</v>
      </c>
      <c r="R100">
        <v>0</v>
      </c>
      <c r="S100">
        <v>0</v>
      </c>
      <c r="T100">
        <v>0</v>
      </c>
      <c r="U100">
        <v>0</v>
      </c>
      <c r="W100">
        <v>0</v>
      </c>
      <c r="X100">
        <v>0</v>
      </c>
      <c r="Y100">
        <v>0</v>
      </c>
      <c r="Z100">
        <v>0</v>
      </c>
      <c r="AA100">
        <v>0</v>
      </c>
      <c r="AB100">
        <v>0</v>
      </c>
      <c r="AC100">
        <v>0.66666666666666541</v>
      </c>
      <c r="AD100">
        <v>1.3333333333333353</v>
      </c>
      <c r="AE100">
        <v>1.9999999999999996</v>
      </c>
      <c r="AF100">
        <v>2.666666666666667</v>
      </c>
      <c r="AH100" t="s">
        <v>729</v>
      </c>
      <c r="AI100" t="s">
        <v>1465</v>
      </c>
    </row>
    <row r="101" spans="1:35" x14ac:dyDescent="0.25">
      <c r="A101">
        <v>0</v>
      </c>
      <c r="B101">
        <v>0</v>
      </c>
      <c r="C101">
        <v>0</v>
      </c>
      <c r="D101">
        <v>0</v>
      </c>
      <c r="E101">
        <v>0</v>
      </c>
      <c r="F101">
        <v>0</v>
      </c>
      <c r="G101">
        <v>0</v>
      </c>
      <c r="H101">
        <v>0</v>
      </c>
      <c r="I101">
        <v>0</v>
      </c>
      <c r="J101">
        <v>0</v>
      </c>
      <c r="L101">
        <v>0</v>
      </c>
      <c r="M101">
        <v>0</v>
      </c>
      <c r="N101">
        <v>0</v>
      </c>
      <c r="O101">
        <v>0</v>
      </c>
      <c r="P101">
        <v>0</v>
      </c>
      <c r="Q101">
        <v>0</v>
      </c>
      <c r="R101">
        <v>0</v>
      </c>
      <c r="S101">
        <v>0</v>
      </c>
      <c r="T101">
        <v>0</v>
      </c>
      <c r="U101">
        <v>0</v>
      </c>
      <c r="W101">
        <v>0</v>
      </c>
      <c r="X101">
        <v>0</v>
      </c>
      <c r="Y101">
        <v>0</v>
      </c>
      <c r="Z101">
        <v>0</v>
      </c>
      <c r="AA101">
        <v>0</v>
      </c>
      <c r="AB101">
        <v>0</v>
      </c>
      <c r="AC101">
        <v>0</v>
      </c>
      <c r="AD101">
        <v>0</v>
      </c>
      <c r="AE101">
        <v>0</v>
      </c>
      <c r="AF101">
        <v>0</v>
      </c>
      <c r="AH101" t="s">
        <v>733</v>
      </c>
      <c r="AI101" t="s">
        <v>1469</v>
      </c>
    </row>
    <row r="102" spans="1:35" x14ac:dyDescent="0.25">
      <c r="A102">
        <v>0</v>
      </c>
      <c r="B102">
        <v>0</v>
      </c>
      <c r="C102">
        <v>0</v>
      </c>
      <c r="D102">
        <v>0</v>
      </c>
      <c r="E102">
        <v>0</v>
      </c>
      <c r="F102">
        <v>0</v>
      </c>
      <c r="G102">
        <v>0</v>
      </c>
      <c r="H102">
        <v>0</v>
      </c>
      <c r="I102">
        <v>0</v>
      </c>
      <c r="J102">
        <v>0</v>
      </c>
      <c r="L102">
        <v>0</v>
      </c>
      <c r="M102">
        <v>0</v>
      </c>
      <c r="N102">
        <v>0</v>
      </c>
      <c r="O102">
        <v>0</v>
      </c>
      <c r="P102">
        <v>0</v>
      </c>
      <c r="Q102">
        <v>0</v>
      </c>
      <c r="R102">
        <v>0</v>
      </c>
      <c r="S102">
        <v>0</v>
      </c>
      <c r="T102">
        <v>0</v>
      </c>
      <c r="U102">
        <v>0</v>
      </c>
      <c r="W102">
        <v>0</v>
      </c>
      <c r="X102">
        <v>0</v>
      </c>
      <c r="Y102">
        <v>0</v>
      </c>
      <c r="Z102">
        <v>0</v>
      </c>
      <c r="AA102">
        <v>0</v>
      </c>
      <c r="AB102">
        <v>0</v>
      </c>
      <c r="AC102">
        <v>0</v>
      </c>
      <c r="AD102">
        <v>0</v>
      </c>
      <c r="AE102">
        <v>0</v>
      </c>
      <c r="AF102">
        <v>0</v>
      </c>
      <c r="AH102" t="s">
        <v>737</v>
      </c>
      <c r="AI102" t="s">
        <v>1473</v>
      </c>
    </row>
    <row r="103" spans="1:35" x14ac:dyDescent="0.25">
      <c r="A103">
        <v>0</v>
      </c>
      <c r="B103">
        <v>0</v>
      </c>
      <c r="C103">
        <v>0</v>
      </c>
      <c r="D103">
        <v>0</v>
      </c>
      <c r="E103">
        <v>0</v>
      </c>
      <c r="F103">
        <v>0</v>
      </c>
      <c r="G103">
        <v>0</v>
      </c>
      <c r="H103">
        <v>0</v>
      </c>
      <c r="I103">
        <v>0</v>
      </c>
      <c r="J103">
        <v>0</v>
      </c>
      <c r="L103">
        <v>0</v>
      </c>
      <c r="M103">
        <v>0</v>
      </c>
      <c r="N103">
        <v>0</v>
      </c>
      <c r="O103">
        <v>0</v>
      </c>
      <c r="P103">
        <v>0</v>
      </c>
      <c r="Q103">
        <v>0</v>
      </c>
      <c r="R103">
        <v>0</v>
      </c>
      <c r="S103">
        <v>0</v>
      </c>
      <c r="T103">
        <v>0</v>
      </c>
      <c r="U103">
        <v>0</v>
      </c>
      <c r="W103">
        <v>0</v>
      </c>
      <c r="X103">
        <v>0</v>
      </c>
      <c r="Y103">
        <v>0</v>
      </c>
      <c r="Z103">
        <v>0</v>
      </c>
      <c r="AA103">
        <v>0</v>
      </c>
      <c r="AB103">
        <v>0</v>
      </c>
      <c r="AC103">
        <v>0</v>
      </c>
      <c r="AD103">
        <v>0</v>
      </c>
      <c r="AE103">
        <v>0</v>
      </c>
      <c r="AF103">
        <v>0</v>
      </c>
      <c r="AH103" t="s">
        <v>741</v>
      </c>
      <c r="AI103" t="s">
        <v>1476</v>
      </c>
    </row>
    <row r="104" spans="1:35" x14ac:dyDescent="0.25">
      <c r="A104">
        <v>-6.3108872417680944E-30</v>
      </c>
      <c r="B104">
        <v>-7.8886090522101181E-30</v>
      </c>
      <c r="C104">
        <v>0</v>
      </c>
      <c r="D104">
        <v>0</v>
      </c>
      <c r="E104">
        <v>0</v>
      </c>
      <c r="F104">
        <v>4.7331654313260708E-30</v>
      </c>
      <c r="G104">
        <v>0</v>
      </c>
      <c r="H104">
        <v>0</v>
      </c>
      <c r="I104">
        <v>0</v>
      </c>
      <c r="J104">
        <v>0</v>
      </c>
      <c r="L104">
        <v>0</v>
      </c>
      <c r="M104">
        <v>0</v>
      </c>
      <c r="N104">
        <v>0</v>
      </c>
      <c r="O104">
        <v>0</v>
      </c>
      <c r="P104">
        <v>0</v>
      </c>
      <c r="Q104">
        <v>0</v>
      </c>
      <c r="R104">
        <v>0</v>
      </c>
      <c r="S104">
        <v>0</v>
      </c>
      <c r="T104">
        <v>0</v>
      </c>
      <c r="U104">
        <v>0</v>
      </c>
      <c r="W104">
        <v>0</v>
      </c>
      <c r="X104">
        <v>0</v>
      </c>
      <c r="Y104">
        <v>0</v>
      </c>
      <c r="Z104">
        <v>0</v>
      </c>
      <c r="AA104">
        <v>0</v>
      </c>
      <c r="AB104">
        <v>0</v>
      </c>
      <c r="AC104">
        <v>0</v>
      </c>
      <c r="AD104">
        <v>0</v>
      </c>
      <c r="AE104">
        <v>0</v>
      </c>
      <c r="AF104">
        <v>0</v>
      </c>
      <c r="AH104" t="s">
        <v>746</v>
      </c>
      <c r="AI104" t="s">
        <v>1480</v>
      </c>
    </row>
    <row r="105" spans="1:35" x14ac:dyDescent="0.25">
      <c r="A105">
        <v>10</v>
      </c>
      <c r="B105">
        <v>10</v>
      </c>
      <c r="C105">
        <v>10</v>
      </c>
      <c r="D105">
        <v>10</v>
      </c>
      <c r="E105">
        <v>10</v>
      </c>
      <c r="F105">
        <v>10</v>
      </c>
      <c r="G105">
        <v>10</v>
      </c>
      <c r="H105">
        <v>10</v>
      </c>
      <c r="I105">
        <v>0</v>
      </c>
      <c r="J105">
        <v>0</v>
      </c>
      <c r="L105">
        <v>10</v>
      </c>
      <c r="M105">
        <v>10</v>
      </c>
      <c r="N105">
        <v>10</v>
      </c>
      <c r="O105">
        <v>10</v>
      </c>
      <c r="P105">
        <v>10</v>
      </c>
      <c r="Q105">
        <v>10</v>
      </c>
      <c r="R105">
        <v>10</v>
      </c>
      <c r="S105">
        <v>10</v>
      </c>
      <c r="T105">
        <v>0</v>
      </c>
      <c r="U105">
        <v>0</v>
      </c>
      <c r="W105">
        <v>10</v>
      </c>
      <c r="X105">
        <v>10</v>
      </c>
      <c r="Y105">
        <v>10</v>
      </c>
      <c r="Z105">
        <v>10</v>
      </c>
      <c r="AA105">
        <v>10</v>
      </c>
      <c r="AB105">
        <v>10</v>
      </c>
      <c r="AC105">
        <v>10</v>
      </c>
      <c r="AD105">
        <v>10</v>
      </c>
      <c r="AE105">
        <v>10</v>
      </c>
      <c r="AF105">
        <v>10</v>
      </c>
      <c r="AH105" t="s">
        <v>751</v>
      </c>
      <c r="AI105" t="s">
        <v>1507</v>
      </c>
    </row>
    <row r="106" spans="1:35" x14ac:dyDescent="0.25">
      <c r="A106">
        <v>-20</v>
      </c>
      <c r="B106">
        <v>-18.666666666666671</v>
      </c>
      <c r="C106">
        <v>-17.333333333333332</v>
      </c>
      <c r="D106">
        <v>-16</v>
      </c>
      <c r="E106">
        <v>-14.666666666666668</v>
      </c>
      <c r="F106">
        <v>-13.333333333333334</v>
      </c>
      <c r="G106">
        <v>-11.999999999999996</v>
      </c>
      <c r="H106">
        <v>-10.666666666666663</v>
      </c>
      <c r="I106">
        <v>0</v>
      </c>
      <c r="J106">
        <v>0</v>
      </c>
      <c r="L106">
        <v>-19.999999999999993</v>
      </c>
      <c r="M106">
        <v>-18.666666666666664</v>
      </c>
      <c r="N106">
        <v>-17.333333333333336</v>
      </c>
      <c r="O106">
        <v>-15.999999999999996</v>
      </c>
      <c r="P106">
        <v>-14.666666666666666</v>
      </c>
      <c r="Q106">
        <v>-13.33333333333333</v>
      </c>
      <c r="R106">
        <v>-11.999999999999996</v>
      </c>
      <c r="S106">
        <v>-10.666666666666677</v>
      </c>
      <c r="T106">
        <v>0</v>
      </c>
      <c r="U106">
        <v>0</v>
      </c>
      <c r="W106">
        <v>-20.000000000000014</v>
      </c>
      <c r="X106">
        <v>-18.000000000000007</v>
      </c>
      <c r="Y106">
        <v>-15.999999999999996</v>
      </c>
      <c r="Z106">
        <v>-14.000000000000018</v>
      </c>
      <c r="AA106">
        <v>-12.000000000000014</v>
      </c>
      <c r="AB106">
        <v>-10</v>
      </c>
      <c r="AC106">
        <v>-9.3333333333333304</v>
      </c>
      <c r="AD106">
        <v>-8.6666666666666679</v>
      </c>
      <c r="AE106">
        <v>-8</v>
      </c>
      <c r="AF106">
        <v>-7.3333333333333339</v>
      </c>
      <c r="AH106" t="s">
        <v>756</v>
      </c>
      <c r="AI106" t="s">
        <v>1508</v>
      </c>
    </row>
    <row r="107" spans="1:35" x14ac:dyDescent="0.25">
      <c r="A107">
        <v>1.5987211554602254E-14</v>
      </c>
      <c r="B107">
        <v>7.1054273576010019E-15</v>
      </c>
      <c r="C107">
        <v>-3.5527136788005009E-15</v>
      </c>
      <c r="D107">
        <v>8.8817841970012523E-15</v>
      </c>
      <c r="E107">
        <v>1.7763568394002505E-15</v>
      </c>
      <c r="F107">
        <v>0</v>
      </c>
      <c r="G107">
        <v>-1.7763568394002505E-15</v>
      </c>
      <c r="H107">
        <v>-5.3290705182007514E-15</v>
      </c>
      <c r="I107">
        <v>0</v>
      </c>
      <c r="J107">
        <v>0</v>
      </c>
      <c r="L107">
        <v>-8.2488464195072859E-15</v>
      </c>
      <c r="M107">
        <v>1.557939208918899E-14</v>
      </c>
      <c r="N107">
        <v>1.4935880759079589E-14</v>
      </c>
      <c r="O107">
        <v>-2.4370133080239542E-14</v>
      </c>
      <c r="P107">
        <v>1.0305832722219512E-14</v>
      </c>
      <c r="Q107">
        <v>-1.0311857188244612E-14</v>
      </c>
      <c r="R107">
        <v>3.9079850466804867E-15</v>
      </c>
      <c r="S107">
        <v>1.5733446291830639E-15</v>
      </c>
      <c r="T107">
        <v>0</v>
      </c>
      <c r="U107">
        <v>0</v>
      </c>
      <c r="W107">
        <v>4.9027448767446903E-14</v>
      </c>
      <c r="X107">
        <v>-2.0000000000000102</v>
      </c>
      <c r="Y107">
        <v>-3.9999999999999711</v>
      </c>
      <c r="Z107">
        <v>-5.9999999999999725</v>
      </c>
      <c r="AA107">
        <v>-7.9999999999999725</v>
      </c>
      <c r="AB107">
        <v>-10</v>
      </c>
      <c r="AC107">
        <v>-10.000000000000016</v>
      </c>
      <c r="AD107">
        <v>-9.9999999999999911</v>
      </c>
      <c r="AE107">
        <v>-10.000000000000005</v>
      </c>
      <c r="AF107">
        <v>-10</v>
      </c>
      <c r="AH107" t="s">
        <v>760</v>
      </c>
      <c r="AI107" t="s">
        <v>1509</v>
      </c>
    </row>
    <row r="108" spans="1:35" x14ac:dyDescent="0.25">
      <c r="A108">
        <v>20</v>
      </c>
      <c r="B108">
        <v>19</v>
      </c>
      <c r="C108">
        <v>18</v>
      </c>
      <c r="D108">
        <v>17</v>
      </c>
      <c r="E108">
        <v>16</v>
      </c>
      <c r="F108">
        <v>15</v>
      </c>
      <c r="G108">
        <v>14</v>
      </c>
      <c r="H108">
        <v>13</v>
      </c>
      <c r="I108">
        <v>0</v>
      </c>
      <c r="J108">
        <v>0</v>
      </c>
      <c r="L108">
        <v>20</v>
      </c>
      <c r="M108">
        <v>19</v>
      </c>
      <c r="N108">
        <v>18</v>
      </c>
      <c r="O108">
        <v>17</v>
      </c>
      <c r="P108">
        <v>16</v>
      </c>
      <c r="Q108">
        <v>15</v>
      </c>
      <c r="R108">
        <v>14</v>
      </c>
      <c r="S108">
        <v>13</v>
      </c>
      <c r="T108">
        <v>0</v>
      </c>
      <c r="U108">
        <v>0</v>
      </c>
      <c r="W108">
        <v>20</v>
      </c>
      <c r="X108">
        <v>19</v>
      </c>
      <c r="Y108">
        <v>18</v>
      </c>
      <c r="Z108">
        <v>17</v>
      </c>
      <c r="AA108">
        <v>16</v>
      </c>
      <c r="AB108">
        <v>15</v>
      </c>
      <c r="AC108">
        <v>14</v>
      </c>
      <c r="AD108">
        <v>13</v>
      </c>
      <c r="AE108">
        <v>12</v>
      </c>
      <c r="AF108">
        <v>11</v>
      </c>
      <c r="AH108" t="s">
        <v>765</v>
      </c>
      <c r="AI108" t="s">
        <v>1510</v>
      </c>
    </row>
    <row r="109" spans="1:35" x14ac:dyDescent="0.25">
      <c r="A109">
        <v>1.7763568394002505E-15</v>
      </c>
      <c r="B109">
        <v>0.66666666666666607</v>
      </c>
      <c r="C109">
        <v>1.3333333333333357</v>
      </c>
      <c r="D109">
        <v>2.0000000000000009</v>
      </c>
      <c r="E109">
        <v>2.6666666666666652</v>
      </c>
      <c r="F109">
        <v>3.333333333333333</v>
      </c>
      <c r="G109">
        <v>4</v>
      </c>
      <c r="H109">
        <v>4.666666666666667</v>
      </c>
      <c r="I109">
        <v>0</v>
      </c>
      <c r="J109">
        <v>0</v>
      </c>
      <c r="L109">
        <v>0</v>
      </c>
      <c r="M109">
        <v>0.66666666666666607</v>
      </c>
      <c r="N109">
        <v>1.3333333333333339</v>
      </c>
      <c r="O109">
        <v>2</v>
      </c>
      <c r="P109">
        <v>2.6666666666666661</v>
      </c>
      <c r="Q109">
        <v>3.3333333333333321</v>
      </c>
      <c r="R109">
        <v>4.0000000000000027</v>
      </c>
      <c r="S109">
        <v>4.6666666666666501</v>
      </c>
      <c r="T109">
        <v>0</v>
      </c>
      <c r="U109">
        <v>0</v>
      </c>
      <c r="W109">
        <v>0</v>
      </c>
      <c r="X109">
        <v>0</v>
      </c>
      <c r="Y109">
        <v>0</v>
      </c>
      <c r="Z109">
        <v>0</v>
      </c>
      <c r="AA109">
        <v>0</v>
      </c>
      <c r="AB109">
        <v>0</v>
      </c>
      <c r="AC109">
        <v>0</v>
      </c>
      <c r="AD109">
        <v>0</v>
      </c>
      <c r="AE109">
        <v>0</v>
      </c>
      <c r="AF109">
        <v>0</v>
      </c>
      <c r="AH109" t="s">
        <v>770</v>
      </c>
      <c r="AI109" t="s">
        <v>1511</v>
      </c>
    </row>
    <row r="110" spans="1:35" x14ac:dyDescent="0.25">
      <c r="A110">
        <v>0</v>
      </c>
      <c r="B110">
        <v>0</v>
      </c>
      <c r="C110">
        <v>0</v>
      </c>
      <c r="D110">
        <v>0</v>
      </c>
      <c r="E110">
        <v>0</v>
      </c>
      <c r="F110">
        <v>0</v>
      </c>
      <c r="G110">
        <v>0</v>
      </c>
      <c r="H110">
        <v>0</v>
      </c>
      <c r="I110">
        <v>0</v>
      </c>
      <c r="J110">
        <v>0</v>
      </c>
      <c r="L110">
        <v>0</v>
      </c>
      <c r="M110">
        <v>0</v>
      </c>
      <c r="N110">
        <v>0</v>
      </c>
      <c r="O110">
        <v>0</v>
      </c>
      <c r="P110">
        <v>0</v>
      </c>
      <c r="Q110">
        <v>0</v>
      </c>
      <c r="R110">
        <v>0</v>
      </c>
      <c r="S110">
        <v>0</v>
      </c>
      <c r="T110">
        <v>0</v>
      </c>
      <c r="U110">
        <v>0</v>
      </c>
      <c r="W110">
        <v>-2.060573933704282E-14</v>
      </c>
      <c r="X110">
        <v>1.9999999999999798</v>
      </c>
      <c r="Y110">
        <v>3.9999999999999964</v>
      </c>
      <c r="Z110">
        <v>5.9999999999999725</v>
      </c>
      <c r="AA110">
        <v>7.999999999999976</v>
      </c>
      <c r="AB110">
        <v>10</v>
      </c>
      <c r="AC110">
        <v>9.3333333333333339</v>
      </c>
      <c r="AD110">
        <v>8.6666666666666643</v>
      </c>
      <c r="AE110">
        <v>8</v>
      </c>
      <c r="AF110">
        <v>7.333333333333333</v>
      </c>
      <c r="AH110" t="s">
        <v>774</v>
      </c>
      <c r="AI110" t="s">
        <v>1512</v>
      </c>
    </row>
    <row r="111" spans="1:35" x14ac:dyDescent="0.25">
      <c r="A111">
        <v>0</v>
      </c>
      <c r="B111">
        <v>0</v>
      </c>
      <c r="C111">
        <v>0</v>
      </c>
      <c r="D111">
        <v>0</v>
      </c>
      <c r="E111">
        <v>0</v>
      </c>
      <c r="F111">
        <v>0</v>
      </c>
      <c r="G111">
        <v>0</v>
      </c>
      <c r="H111">
        <v>0</v>
      </c>
      <c r="I111">
        <v>0</v>
      </c>
      <c r="J111">
        <v>0</v>
      </c>
      <c r="L111">
        <v>0</v>
      </c>
      <c r="M111">
        <v>0</v>
      </c>
      <c r="N111">
        <v>0</v>
      </c>
      <c r="O111">
        <v>0</v>
      </c>
      <c r="P111">
        <v>0</v>
      </c>
      <c r="Q111">
        <v>0</v>
      </c>
      <c r="R111">
        <v>0</v>
      </c>
      <c r="S111">
        <v>0</v>
      </c>
      <c r="T111">
        <v>0</v>
      </c>
      <c r="U111">
        <v>0</v>
      </c>
      <c r="W111">
        <v>0</v>
      </c>
      <c r="X111">
        <v>0</v>
      </c>
      <c r="Y111">
        <v>0</v>
      </c>
      <c r="Z111">
        <v>0</v>
      </c>
      <c r="AA111">
        <v>0</v>
      </c>
      <c r="AB111">
        <v>0</v>
      </c>
      <c r="AC111">
        <v>0</v>
      </c>
      <c r="AD111">
        <v>0</v>
      </c>
      <c r="AE111">
        <v>0</v>
      </c>
      <c r="AF111">
        <v>0</v>
      </c>
      <c r="AH111" t="s">
        <v>778</v>
      </c>
      <c r="AI111" t="s">
        <v>1513</v>
      </c>
    </row>
    <row r="112" spans="1:35" x14ac:dyDescent="0.25">
      <c r="A112">
        <v>0</v>
      </c>
      <c r="B112">
        <v>0</v>
      </c>
      <c r="C112">
        <v>0</v>
      </c>
      <c r="D112">
        <v>0</v>
      </c>
      <c r="E112">
        <v>0</v>
      </c>
      <c r="F112">
        <v>0</v>
      </c>
      <c r="G112">
        <v>0</v>
      </c>
      <c r="H112">
        <v>0</v>
      </c>
      <c r="I112">
        <v>0</v>
      </c>
      <c r="J112">
        <v>0</v>
      </c>
      <c r="L112">
        <v>0</v>
      </c>
      <c r="M112">
        <v>0</v>
      </c>
      <c r="N112">
        <v>0</v>
      </c>
      <c r="O112">
        <v>0</v>
      </c>
      <c r="P112">
        <v>0</v>
      </c>
      <c r="Q112">
        <v>0</v>
      </c>
      <c r="R112">
        <v>0</v>
      </c>
      <c r="S112">
        <v>0</v>
      </c>
      <c r="T112">
        <v>0</v>
      </c>
      <c r="U112">
        <v>0</v>
      </c>
      <c r="W112">
        <v>0</v>
      </c>
      <c r="X112">
        <v>0</v>
      </c>
      <c r="Y112">
        <v>0</v>
      </c>
      <c r="Z112">
        <v>0</v>
      </c>
      <c r="AA112">
        <v>0</v>
      </c>
      <c r="AB112">
        <v>0</v>
      </c>
      <c r="AC112">
        <v>0</v>
      </c>
      <c r="AD112">
        <v>0</v>
      </c>
      <c r="AE112">
        <v>0</v>
      </c>
      <c r="AF112">
        <v>0</v>
      </c>
      <c r="AH112" t="s">
        <v>781</v>
      </c>
      <c r="AI112" t="s">
        <v>1514</v>
      </c>
    </row>
    <row r="113" spans="1:35" x14ac:dyDescent="0.25">
      <c r="A113">
        <v>0</v>
      </c>
      <c r="B113">
        <v>0</v>
      </c>
      <c r="C113">
        <v>0</v>
      </c>
      <c r="D113">
        <v>0</v>
      </c>
      <c r="E113">
        <v>0</v>
      </c>
      <c r="F113">
        <v>0</v>
      </c>
      <c r="G113">
        <v>0</v>
      </c>
      <c r="H113">
        <v>0</v>
      </c>
      <c r="I113">
        <v>0</v>
      </c>
      <c r="J113">
        <v>0</v>
      </c>
      <c r="L113">
        <v>0</v>
      </c>
      <c r="M113">
        <v>0</v>
      </c>
      <c r="N113">
        <v>0</v>
      </c>
      <c r="O113">
        <v>0</v>
      </c>
      <c r="P113">
        <v>0</v>
      </c>
      <c r="Q113">
        <v>0</v>
      </c>
      <c r="R113">
        <v>0</v>
      </c>
      <c r="S113">
        <v>0</v>
      </c>
      <c r="T113">
        <v>0</v>
      </c>
      <c r="U113">
        <v>0</v>
      </c>
      <c r="W113">
        <v>0</v>
      </c>
      <c r="X113">
        <v>0</v>
      </c>
      <c r="Y113">
        <v>0</v>
      </c>
      <c r="Z113">
        <v>0</v>
      </c>
      <c r="AA113">
        <v>0</v>
      </c>
      <c r="AB113">
        <v>0</v>
      </c>
      <c r="AC113">
        <v>0</v>
      </c>
      <c r="AD113">
        <v>0</v>
      </c>
      <c r="AE113">
        <v>0</v>
      </c>
      <c r="AF113">
        <v>0</v>
      </c>
      <c r="AH113" t="s">
        <v>785</v>
      </c>
      <c r="AI113" t="s">
        <v>1515</v>
      </c>
    </row>
    <row r="114" spans="1:35" x14ac:dyDescent="0.25">
      <c r="A114">
        <v>0</v>
      </c>
      <c r="B114">
        <v>0</v>
      </c>
      <c r="C114">
        <v>0</v>
      </c>
      <c r="D114">
        <v>0</v>
      </c>
      <c r="E114">
        <v>0</v>
      </c>
      <c r="F114">
        <v>0</v>
      </c>
      <c r="G114">
        <v>0</v>
      </c>
      <c r="H114">
        <v>0</v>
      </c>
      <c r="I114">
        <v>0</v>
      </c>
      <c r="J114">
        <v>0</v>
      </c>
      <c r="L114">
        <v>0</v>
      </c>
      <c r="M114">
        <v>0</v>
      </c>
      <c r="N114">
        <v>0</v>
      </c>
      <c r="O114">
        <v>0</v>
      </c>
      <c r="P114">
        <v>0</v>
      </c>
      <c r="Q114">
        <v>0</v>
      </c>
      <c r="R114">
        <v>0</v>
      </c>
      <c r="S114">
        <v>0</v>
      </c>
      <c r="T114">
        <v>0</v>
      </c>
      <c r="U114">
        <v>0</v>
      </c>
      <c r="W114">
        <v>0</v>
      </c>
      <c r="X114">
        <v>0</v>
      </c>
      <c r="Y114">
        <v>0</v>
      </c>
      <c r="Z114">
        <v>0</v>
      </c>
      <c r="AA114">
        <v>0</v>
      </c>
      <c r="AB114">
        <v>0</v>
      </c>
      <c r="AC114">
        <v>0</v>
      </c>
      <c r="AD114">
        <v>0</v>
      </c>
      <c r="AE114">
        <v>0</v>
      </c>
      <c r="AF114">
        <v>0</v>
      </c>
      <c r="AH114" t="s">
        <v>788</v>
      </c>
      <c r="AI114" s="60" t="s">
        <v>1516</v>
      </c>
    </row>
    <row r="115" spans="1:35" x14ac:dyDescent="0.25">
      <c r="A115">
        <v>0</v>
      </c>
      <c r="B115">
        <v>0</v>
      </c>
      <c r="C115">
        <v>0</v>
      </c>
      <c r="D115">
        <v>0</v>
      </c>
      <c r="E115">
        <v>0</v>
      </c>
      <c r="F115">
        <v>0</v>
      </c>
      <c r="G115">
        <v>0</v>
      </c>
      <c r="H115">
        <v>0</v>
      </c>
      <c r="I115">
        <v>0</v>
      </c>
      <c r="J115">
        <v>0</v>
      </c>
      <c r="L115">
        <v>0</v>
      </c>
      <c r="M115">
        <v>0</v>
      </c>
      <c r="N115">
        <v>0</v>
      </c>
      <c r="O115">
        <v>0</v>
      </c>
      <c r="P115">
        <v>0</v>
      </c>
      <c r="Q115">
        <v>0</v>
      </c>
      <c r="R115">
        <v>0</v>
      </c>
      <c r="S115">
        <v>0</v>
      </c>
      <c r="T115">
        <v>0</v>
      </c>
      <c r="U115">
        <v>0</v>
      </c>
      <c r="W115">
        <v>0</v>
      </c>
      <c r="X115">
        <v>0</v>
      </c>
      <c r="Y115">
        <v>0</v>
      </c>
      <c r="Z115">
        <v>0</v>
      </c>
      <c r="AA115">
        <v>0</v>
      </c>
      <c r="AB115">
        <v>0</v>
      </c>
      <c r="AC115">
        <v>0</v>
      </c>
      <c r="AD115">
        <v>0</v>
      </c>
      <c r="AE115">
        <v>0</v>
      </c>
      <c r="AF115">
        <v>0</v>
      </c>
      <c r="AH115" t="s">
        <v>792</v>
      </c>
      <c r="AI115" t="s">
        <v>1519</v>
      </c>
    </row>
    <row r="116" spans="1:35" x14ac:dyDescent="0.25">
      <c r="A116">
        <v>0</v>
      </c>
      <c r="B116">
        <v>0</v>
      </c>
      <c r="C116">
        <v>0</v>
      </c>
      <c r="D116">
        <v>0</v>
      </c>
      <c r="E116">
        <v>0</v>
      </c>
      <c r="F116">
        <v>0</v>
      </c>
      <c r="G116">
        <v>0</v>
      </c>
      <c r="H116">
        <v>0</v>
      </c>
      <c r="I116">
        <v>0</v>
      </c>
      <c r="J116">
        <v>0</v>
      </c>
      <c r="L116">
        <v>0</v>
      </c>
      <c r="M116">
        <v>0</v>
      </c>
      <c r="N116">
        <v>0</v>
      </c>
      <c r="O116">
        <v>0</v>
      </c>
      <c r="P116">
        <v>0</v>
      </c>
      <c r="Q116">
        <v>0</v>
      </c>
      <c r="R116">
        <v>0</v>
      </c>
      <c r="S116">
        <v>0</v>
      </c>
      <c r="T116">
        <v>0</v>
      </c>
      <c r="U116">
        <v>0</v>
      </c>
      <c r="W116">
        <v>0</v>
      </c>
      <c r="X116">
        <v>0</v>
      </c>
      <c r="Y116">
        <v>0</v>
      </c>
      <c r="Z116">
        <v>0</v>
      </c>
      <c r="AA116">
        <v>0</v>
      </c>
      <c r="AB116">
        <v>0</v>
      </c>
      <c r="AC116">
        <v>0</v>
      </c>
      <c r="AD116">
        <v>0</v>
      </c>
      <c r="AE116">
        <v>0</v>
      </c>
      <c r="AF116">
        <v>0</v>
      </c>
      <c r="AH116" t="s">
        <v>795</v>
      </c>
      <c r="AI116" t="s">
        <v>1520</v>
      </c>
    </row>
    <row r="117" spans="1:35" x14ac:dyDescent="0.25">
      <c r="A117">
        <v>0</v>
      </c>
      <c r="B117">
        <v>0</v>
      </c>
      <c r="C117">
        <v>0</v>
      </c>
      <c r="D117">
        <v>0</v>
      </c>
      <c r="E117">
        <v>0</v>
      </c>
      <c r="F117">
        <v>0</v>
      </c>
      <c r="G117">
        <v>0</v>
      </c>
      <c r="H117">
        <v>0</v>
      </c>
      <c r="I117">
        <v>0</v>
      </c>
      <c r="J117">
        <v>0</v>
      </c>
      <c r="L117">
        <v>0</v>
      </c>
      <c r="M117">
        <v>0</v>
      </c>
      <c r="N117">
        <v>0</v>
      </c>
      <c r="O117">
        <v>0</v>
      </c>
      <c r="P117">
        <v>0</v>
      </c>
      <c r="Q117">
        <v>0</v>
      </c>
      <c r="R117">
        <v>0</v>
      </c>
      <c r="S117">
        <v>0</v>
      </c>
      <c r="T117">
        <v>0</v>
      </c>
      <c r="U117">
        <v>0</v>
      </c>
      <c r="W117">
        <v>0</v>
      </c>
      <c r="X117">
        <v>0</v>
      </c>
      <c r="Y117">
        <v>0</v>
      </c>
      <c r="Z117">
        <v>0</v>
      </c>
      <c r="AA117">
        <v>0</v>
      </c>
      <c r="AB117">
        <v>0</v>
      </c>
      <c r="AC117">
        <v>0</v>
      </c>
      <c r="AD117">
        <v>0</v>
      </c>
      <c r="AE117">
        <v>0</v>
      </c>
      <c r="AF117">
        <v>0</v>
      </c>
      <c r="AH117" t="s">
        <v>798</v>
      </c>
      <c r="AI117" t="s">
        <v>1521</v>
      </c>
    </row>
    <row r="118" spans="1:35" x14ac:dyDescent="0.25">
      <c r="A118">
        <v>0</v>
      </c>
      <c r="B118">
        <v>0</v>
      </c>
      <c r="C118">
        <v>0</v>
      </c>
      <c r="D118">
        <v>0</v>
      </c>
      <c r="E118">
        <v>0</v>
      </c>
      <c r="F118">
        <v>0</v>
      </c>
      <c r="G118">
        <v>0</v>
      </c>
      <c r="H118">
        <v>0</v>
      </c>
      <c r="I118">
        <v>0</v>
      </c>
      <c r="J118">
        <v>0</v>
      </c>
      <c r="L118">
        <v>0</v>
      </c>
      <c r="M118">
        <v>0</v>
      </c>
      <c r="N118">
        <v>0</v>
      </c>
      <c r="O118">
        <v>0</v>
      </c>
      <c r="P118">
        <v>0</v>
      </c>
      <c r="Q118">
        <v>0</v>
      </c>
      <c r="R118">
        <v>0</v>
      </c>
      <c r="S118">
        <v>0</v>
      </c>
      <c r="T118">
        <v>0</v>
      </c>
      <c r="U118">
        <v>0</v>
      </c>
      <c r="W118">
        <v>0</v>
      </c>
      <c r="X118">
        <v>0</v>
      </c>
      <c r="Y118">
        <v>0</v>
      </c>
      <c r="Z118">
        <v>0</v>
      </c>
      <c r="AA118">
        <v>0</v>
      </c>
      <c r="AB118">
        <v>0</v>
      </c>
      <c r="AC118">
        <v>0</v>
      </c>
      <c r="AD118">
        <v>0</v>
      </c>
      <c r="AE118">
        <v>0</v>
      </c>
      <c r="AF118">
        <v>0</v>
      </c>
      <c r="AH118" t="s">
        <v>802</v>
      </c>
      <c r="AI118" t="s">
        <v>1523</v>
      </c>
    </row>
    <row r="119" spans="1:35" x14ac:dyDescent="0.25">
      <c r="A119">
        <v>2.6387909570800939E-15</v>
      </c>
      <c r="B119">
        <v>-1.1584935909131988E-15</v>
      </c>
      <c r="C119">
        <v>4.7626958737543001E-15</v>
      </c>
      <c r="D119">
        <v>1.1584935909132084E-15</v>
      </c>
      <c r="E119">
        <v>-2.0595441616234789E-15</v>
      </c>
      <c r="F119">
        <v>-2.5744302020293402E-16</v>
      </c>
      <c r="G119">
        <v>6.6613381477509402E-16</v>
      </c>
      <c r="H119">
        <v>7.7715611723760968E-16</v>
      </c>
      <c r="I119">
        <v>0</v>
      </c>
      <c r="J119">
        <v>0</v>
      </c>
      <c r="L119">
        <v>2.1558981989814085E-14</v>
      </c>
      <c r="M119">
        <v>-9.4424283821940211E-15</v>
      </c>
      <c r="N119">
        <v>-8.9555531687371453E-15</v>
      </c>
      <c r="O119">
        <v>8.3211400118084803E-15</v>
      </c>
      <c r="P119">
        <v>-9.4424283821940275E-15</v>
      </c>
      <c r="Q119">
        <v>4.4408920985006254E-15</v>
      </c>
      <c r="R119">
        <v>0</v>
      </c>
      <c r="S119">
        <v>0</v>
      </c>
      <c r="T119">
        <v>0</v>
      </c>
      <c r="U119">
        <v>0</v>
      </c>
      <c r="W119">
        <v>0</v>
      </c>
      <c r="X119">
        <v>0</v>
      </c>
      <c r="Y119">
        <v>0</v>
      </c>
      <c r="Z119">
        <v>0</v>
      </c>
      <c r="AA119">
        <v>0</v>
      </c>
      <c r="AB119">
        <v>0</v>
      </c>
      <c r="AC119">
        <v>0.66666666666666541</v>
      </c>
      <c r="AD119">
        <v>1.3333333333333353</v>
      </c>
      <c r="AE119">
        <v>1.9999999999999996</v>
      </c>
      <c r="AF119">
        <v>2.666666666666667</v>
      </c>
      <c r="AH119" t="s">
        <v>805</v>
      </c>
      <c r="AI119" t="s">
        <v>1524</v>
      </c>
    </row>
    <row r="120" spans="1:35" x14ac:dyDescent="0.25">
      <c r="A120">
        <v>0</v>
      </c>
      <c r="B120">
        <v>0</v>
      </c>
      <c r="C120">
        <v>0</v>
      </c>
      <c r="D120">
        <v>0</v>
      </c>
      <c r="E120">
        <v>0</v>
      </c>
      <c r="F120">
        <v>0</v>
      </c>
      <c r="G120">
        <v>0</v>
      </c>
      <c r="H120">
        <v>0</v>
      </c>
      <c r="I120">
        <v>0</v>
      </c>
      <c r="J120">
        <v>0</v>
      </c>
      <c r="L120">
        <v>0</v>
      </c>
      <c r="M120">
        <v>0</v>
      </c>
      <c r="N120">
        <v>0</v>
      </c>
      <c r="O120">
        <v>0</v>
      </c>
      <c r="P120">
        <v>0</v>
      </c>
      <c r="Q120">
        <v>0</v>
      </c>
      <c r="R120">
        <v>0</v>
      </c>
      <c r="S120">
        <v>0</v>
      </c>
      <c r="T120">
        <v>0</v>
      </c>
      <c r="U120">
        <v>0</v>
      </c>
      <c r="W120">
        <v>0</v>
      </c>
      <c r="X120">
        <v>0</v>
      </c>
      <c r="Y120">
        <v>0</v>
      </c>
      <c r="Z120">
        <v>0</v>
      </c>
      <c r="AA120">
        <v>0</v>
      </c>
      <c r="AB120">
        <v>0</v>
      </c>
      <c r="AC120">
        <v>0</v>
      </c>
      <c r="AD120">
        <v>0</v>
      </c>
      <c r="AE120">
        <v>0</v>
      </c>
      <c r="AF120">
        <v>0</v>
      </c>
      <c r="AH120" t="s">
        <v>809</v>
      </c>
      <c r="AI120" t="s">
        <v>1526</v>
      </c>
    </row>
    <row r="121" spans="1:35" x14ac:dyDescent="0.25">
      <c r="A121">
        <v>0</v>
      </c>
      <c r="B121">
        <v>0</v>
      </c>
      <c r="C121">
        <v>0</v>
      </c>
      <c r="D121">
        <v>0</v>
      </c>
      <c r="E121">
        <v>0</v>
      </c>
      <c r="F121">
        <v>0</v>
      </c>
      <c r="G121">
        <v>0</v>
      </c>
      <c r="H121">
        <v>0</v>
      </c>
      <c r="I121">
        <v>0</v>
      </c>
      <c r="J121">
        <v>0</v>
      </c>
      <c r="L121">
        <v>0</v>
      </c>
      <c r="M121">
        <v>0</v>
      </c>
      <c r="N121">
        <v>0</v>
      </c>
      <c r="O121">
        <v>0</v>
      </c>
      <c r="P121">
        <v>0</v>
      </c>
      <c r="Q121">
        <v>0</v>
      </c>
      <c r="R121">
        <v>0</v>
      </c>
      <c r="S121">
        <v>0</v>
      </c>
      <c r="T121">
        <v>0</v>
      </c>
      <c r="U121">
        <v>0</v>
      </c>
      <c r="W121">
        <v>0</v>
      </c>
      <c r="X121">
        <v>0</v>
      </c>
      <c r="Y121">
        <v>0</v>
      </c>
      <c r="Z121">
        <v>0</v>
      </c>
      <c r="AA121">
        <v>0</v>
      </c>
      <c r="AB121">
        <v>0</v>
      </c>
      <c r="AC121">
        <v>0</v>
      </c>
      <c r="AD121">
        <v>0</v>
      </c>
      <c r="AE121">
        <v>0</v>
      </c>
      <c r="AF121">
        <v>0</v>
      </c>
      <c r="AH121" t="s">
        <v>813</v>
      </c>
      <c r="AI121" t="s">
        <v>1528</v>
      </c>
    </row>
    <row r="122" spans="1:35" x14ac:dyDescent="0.25">
      <c r="A122">
        <v>0</v>
      </c>
      <c r="B122">
        <v>0</v>
      </c>
      <c r="C122">
        <v>0</v>
      </c>
      <c r="D122">
        <v>0</v>
      </c>
      <c r="E122">
        <v>0</v>
      </c>
      <c r="F122">
        <v>0</v>
      </c>
      <c r="G122">
        <v>0</v>
      </c>
      <c r="H122">
        <v>0</v>
      </c>
      <c r="I122">
        <v>0</v>
      </c>
      <c r="J122">
        <v>0</v>
      </c>
      <c r="L122">
        <v>0</v>
      </c>
      <c r="M122">
        <v>0</v>
      </c>
      <c r="N122">
        <v>0</v>
      </c>
      <c r="O122">
        <v>0</v>
      </c>
      <c r="P122">
        <v>0</v>
      </c>
      <c r="Q122">
        <v>0</v>
      </c>
      <c r="R122">
        <v>0</v>
      </c>
      <c r="S122">
        <v>0</v>
      </c>
      <c r="T122">
        <v>0</v>
      </c>
      <c r="U122">
        <v>0</v>
      </c>
      <c r="W122">
        <v>0</v>
      </c>
      <c r="X122">
        <v>0</v>
      </c>
      <c r="Y122">
        <v>0</v>
      </c>
      <c r="Z122">
        <v>0</v>
      </c>
      <c r="AA122">
        <v>0</v>
      </c>
      <c r="AB122">
        <v>0</v>
      </c>
      <c r="AC122">
        <v>0</v>
      </c>
      <c r="AD122">
        <v>0</v>
      </c>
      <c r="AE122">
        <v>0</v>
      </c>
      <c r="AF122">
        <v>0</v>
      </c>
      <c r="AH122" t="s">
        <v>816</v>
      </c>
      <c r="AI122" t="s">
        <v>1529</v>
      </c>
    </row>
    <row r="123" spans="1:35" x14ac:dyDescent="0.25">
      <c r="A123">
        <v>0</v>
      </c>
      <c r="B123">
        <v>0</v>
      </c>
      <c r="C123">
        <v>0</v>
      </c>
      <c r="D123">
        <v>0</v>
      </c>
      <c r="E123">
        <v>0</v>
      </c>
      <c r="F123">
        <v>0</v>
      </c>
      <c r="G123">
        <v>0</v>
      </c>
      <c r="H123">
        <v>0</v>
      </c>
      <c r="I123">
        <v>0</v>
      </c>
      <c r="J123">
        <v>0</v>
      </c>
      <c r="L123">
        <v>0</v>
      </c>
      <c r="M123">
        <v>0</v>
      </c>
      <c r="N123">
        <v>0</v>
      </c>
      <c r="O123">
        <v>0</v>
      </c>
      <c r="P123">
        <v>0</v>
      </c>
      <c r="Q123">
        <v>0</v>
      </c>
      <c r="R123">
        <v>0</v>
      </c>
      <c r="S123">
        <v>0</v>
      </c>
      <c r="T123">
        <v>0</v>
      </c>
      <c r="U123">
        <v>0</v>
      </c>
      <c r="W123">
        <v>0</v>
      </c>
      <c r="X123">
        <v>0</v>
      </c>
      <c r="Y123">
        <v>0</v>
      </c>
      <c r="Z123">
        <v>0</v>
      </c>
      <c r="AA123">
        <v>0</v>
      </c>
      <c r="AB123">
        <v>0</v>
      </c>
      <c r="AC123">
        <v>0</v>
      </c>
      <c r="AD123">
        <v>0</v>
      </c>
      <c r="AE123">
        <v>0</v>
      </c>
      <c r="AF123">
        <v>0</v>
      </c>
      <c r="AH123" t="s">
        <v>820</v>
      </c>
      <c r="AI123" t="s">
        <v>1530</v>
      </c>
    </row>
    <row r="124" spans="1:35" x14ac:dyDescent="0.25">
      <c r="A124">
        <v>0</v>
      </c>
      <c r="B124">
        <v>0</v>
      </c>
      <c r="C124">
        <v>0</v>
      </c>
      <c r="D124">
        <v>0</v>
      </c>
      <c r="E124">
        <v>0</v>
      </c>
      <c r="F124">
        <v>0</v>
      </c>
      <c r="G124">
        <v>0</v>
      </c>
      <c r="H124">
        <v>0</v>
      </c>
      <c r="I124">
        <v>0</v>
      </c>
      <c r="J124">
        <v>0</v>
      </c>
      <c r="L124">
        <v>0</v>
      </c>
      <c r="M124">
        <v>0</v>
      </c>
      <c r="N124">
        <v>0</v>
      </c>
      <c r="O124">
        <v>0</v>
      </c>
      <c r="P124">
        <v>0</v>
      </c>
      <c r="Q124">
        <v>0</v>
      </c>
      <c r="R124">
        <v>0</v>
      </c>
      <c r="S124">
        <v>0</v>
      </c>
      <c r="T124">
        <v>0</v>
      </c>
      <c r="U124">
        <v>0</v>
      </c>
      <c r="W124">
        <v>0</v>
      </c>
      <c r="X124">
        <v>0</v>
      </c>
      <c r="Y124">
        <v>0</v>
      </c>
      <c r="Z124">
        <v>0</v>
      </c>
      <c r="AA124">
        <v>0</v>
      </c>
      <c r="AB124">
        <v>0</v>
      </c>
      <c r="AC124">
        <v>3.5749181392930012E-15</v>
      </c>
      <c r="AD124">
        <v>-6.291263806209213E-15</v>
      </c>
      <c r="AE124">
        <v>7.4014868308342402E-16</v>
      </c>
      <c r="AF124">
        <v>-9.7699626167014375E-16</v>
      </c>
      <c r="AH124" t="s">
        <v>825</v>
      </c>
      <c r="AI124" t="s">
        <v>1531</v>
      </c>
    </row>
    <row r="125" spans="1:35" x14ac:dyDescent="0.25">
      <c r="A125">
        <v>0</v>
      </c>
      <c r="B125">
        <v>0</v>
      </c>
      <c r="C125">
        <v>0</v>
      </c>
      <c r="D125">
        <v>0</v>
      </c>
      <c r="E125">
        <v>0</v>
      </c>
      <c r="F125">
        <v>0</v>
      </c>
      <c r="G125">
        <v>0</v>
      </c>
      <c r="H125">
        <v>0</v>
      </c>
      <c r="I125">
        <v>0</v>
      </c>
      <c r="J125">
        <v>0</v>
      </c>
      <c r="L125">
        <v>0</v>
      </c>
      <c r="M125">
        <v>0</v>
      </c>
      <c r="N125">
        <v>0</v>
      </c>
      <c r="O125">
        <v>0</v>
      </c>
      <c r="P125">
        <v>0</v>
      </c>
      <c r="Q125">
        <v>0</v>
      </c>
      <c r="R125">
        <v>0</v>
      </c>
      <c r="S125">
        <v>0</v>
      </c>
      <c r="T125">
        <v>0</v>
      </c>
      <c r="U125">
        <v>0</v>
      </c>
      <c r="W125">
        <v>0</v>
      </c>
      <c r="X125">
        <v>0</v>
      </c>
      <c r="Y125">
        <v>0</v>
      </c>
      <c r="Z125">
        <v>0</v>
      </c>
      <c r="AA125">
        <v>0</v>
      </c>
      <c r="AB125">
        <v>0</v>
      </c>
      <c r="AC125">
        <v>0</v>
      </c>
      <c r="AD125">
        <v>0</v>
      </c>
      <c r="AE125">
        <v>0</v>
      </c>
      <c r="AF125">
        <v>0</v>
      </c>
      <c r="AH125" t="s">
        <v>829</v>
      </c>
      <c r="AI125" t="s">
        <v>1537</v>
      </c>
    </row>
    <row r="126" spans="1:35" x14ac:dyDescent="0.25">
      <c r="A126">
        <v>0</v>
      </c>
      <c r="B126">
        <v>0</v>
      </c>
      <c r="C126">
        <v>0</v>
      </c>
      <c r="D126">
        <v>0</v>
      </c>
      <c r="E126">
        <v>0</v>
      </c>
      <c r="F126">
        <v>0</v>
      </c>
      <c r="G126">
        <v>0</v>
      </c>
      <c r="H126">
        <v>0</v>
      </c>
      <c r="I126">
        <v>0</v>
      </c>
      <c r="J126">
        <v>0</v>
      </c>
      <c r="L126">
        <v>0</v>
      </c>
      <c r="M126">
        <v>0</v>
      </c>
      <c r="N126">
        <v>0</v>
      </c>
      <c r="O126">
        <v>0</v>
      </c>
      <c r="P126">
        <v>0</v>
      </c>
      <c r="Q126">
        <v>0</v>
      </c>
      <c r="R126">
        <v>0</v>
      </c>
      <c r="S126">
        <v>0</v>
      </c>
      <c r="T126">
        <v>0</v>
      </c>
      <c r="U126">
        <v>0</v>
      </c>
      <c r="W126">
        <v>0</v>
      </c>
      <c r="X126">
        <v>0</v>
      </c>
      <c r="Y126">
        <v>0</v>
      </c>
      <c r="Z126">
        <v>0</v>
      </c>
      <c r="AA126">
        <v>0</v>
      </c>
      <c r="AB126">
        <v>0</v>
      </c>
      <c r="AC126">
        <v>0</v>
      </c>
      <c r="AD126">
        <v>0</v>
      </c>
      <c r="AE126">
        <v>0</v>
      </c>
      <c r="AF126">
        <v>0</v>
      </c>
      <c r="AH126" t="s">
        <v>832</v>
      </c>
      <c r="AI126" t="s">
        <v>1538</v>
      </c>
    </row>
    <row r="127" spans="1:35" x14ac:dyDescent="0.25">
      <c r="A127">
        <v>0</v>
      </c>
      <c r="B127">
        <v>0</v>
      </c>
      <c r="C127">
        <v>0</v>
      </c>
      <c r="D127">
        <v>0</v>
      </c>
      <c r="E127">
        <v>0</v>
      </c>
      <c r="F127">
        <v>0</v>
      </c>
      <c r="G127">
        <v>0</v>
      </c>
      <c r="H127">
        <v>0</v>
      </c>
      <c r="I127">
        <v>0</v>
      </c>
      <c r="J127">
        <v>0</v>
      </c>
      <c r="L127">
        <v>0</v>
      </c>
      <c r="M127">
        <v>0</v>
      </c>
      <c r="N127">
        <v>0</v>
      </c>
      <c r="O127">
        <v>0</v>
      </c>
      <c r="P127">
        <v>0</v>
      </c>
      <c r="Q127">
        <v>0</v>
      </c>
      <c r="R127">
        <v>0</v>
      </c>
      <c r="S127">
        <v>0</v>
      </c>
      <c r="T127">
        <v>0</v>
      </c>
      <c r="U127">
        <v>0</v>
      </c>
      <c r="W127">
        <v>0</v>
      </c>
      <c r="X127">
        <v>0</v>
      </c>
      <c r="Y127">
        <v>0</v>
      </c>
      <c r="Z127">
        <v>0</v>
      </c>
      <c r="AA127">
        <v>0</v>
      </c>
      <c r="AB127">
        <v>0</v>
      </c>
      <c r="AC127">
        <v>0</v>
      </c>
      <c r="AD127">
        <v>0</v>
      </c>
      <c r="AE127">
        <v>0</v>
      </c>
      <c r="AF127">
        <v>0</v>
      </c>
      <c r="AH127" t="s">
        <v>837</v>
      </c>
      <c r="AI127" t="s">
        <v>1539</v>
      </c>
    </row>
    <row r="128" spans="1:35" x14ac:dyDescent="0.25">
      <c r="A128">
        <v>10.000000000000002</v>
      </c>
      <c r="B128">
        <v>9.3333333333333339</v>
      </c>
      <c r="C128">
        <v>8.6666666666666679</v>
      </c>
      <c r="D128">
        <v>8</v>
      </c>
      <c r="E128">
        <v>7.3333333333333321</v>
      </c>
      <c r="F128">
        <v>6.6666666666666661</v>
      </c>
      <c r="G128">
        <v>6</v>
      </c>
      <c r="H128">
        <v>5.333333333333333</v>
      </c>
      <c r="I128">
        <v>0</v>
      </c>
      <c r="J128">
        <v>0</v>
      </c>
      <c r="L128">
        <v>10.000000000000002</v>
      </c>
      <c r="M128">
        <v>9.3333333333333339</v>
      </c>
      <c r="N128">
        <v>8.6666666666666643</v>
      </c>
      <c r="O128">
        <v>7.9999999999999991</v>
      </c>
      <c r="P128">
        <v>7.3333333333333339</v>
      </c>
      <c r="Q128">
        <v>6.666666666666667</v>
      </c>
      <c r="R128">
        <v>6.0000000000000027</v>
      </c>
      <c r="S128">
        <v>5.3333333333333259</v>
      </c>
      <c r="T128">
        <v>0</v>
      </c>
      <c r="U128">
        <v>0</v>
      </c>
      <c r="W128">
        <v>10.000000000000011</v>
      </c>
      <c r="X128">
        <v>8.0000000000000107</v>
      </c>
      <c r="Y128">
        <v>6.0000000000000009</v>
      </c>
      <c r="Z128">
        <v>4.0000000000000133</v>
      </c>
      <c r="AA128">
        <v>2.000000000000012</v>
      </c>
      <c r="AB128">
        <v>0</v>
      </c>
      <c r="AC128">
        <v>-0.66666666666666896</v>
      </c>
      <c r="AD128">
        <v>-1.3333333333333288</v>
      </c>
      <c r="AE128">
        <v>-2.0000000000000004</v>
      </c>
      <c r="AF128">
        <v>-2.6666666666666656</v>
      </c>
      <c r="AH128" t="s">
        <v>840</v>
      </c>
      <c r="AI128" t="s">
        <v>1540</v>
      </c>
    </row>
    <row r="129" spans="1:35" x14ac:dyDescent="0.25">
      <c r="A129">
        <v>0</v>
      </c>
      <c r="B129">
        <v>0</v>
      </c>
      <c r="C129">
        <v>0</v>
      </c>
      <c r="D129">
        <v>0</v>
      </c>
      <c r="E129">
        <v>0</v>
      </c>
      <c r="F129">
        <v>0</v>
      </c>
      <c r="G129">
        <v>0</v>
      </c>
      <c r="H129">
        <v>0</v>
      </c>
      <c r="I129">
        <v>0</v>
      </c>
      <c r="J129">
        <v>0</v>
      </c>
      <c r="L129">
        <v>0</v>
      </c>
      <c r="M129">
        <v>0</v>
      </c>
      <c r="N129">
        <v>0</v>
      </c>
      <c r="O129">
        <v>0</v>
      </c>
      <c r="P129">
        <v>0</v>
      </c>
      <c r="Q129">
        <v>0</v>
      </c>
      <c r="R129">
        <v>0</v>
      </c>
      <c r="S129">
        <v>0</v>
      </c>
      <c r="T129">
        <v>0</v>
      </c>
      <c r="U129">
        <v>0</v>
      </c>
      <c r="W129">
        <v>0</v>
      </c>
      <c r="X129">
        <v>0</v>
      </c>
      <c r="Y129">
        <v>0</v>
      </c>
      <c r="Z129">
        <v>0</v>
      </c>
      <c r="AA129">
        <v>0</v>
      </c>
      <c r="AB129">
        <v>0</v>
      </c>
      <c r="AC129">
        <v>0</v>
      </c>
      <c r="AD129">
        <v>0</v>
      </c>
      <c r="AE129">
        <v>0</v>
      </c>
      <c r="AF129">
        <v>0</v>
      </c>
      <c r="AH129" t="s">
        <v>844</v>
      </c>
      <c r="AI129" t="s">
        <v>1542</v>
      </c>
    </row>
    <row r="130" spans="1:35" x14ac:dyDescent="0.25">
      <c r="A130">
        <v>0</v>
      </c>
      <c r="B130">
        <v>0</v>
      </c>
      <c r="C130">
        <v>0</v>
      </c>
      <c r="D130">
        <v>0</v>
      </c>
      <c r="E130">
        <v>0</v>
      </c>
      <c r="F130">
        <v>0</v>
      </c>
      <c r="G130">
        <v>0</v>
      </c>
      <c r="H130">
        <v>0</v>
      </c>
      <c r="I130">
        <v>0</v>
      </c>
      <c r="J130">
        <v>0</v>
      </c>
      <c r="L130">
        <v>0</v>
      </c>
      <c r="M130">
        <v>0</v>
      </c>
      <c r="N130">
        <v>0</v>
      </c>
      <c r="O130">
        <v>0</v>
      </c>
      <c r="P130">
        <v>0</v>
      </c>
      <c r="Q130">
        <v>0</v>
      </c>
      <c r="R130">
        <v>0</v>
      </c>
      <c r="S130">
        <v>0</v>
      </c>
      <c r="T130">
        <v>0</v>
      </c>
      <c r="U130">
        <v>0</v>
      </c>
      <c r="W130">
        <v>0</v>
      </c>
      <c r="X130">
        <v>0</v>
      </c>
      <c r="Y130">
        <v>0</v>
      </c>
      <c r="Z130">
        <v>0</v>
      </c>
      <c r="AA130">
        <v>0</v>
      </c>
      <c r="AB130">
        <v>0</v>
      </c>
      <c r="AC130">
        <v>0</v>
      </c>
      <c r="AD130">
        <v>0</v>
      </c>
      <c r="AE130">
        <v>0</v>
      </c>
      <c r="AF130">
        <v>0</v>
      </c>
      <c r="AH130" t="s">
        <v>847</v>
      </c>
      <c r="AI130" t="s">
        <v>1544</v>
      </c>
    </row>
    <row r="131" spans="1:35" x14ac:dyDescent="0.25">
      <c r="A131">
        <v>0</v>
      </c>
      <c r="B131">
        <v>0</v>
      </c>
      <c r="C131">
        <v>0</v>
      </c>
      <c r="D131">
        <v>0</v>
      </c>
      <c r="E131">
        <v>0</v>
      </c>
      <c r="F131">
        <v>0</v>
      </c>
      <c r="G131">
        <v>0</v>
      </c>
      <c r="H131">
        <v>0</v>
      </c>
      <c r="I131">
        <v>0</v>
      </c>
      <c r="J131">
        <v>0</v>
      </c>
      <c r="L131">
        <v>0</v>
      </c>
      <c r="M131">
        <v>0</v>
      </c>
      <c r="N131">
        <v>0</v>
      </c>
      <c r="O131">
        <v>0</v>
      </c>
      <c r="P131">
        <v>0</v>
      </c>
      <c r="Q131">
        <v>0</v>
      </c>
      <c r="R131">
        <v>0</v>
      </c>
      <c r="S131">
        <v>0</v>
      </c>
      <c r="T131">
        <v>0</v>
      </c>
      <c r="U131">
        <v>0</v>
      </c>
      <c r="W131">
        <v>0</v>
      </c>
      <c r="X131">
        <v>0</v>
      </c>
      <c r="Y131">
        <v>0</v>
      </c>
      <c r="Z131">
        <v>0</v>
      </c>
      <c r="AA131">
        <v>0</v>
      </c>
      <c r="AB131">
        <v>0</v>
      </c>
      <c r="AC131">
        <v>0</v>
      </c>
      <c r="AD131">
        <v>0</v>
      </c>
      <c r="AE131">
        <v>0</v>
      </c>
      <c r="AF131">
        <v>0</v>
      </c>
      <c r="AH131" t="s">
        <v>850</v>
      </c>
      <c r="AI131" s="60" t="s">
        <v>1613</v>
      </c>
    </row>
    <row r="132" spans="1:35" x14ac:dyDescent="0.25">
      <c r="A132">
        <v>-88.4</v>
      </c>
      <c r="B132">
        <v>-89.066666666666677</v>
      </c>
      <c r="C132">
        <v>-89.733333333333334</v>
      </c>
      <c r="D132">
        <v>-90.4</v>
      </c>
      <c r="E132">
        <v>-91.066666666666677</v>
      </c>
      <c r="F132">
        <v>-91.733333333333334</v>
      </c>
      <c r="G132">
        <v>-92.4</v>
      </c>
      <c r="H132">
        <v>-93.066666666666677</v>
      </c>
      <c r="I132">
        <v>0</v>
      </c>
      <c r="J132">
        <v>0</v>
      </c>
      <c r="L132">
        <v>-88.4</v>
      </c>
      <c r="M132">
        <v>-89.066666666666677</v>
      </c>
      <c r="N132">
        <v>-89.733333333333348</v>
      </c>
      <c r="O132">
        <v>-90.4</v>
      </c>
      <c r="P132">
        <v>-91.066666666666677</v>
      </c>
      <c r="Q132">
        <v>-91.733333333333334</v>
      </c>
      <c r="R132">
        <v>-92.4</v>
      </c>
      <c r="S132">
        <v>-93.066666666666677</v>
      </c>
      <c r="T132">
        <v>0</v>
      </c>
      <c r="U132">
        <v>0</v>
      </c>
      <c r="W132">
        <v>-88.399999999999991</v>
      </c>
      <c r="X132">
        <v>-90.399999999999991</v>
      </c>
      <c r="Y132">
        <v>-92.4</v>
      </c>
      <c r="Z132">
        <v>-94.399999999999991</v>
      </c>
      <c r="AA132">
        <v>-96.399999999999991</v>
      </c>
      <c r="AB132">
        <v>-98.4</v>
      </c>
      <c r="AC132">
        <v>-99.066666666666677</v>
      </c>
      <c r="AD132">
        <v>-99.733333333333334</v>
      </c>
      <c r="AE132">
        <v>-100.4</v>
      </c>
      <c r="AF132">
        <v>-101.06666666666668</v>
      </c>
      <c r="AH132" t="s">
        <v>292</v>
      </c>
      <c r="AI132" t="s">
        <v>1551</v>
      </c>
    </row>
    <row r="133" spans="1:35" x14ac:dyDescent="0.25">
      <c r="A133">
        <v>-280.39999999999998</v>
      </c>
      <c r="B133">
        <v>-281.06666666666666</v>
      </c>
      <c r="C133">
        <v>-281.73333333333329</v>
      </c>
      <c r="D133">
        <v>-282.39999999999998</v>
      </c>
      <c r="E133">
        <v>-283.06666666666666</v>
      </c>
      <c r="F133">
        <v>-283.73333333333329</v>
      </c>
      <c r="G133">
        <v>-284.39999999999998</v>
      </c>
      <c r="H133">
        <v>-285.06666666666666</v>
      </c>
      <c r="I133">
        <v>0</v>
      </c>
      <c r="J133">
        <v>0</v>
      </c>
      <c r="L133">
        <v>-280.39999999999998</v>
      </c>
      <c r="M133">
        <v>-281.06666666666666</v>
      </c>
      <c r="N133">
        <v>-281.73333333333329</v>
      </c>
      <c r="O133">
        <v>-282.39999999999998</v>
      </c>
      <c r="P133">
        <v>-283.06666666666666</v>
      </c>
      <c r="Q133">
        <v>-283.73333333333329</v>
      </c>
      <c r="R133">
        <v>-284.39999999999998</v>
      </c>
      <c r="S133">
        <v>-285.06666666666666</v>
      </c>
      <c r="T133">
        <v>0</v>
      </c>
      <c r="U133">
        <v>0</v>
      </c>
      <c r="W133">
        <v>-280.39999999999998</v>
      </c>
      <c r="X133">
        <v>-282.39999999999998</v>
      </c>
      <c r="Y133">
        <v>-284.39999999999998</v>
      </c>
      <c r="Z133">
        <v>-286.39999999999998</v>
      </c>
      <c r="AA133">
        <v>-288.39999999999998</v>
      </c>
      <c r="AB133">
        <v>-290.39999999999998</v>
      </c>
      <c r="AC133">
        <v>-291.06666666666666</v>
      </c>
      <c r="AD133">
        <v>-291.73333333333329</v>
      </c>
      <c r="AE133">
        <v>-292.39999999999998</v>
      </c>
      <c r="AF133">
        <v>-293.06666666666666</v>
      </c>
      <c r="AH133" t="s">
        <v>293</v>
      </c>
      <c r="AI133" t="s">
        <v>1553</v>
      </c>
    </row>
    <row r="134" spans="1:35" x14ac:dyDescent="0.25">
      <c r="A134">
        <v>4.5000000000000009</v>
      </c>
      <c r="B134">
        <v>4.0333333333333332</v>
      </c>
      <c r="C134">
        <v>3.5666666666666687</v>
      </c>
      <c r="D134">
        <v>3.1000000000000005</v>
      </c>
      <c r="E134">
        <v>2.633333333333332</v>
      </c>
      <c r="F134">
        <v>2.1666666666666665</v>
      </c>
      <c r="G134">
        <v>1.7</v>
      </c>
      <c r="H134">
        <v>1.2333333333333336</v>
      </c>
      <c r="I134">
        <v>0</v>
      </c>
      <c r="J134">
        <v>0</v>
      </c>
      <c r="L134">
        <v>5.5000000000000044</v>
      </c>
      <c r="M134">
        <v>5.0333333333333314</v>
      </c>
      <c r="N134">
        <v>4.5666666666666647</v>
      </c>
      <c r="O134">
        <v>4.1000000000000023</v>
      </c>
      <c r="P134">
        <v>3.6333333333333315</v>
      </c>
      <c r="Q134">
        <v>3.1666666666666674</v>
      </c>
      <c r="R134">
        <v>2.7000000000000006</v>
      </c>
      <c r="S134">
        <v>2.2333333333333303</v>
      </c>
      <c r="T134">
        <v>0</v>
      </c>
      <c r="U134">
        <v>0</v>
      </c>
      <c r="W134">
        <v>5.9999999999999982</v>
      </c>
      <c r="X134">
        <v>5.4999999999999991</v>
      </c>
      <c r="Y134">
        <v>5</v>
      </c>
      <c r="Z134">
        <v>4.4999999999999982</v>
      </c>
      <c r="AA134">
        <v>3.9999999999999987</v>
      </c>
      <c r="AB134">
        <v>3.5</v>
      </c>
      <c r="AC134">
        <v>2.8833333333333342</v>
      </c>
      <c r="AD134">
        <v>2.2666666666666648</v>
      </c>
      <c r="AE134">
        <v>1.65</v>
      </c>
      <c r="AF134">
        <v>1.033333333333333</v>
      </c>
      <c r="AH134" t="s">
        <v>1631</v>
      </c>
    </row>
    <row r="135" spans="1:35" x14ac:dyDescent="0.25">
      <c r="A135">
        <v>2</v>
      </c>
      <c r="B135">
        <v>1.9</v>
      </c>
      <c r="C135">
        <v>1.8</v>
      </c>
      <c r="D135">
        <v>1.7</v>
      </c>
      <c r="E135">
        <v>1.6</v>
      </c>
      <c r="F135">
        <v>1.5</v>
      </c>
      <c r="G135">
        <v>1.4</v>
      </c>
      <c r="H135">
        <v>1.3</v>
      </c>
      <c r="I135">
        <v>0</v>
      </c>
      <c r="J135">
        <v>0</v>
      </c>
      <c r="L135">
        <v>2</v>
      </c>
      <c r="M135">
        <v>1.9</v>
      </c>
      <c r="N135">
        <v>1.8</v>
      </c>
      <c r="O135">
        <v>1.7</v>
      </c>
      <c r="P135">
        <v>1.6</v>
      </c>
      <c r="Q135">
        <v>1.5</v>
      </c>
      <c r="R135">
        <v>1.4</v>
      </c>
      <c r="S135">
        <v>1.3</v>
      </c>
      <c r="T135">
        <v>0</v>
      </c>
      <c r="U135">
        <v>0</v>
      </c>
      <c r="W135">
        <v>2</v>
      </c>
      <c r="X135">
        <v>1.9</v>
      </c>
      <c r="Y135">
        <v>1.8</v>
      </c>
      <c r="Z135">
        <v>1.7</v>
      </c>
      <c r="AA135">
        <v>1.6</v>
      </c>
      <c r="AB135">
        <v>1.5</v>
      </c>
      <c r="AC135">
        <v>1.4</v>
      </c>
      <c r="AD135">
        <v>1.3</v>
      </c>
      <c r="AE135">
        <v>1.2</v>
      </c>
      <c r="AF135">
        <v>1.1000000000000001</v>
      </c>
      <c r="AH135" t="s">
        <v>1615</v>
      </c>
    </row>
    <row r="136" spans="1:35" x14ac:dyDescent="0.25">
      <c r="A136">
        <v>1.0000000000000002</v>
      </c>
      <c r="B136">
        <v>0.93333333333333335</v>
      </c>
      <c r="C136">
        <v>0.86666666666666681</v>
      </c>
      <c r="D136">
        <v>0.8</v>
      </c>
      <c r="E136">
        <v>0.73333333333333317</v>
      </c>
      <c r="F136">
        <v>0.66666666666666663</v>
      </c>
      <c r="G136">
        <v>0.6</v>
      </c>
      <c r="H136">
        <v>0.53333333333333333</v>
      </c>
      <c r="I136">
        <v>0</v>
      </c>
      <c r="J136">
        <v>0</v>
      </c>
      <c r="L136">
        <v>1.0000000000000002</v>
      </c>
      <c r="M136">
        <v>0.93333333333333335</v>
      </c>
      <c r="N136">
        <v>0.86666666666666647</v>
      </c>
      <c r="O136">
        <v>0.79999999999999993</v>
      </c>
      <c r="P136">
        <v>0.73333333333333339</v>
      </c>
      <c r="Q136">
        <v>0.66666666666666674</v>
      </c>
      <c r="R136">
        <v>0.60000000000000031</v>
      </c>
      <c r="S136">
        <v>0.53333333333333255</v>
      </c>
      <c r="T136">
        <v>0</v>
      </c>
      <c r="U136">
        <v>0</v>
      </c>
      <c r="W136">
        <v>1.0000000000000011</v>
      </c>
      <c r="X136">
        <v>0.80000000000000104</v>
      </c>
      <c r="Y136">
        <v>0.60000000000000009</v>
      </c>
      <c r="Z136">
        <v>0.40000000000000135</v>
      </c>
      <c r="AA136">
        <v>0.2000000000000012</v>
      </c>
      <c r="AB136">
        <v>0</v>
      </c>
      <c r="AC136">
        <v>-6.6666666666666902E-2</v>
      </c>
      <c r="AD136">
        <v>-0.13333333333333289</v>
      </c>
      <c r="AE136">
        <v>-0.20000000000000004</v>
      </c>
      <c r="AF136">
        <v>-0.26666666666666655</v>
      </c>
      <c r="AH136" t="s">
        <v>1616</v>
      </c>
    </row>
    <row r="137" spans="1:35" x14ac:dyDescent="0.25">
      <c r="A137">
        <v>-8.84</v>
      </c>
      <c r="B137">
        <v>-8.9066666666666681</v>
      </c>
      <c r="C137">
        <v>-8.9733333333333327</v>
      </c>
      <c r="D137">
        <v>-9.0400000000000009</v>
      </c>
      <c r="E137">
        <v>-9.1066666666666674</v>
      </c>
      <c r="F137">
        <v>-9.1733333333333338</v>
      </c>
      <c r="G137">
        <v>-9.24</v>
      </c>
      <c r="H137">
        <v>-9.3066666666666684</v>
      </c>
      <c r="I137">
        <v>0</v>
      </c>
      <c r="J137">
        <v>0</v>
      </c>
      <c r="L137">
        <v>-8.84</v>
      </c>
      <c r="M137">
        <v>-8.9066666666666681</v>
      </c>
      <c r="N137">
        <v>-8.9733333333333345</v>
      </c>
      <c r="O137">
        <v>-9.0400000000000009</v>
      </c>
      <c r="P137">
        <v>-9.1066666666666674</v>
      </c>
      <c r="Q137">
        <v>-9.1733333333333338</v>
      </c>
      <c r="R137">
        <v>-9.24</v>
      </c>
      <c r="S137">
        <v>-9.3066666666666684</v>
      </c>
      <c r="T137">
        <v>0</v>
      </c>
      <c r="U137">
        <v>0</v>
      </c>
      <c r="W137">
        <v>-8.84</v>
      </c>
      <c r="X137">
        <v>-9.0399999999999991</v>
      </c>
      <c r="Y137">
        <v>-9.24</v>
      </c>
      <c r="Z137">
        <v>-9.44</v>
      </c>
      <c r="AA137">
        <v>-9.6399999999999988</v>
      </c>
      <c r="AB137">
        <v>-9.84</v>
      </c>
      <c r="AC137">
        <v>-9.9066666666666681</v>
      </c>
      <c r="AD137">
        <v>-9.9733333333333327</v>
      </c>
      <c r="AE137">
        <v>-10.040000000000001</v>
      </c>
      <c r="AF137">
        <v>-10.106666666666667</v>
      </c>
      <c r="AH137" t="s">
        <v>1617</v>
      </c>
    </row>
    <row r="138" spans="1:35" x14ac:dyDescent="0.25">
      <c r="A138">
        <v>5.2775819141601879E-16</v>
      </c>
      <c r="B138">
        <v>-2.3169871818263973E-16</v>
      </c>
      <c r="C138">
        <v>9.5253917475086002E-16</v>
      </c>
      <c r="D138">
        <v>2.316987181826417E-16</v>
      </c>
      <c r="E138">
        <v>-4.1190883232469576E-16</v>
      </c>
      <c r="F138">
        <v>-5.1488604040586804E-17</v>
      </c>
      <c r="G138">
        <v>1.332267629550188E-16</v>
      </c>
      <c r="H138">
        <v>1.5543122344752193E-16</v>
      </c>
      <c r="I138">
        <v>0</v>
      </c>
      <c r="J138">
        <v>0</v>
      </c>
      <c r="L138">
        <v>4.3117963979628166E-15</v>
      </c>
      <c r="M138">
        <v>-1.8884856764388042E-15</v>
      </c>
      <c r="N138">
        <v>-1.7911106337474292E-15</v>
      </c>
      <c r="O138">
        <v>1.6642280023616961E-15</v>
      </c>
      <c r="P138">
        <v>-1.8884856764388054E-15</v>
      </c>
      <c r="Q138">
        <v>8.8817841970012504E-16</v>
      </c>
      <c r="R138">
        <v>0</v>
      </c>
      <c r="S138">
        <v>0</v>
      </c>
      <c r="T138">
        <v>0</v>
      </c>
      <c r="U138">
        <v>0</v>
      </c>
      <c r="W138">
        <v>0</v>
      </c>
      <c r="X138">
        <v>0</v>
      </c>
      <c r="Y138">
        <v>0</v>
      </c>
      <c r="Z138">
        <v>0</v>
      </c>
      <c r="AA138">
        <v>0</v>
      </c>
      <c r="AB138">
        <v>0</v>
      </c>
      <c r="AC138">
        <v>0.13333333333333308</v>
      </c>
      <c r="AD138">
        <v>0.26666666666666705</v>
      </c>
      <c r="AE138">
        <v>0.39999999999999991</v>
      </c>
      <c r="AF138">
        <v>0.53333333333333344</v>
      </c>
      <c r="AH138" t="s">
        <v>1618</v>
      </c>
    </row>
    <row r="139" spans="1:35" x14ac:dyDescent="0.25">
      <c r="A139">
        <v>0</v>
      </c>
      <c r="B139">
        <v>0</v>
      </c>
      <c r="C139">
        <v>0</v>
      </c>
      <c r="D139">
        <v>0</v>
      </c>
      <c r="E139">
        <v>0</v>
      </c>
      <c r="F139">
        <v>0</v>
      </c>
      <c r="G139">
        <v>0</v>
      </c>
      <c r="H139">
        <v>0</v>
      </c>
      <c r="I139">
        <v>0</v>
      </c>
      <c r="J139">
        <v>0</v>
      </c>
      <c r="L139">
        <v>0</v>
      </c>
      <c r="M139">
        <v>0</v>
      </c>
      <c r="N139">
        <v>0</v>
      </c>
      <c r="O139">
        <v>0</v>
      </c>
      <c r="P139">
        <v>0</v>
      </c>
      <c r="Q139">
        <v>0</v>
      </c>
      <c r="R139">
        <v>0</v>
      </c>
      <c r="S139">
        <v>0</v>
      </c>
      <c r="T139">
        <v>0</v>
      </c>
      <c r="U139">
        <v>0</v>
      </c>
      <c r="W139">
        <v>0</v>
      </c>
      <c r="X139">
        <v>0</v>
      </c>
      <c r="Y139">
        <v>0</v>
      </c>
      <c r="Z139">
        <v>0</v>
      </c>
      <c r="AA139">
        <v>0</v>
      </c>
      <c r="AB139">
        <v>0</v>
      </c>
      <c r="AC139">
        <v>0</v>
      </c>
      <c r="AD139">
        <v>0</v>
      </c>
      <c r="AE139">
        <v>0</v>
      </c>
      <c r="AF139">
        <v>0</v>
      </c>
      <c r="AH139" t="s">
        <v>1619</v>
      </c>
    </row>
    <row r="140" spans="1:35" x14ac:dyDescent="0.25">
      <c r="A140">
        <v>0</v>
      </c>
      <c r="B140">
        <v>0</v>
      </c>
      <c r="C140">
        <v>0</v>
      </c>
      <c r="D140">
        <v>0</v>
      </c>
      <c r="E140">
        <v>0</v>
      </c>
      <c r="F140">
        <v>0</v>
      </c>
      <c r="G140">
        <v>0</v>
      </c>
      <c r="H140">
        <v>0</v>
      </c>
      <c r="I140">
        <v>0</v>
      </c>
      <c r="J140">
        <v>0</v>
      </c>
      <c r="L140">
        <v>0</v>
      </c>
      <c r="M140">
        <v>0</v>
      </c>
      <c r="N140">
        <v>0</v>
      </c>
      <c r="O140">
        <v>0</v>
      </c>
      <c r="P140">
        <v>0</v>
      </c>
      <c r="Q140">
        <v>0</v>
      </c>
      <c r="R140">
        <v>0</v>
      </c>
      <c r="S140">
        <v>0</v>
      </c>
      <c r="T140">
        <v>0</v>
      </c>
      <c r="U140">
        <v>0</v>
      </c>
      <c r="W140">
        <v>0</v>
      </c>
      <c r="X140">
        <v>0</v>
      </c>
      <c r="Y140">
        <v>0</v>
      </c>
      <c r="Z140">
        <v>0</v>
      </c>
      <c r="AA140">
        <v>0</v>
      </c>
      <c r="AB140">
        <v>0</v>
      </c>
      <c r="AC140">
        <v>0</v>
      </c>
      <c r="AD140">
        <v>0</v>
      </c>
      <c r="AE140">
        <v>0</v>
      </c>
      <c r="AF140">
        <v>0</v>
      </c>
      <c r="AH140" t="s">
        <v>1620</v>
      </c>
    </row>
    <row r="141" spans="1:35" x14ac:dyDescent="0.25">
      <c r="A141">
        <v>0</v>
      </c>
      <c r="B141">
        <v>0</v>
      </c>
      <c r="C141">
        <v>0</v>
      </c>
      <c r="D141">
        <v>0</v>
      </c>
      <c r="E141">
        <v>0</v>
      </c>
      <c r="F141">
        <v>0</v>
      </c>
      <c r="G141">
        <v>0</v>
      </c>
      <c r="H141">
        <v>0</v>
      </c>
      <c r="I141">
        <v>0</v>
      </c>
      <c r="J141">
        <v>0</v>
      </c>
      <c r="L141">
        <v>0</v>
      </c>
      <c r="M141">
        <v>0</v>
      </c>
      <c r="N141">
        <v>0</v>
      </c>
      <c r="O141">
        <v>0</v>
      </c>
      <c r="P141">
        <v>0</v>
      </c>
      <c r="Q141">
        <v>0</v>
      </c>
      <c r="R141">
        <v>0</v>
      </c>
      <c r="S141">
        <v>0</v>
      </c>
      <c r="T141">
        <v>0</v>
      </c>
      <c r="U141">
        <v>0</v>
      </c>
      <c r="W141">
        <v>0</v>
      </c>
      <c r="X141">
        <v>0</v>
      </c>
      <c r="Y141">
        <v>0</v>
      </c>
      <c r="Z141">
        <v>0</v>
      </c>
      <c r="AA141">
        <v>0</v>
      </c>
      <c r="AB141">
        <v>0</v>
      </c>
      <c r="AC141">
        <v>0</v>
      </c>
      <c r="AD141">
        <v>0</v>
      </c>
      <c r="AE141">
        <v>0</v>
      </c>
      <c r="AF141">
        <v>0</v>
      </c>
      <c r="AH141" t="s">
        <v>1621</v>
      </c>
    </row>
    <row r="142" spans="1:35" x14ac:dyDescent="0.25">
      <c r="A142">
        <v>0</v>
      </c>
      <c r="B142">
        <v>0</v>
      </c>
      <c r="C142">
        <v>0</v>
      </c>
      <c r="D142">
        <v>0</v>
      </c>
      <c r="E142">
        <v>0</v>
      </c>
      <c r="F142">
        <v>0</v>
      </c>
      <c r="G142">
        <v>0</v>
      </c>
      <c r="H142">
        <v>0</v>
      </c>
      <c r="I142">
        <v>0</v>
      </c>
      <c r="J142">
        <v>0</v>
      </c>
      <c r="L142">
        <v>0</v>
      </c>
      <c r="M142">
        <v>0</v>
      </c>
      <c r="N142">
        <v>0</v>
      </c>
      <c r="O142">
        <v>0</v>
      </c>
      <c r="P142">
        <v>0</v>
      </c>
      <c r="Q142">
        <v>0</v>
      </c>
      <c r="R142">
        <v>0</v>
      </c>
      <c r="S142">
        <v>0</v>
      </c>
      <c r="T142">
        <v>0</v>
      </c>
      <c r="U142">
        <v>0</v>
      </c>
      <c r="W142">
        <v>-2.0605739337042821E-15</v>
      </c>
      <c r="X142">
        <v>0.19999999999999798</v>
      </c>
      <c r="Y142">
        <v>0.39999999999999963</v>
      </c>
      <c r="Z142">
        <v>0.5999999999999972</v>
      </c>
      <c r="AA142">
        <v>0.7999999999999976</v>
      </c>
      <c r="AB142">
        <v>1</v>
      </c>
      <c r="AC142">
        <v>0.93333333333333335</v>
      </c>
      <c r="AD142">
        <v>0.86666666666666647</v>
      </c>
      <c r="AE142">
        <v>0.8</v>
      </c>
      <c r="AF142">
        <v>0.73333333333333328</v>
      </c>
      <c r="AH142" t="s">
        <v>1622</v>
      </c>
    </row>
    <row r="143" spans="1:35" x14ac:dyDescent="0.25">
      <c r="A143">
        <v>0</v>
      </c>
      <c r="B143">
        <v>0</v>
      </c>
      <c r="C143">
        <v>0</v>
      </c>
      <c r="D143">
        <v>0</v>
      </c>
      <c r="E143">
        <v>0</v>
      </c>
      <c r="F143">
        <v>0</v>
      </c>
      <c r="G143">
        <v>0</v>
      </c>
      <c r="H143">
        <v>0</v>
      </c>
      <c r="I143">
        <v>0</v>
      </c>
      <c r="J143">
        <v>0</v>
      </c>
      <c r="L143">
        <v>0</v>
      </c>
      <c r="M143">
        <v>0</v>
      </c>
      <c r="N143">
        <v>0</v>
      </c>
      <c r="O143">
        <v>0</v>
      </c>
      <c r="P143">
        <v>0</v>
      </c>
      <c r="Q143">
        <v>0</v>
      </c>
      <c r="R143">
        <v>0</v>
      </c>
      <c r="S143">
        <v>0</v>
      </c>
      <c r="T143">
        <v>0</v>
      </c>
      <c r="U143">
        <v>0</v>
      </c>
      <c r="W143">
        <v>0</v>
      </c>
      <c r="X143">
        <v>0</v>
      </c>
      <c r="Y143">
        <v>0</v>
      </c>
      <c r="Z143">
        <v>0</v>
      </c>
      <c r="AA143">
        <v>0</v>
      </c>
      <c r="AB143">
        <v>0</v>
      </c>
      <c r="AC143">
        <v>0</v>
      </c>
      <c r="AD143">
        <v>0</v>
      </c>
      <c r="AE143">
        <v>0</v>
      </c>
      <c r="AF143">
        <v>0</v>
      </c>
      <c r="AH143" t="s">
        <v>1623</v>
      </c>
    </row>
    <row r="144" spans="1:35" x14ac:dyDescent="0.25">
      <c r="A144">
        <v>1.7763568394002506E-16</v>
      </c>
      <c r="B144">
        <v>6.666666666666661E-2</v>
      </c>
      <c r="C144">
        <v>0.13333333333333358</v>
      </c>
      <c r="D144">
        <v>0.20000000000000009</v>
      </c>
      <c r="E144">
        <v>0.2666666666666665</v>
      </c>
      <c r="F144">
        <v>0.33333333333333331</v>
      </c>
      <c r="G144">
        <v>0.4</v>
      </c>
      <c r="H144">
        <v>0.46666666666666667</v>
      </c>
      <c r="I144">
        <v>0</v>
      </c>
      <c r="J144">
        <v>0</v>
      </c>
      <c r="L144">
        <v>0</v>
      </c>
      <c r="M144">
        <v>6.666666666666661E-2</v>
      </c>
      <c r="N144">
        <v>0.13333333333333339</v>
      </c>
      <c r="O144">
        <v>0.2</v>
      </c>
      <c r="P144">
        <v>0.26666666666666661</v>
      </c>
      <c r="Q144">
        <v>0.3333333333333332</v>
      </c>
      <c r="R144">
        <v>0.40000000000000024</v>
      </c>
      <c r="S144">
        <v>0.46666666666666501</v>
      </c>
      <c r="T144">
        <v>0</v>
      </c>
      <c r="U144">
        <v>0</v>
      </c>
      <c r="W144">
        <v>0</v>
      </c>
      <c r="X144">
        <v>0</v>
      </c>
      <c r="Y144">
        <v>0</v>
      </c>
      <c r="Z144">
        <v>0</v>
      </c>
      <c r="AA144">
        <v>0</v>
      </c>
      <c r="AB144">
        <v>0</v>
      </c>
      <c r="AC144">
        <v>0</v>
      </c>
      <c r="AD144">
        <v>0</v>
      </c>
      <c r="AE144">
        <v>0</v>
      </c>
      <c r="AF144">
        <v>0</v>
      </c>
      <c r="AH144" t="s">
        <v>1624</v>
      </c>
    </row>
    <row r="145" spans="1:34" x14ac:dyDescent="0.25">
      <c r="A145">
        <v>0</v>
      </c>
      <c r="B145">
        <v>0</v>
      </c>
      <c r="C145">
        <v>0</v>
      </c>
      <c r="D145">
        <v>0</v>
      </c>
      <c r="E145">
        <v>0</v>
      </c>
      <c r="F145">
        <v>0</v>
      </c>
      <c r="G145">
        <v>0</v>
      </c>
      <c r="H145">
        <v>0</v>
      </c>
      <c r="I145">
        <v>0</v>
      </c>
      <c r="J145">
        <v>0</v>
      </c>
      <c r="L145">
        <v>0</v>
      </c>
      <c r="M145">
        <v>0</v>
      </c>
      <c r="N145">
        <v>0</v>
      </c>
      <c r="O145">
        <v>0</v>
      </c>
      <c r="P145">
        <v>0</v>
      </c>
      <c r="Q145">
        <v>0</v>
      </c>
      <c r="R145">
        <v>0</v>
      </c>
      <c r="S145">
        <v>0</v>
      </c>
      <c r="T145">
        <v>0</v>
      </c>
      <c r="U145">
        <v>0</v>
      </c>
      <c r="W145">
        <v>0</v>
      </c>
      <c r="X145">
        <v>0</v>
      </c>
      <c r="Y145">
        <v>0</v>
      </c>
      <c r="Z145">
        <v>0</v>
      </c>
      <c r="AA145">
        <v>0</v>
      </c>
      <c r="AB145">
        <v>0</v>
      </c>
      <c r="AC145">
        <v>0</v>
      </c>
      <c r="AD145">
        <v>0</v>
      </c>
      <c r="AE145">
        <v>0</v>
      </c>
      <c r="AF145">
        <v>0</v>
      </c>
      <c r="AH145" t="s">
        <v>1625</v>
      </c>
    </row>
    <row r="146" spans="1:34" x14ac:dyDescent="0.25">
      <c r="A146">
        <v>0</v>
      </c>
      <c r="B146">
        <v>0</v>
      </c>
      <c r="C146">
        <v>0</v>
      </c>
      <c r="D146">
        <v>0</v>
      </c>
      <c r="E146">
        <v>0</v>
      </c>
      <c r="F146">
        <v>0</v>
      </c>
      <c r="G146">
        <v>0</v>
      </c>
      <c r="H146">
        <v>0</v>
      </c>
      <c r="I146">
        <v>0</v>
      </c>
      <c r="J146">
        <v>0</v>
      </c>
      <c r="L146">
        <v>0</v>
      </c>
      <c r="M146">
        <v>0</v>
      </c>
      <c r="N146">
        <v>0</v>
      </c>
      <c r="O146">
        <v>0</v>
      </c>
      <c r="P146">
        <v>0</v>
      </c>
      <c r="Q146">
        <v>0</v>
      </c>
      <c r="R146">
        <v>0</v>
      </c>
      <c r="S146">
        <v>0</v>
      </c>
      <c r="T146">
        <v>0</v>
      </c>
      <c r="U146">
        <v>0</v>
      </c>
      <c r="W146">
        <v>0</v>
      </c>
      <c r="X146">
        <v>0</v>
      </c>
      <c r="Y146">
        <v>0</v>
      </c>
      <c r="Z146">
        <v>0</v>
      </c>
      <c r="AA146">
        <v>0</v>
      </c>
      <c r="AB146">
        <v>0</v>
      </c>
      <c r="AC146">
        <v>1.4299672557172005E-15</v>
      </c>
      <c r="AD146">
        <v>-2.5165055224836851E-15</v>
      </c>
      <c r="AE146">
        <v>2.9605947323336959E-16</v>
      </c>
      <c r="AF146">
        <v>-3.9079850466805752E-16</v>
      </c>
      <c r="AH146" t="s">
        <v>1626</v>
      </c>
    </row>
    <row r="147" spans="1:34" x14ac:dyDescent="0.25">
      <c r="A147">
        <v>7.0539387535604379E-16</v>
      </c>
      <c r="B147">
        <v>6.6666666666666374E-2</v>
      </c>
      <c r="C147">
        <v>0.13333333333333452</v>
      </c>
      <c r="D147">
        <v>0.20000000000000032</v>
      </c>
      <c r="E147">
        <v>0.26666666666666611</v>
      </c>
      <c r="F147">
        <v>0.33333333333333326</v>
      </c>
      <c r="G147">
        <v>0.40000000000000013</v>
      </c>
      <c r="H147">
        <v>0.46666666666666684</v>
      </c>
      <c r="I147">
        <v>0</v>
      </c>
      <c r="J147">
        <v>0</v>
      </c>
      <c r="L147">
        <v>4.3117963979628166E-15</v>
      </c>
      <c r="M147">
        <v>6.6666666666664723E-2</v>
      </c>
      <c r="N147">
        <v>0.13333333333333158</v>
      </c>
      <c r="O147">
        <v>0.20000000000000168</v>
      </c>
      <c r="P147">
        <v>0.26666666666666472</v>
      </c>
      <c r="Q147">
        <v>0.33333333333333409</v>
      </c>
      <c r="R147">
        <v>0.40000000000000024</v>
      </c>
      <c r="S147">
        <v>0.46666666666666501</v>
      </c>
      <c r="T147">
        <v>0</v>
      </c>
      <c r="U147">
        <v>0</v>
      </c>
      <c r="W147">
        <v>-2.0605739337042821E-15</v>
      </c>
      <c r="X147">
        <v>0.19999999999999798</v>
      </c>
      <c r="Y147">
        <v>0.39999999999999963</v>
      </c>
      <c r="Z147">
        <v>0.5999999999999972</v>
      </c>
      <c r="AA147">
        <v>0.7999999999999976</v>
      </c>
      <c r="AB147">
        <v>1</v>
      </c>
      <c r="AC147">
        <v>1.0666666666666678</v>
      </c>
      <c r="AD147">
        <v>1.1333333333333311</v>
      </c>
      <c r="AE147">
        <v>1.2000000000000002</v>
      </c>
      <c r="AF147">
        <v>1.2666666666666662</v>
      </c>
      <c r="AH147" t="s">
        <v>1627</v>
      </c>
    </row>
    <row r="148" spans="1:34" x14ac:dyDescent="0.25">
      <c r="A148">
        <v>0</v>
      </c>
      <c r="B148">
        <v>0</v>
      </c>
      <c r="C148">
        <v>0</v>
      </c>
      <c r="D148">
        <v>0</v>
      </c>
      <c r="E148">
        <v>0</v>
      </c>
      <c r="F148">
        <v>0</v>
      </c>
      <c r="G148">
        <v>0</v>
      </c>
      <c r="H148">
        <v>0</v>
      </c>
      <c r="I148">
        <v>0</v>
      </c>
      <c r="J148">
        <v>0</v>
      </c>
      <c r="L148">
        <v>0</v>
      </c>
      <c r="M148">
        <v>0</v>
      </c>
      <c r="N148">
        <v>0</v>
      </c>
      <c r="O148">
        <v>0</v>
      </c>
      <c r="P148">
        <v>0</v>
      </c>
      <c r="Q148">
        <v>0</v>
      </c>
      <c r="R148">
        <v>0</v>
      </c>
      <c r="S148">
        <v>0</v>
      </c>
      <c r="T148">
        <v>0</v>
      </c>
      <c r="U148">
        <v>0</v>
      </c>
      <c r="W148">
        <v>0</v>
      </c>
      <c r="X148">
        <v>0</v>
      </c>
      <c r="Y148">
        <v>0</v>
      </c>
      <c r="Z148">
        <v>0</v>
      </c>
      <c r="AA148">
        <v>0</v>
      </c>
      <c r="AB148">
        <v>0</v>
      </c>
      <c r="AC148">
        <v>0</v>
      </c>
      <c r="AD148">
        <v>0</v>
      </c>
      <c r="AE148">
        <v>0</v>
      </c>
      <c r="AF148">
        <v>0</v>
      </c>
      <c r="AH148" t="s">
        <v>1628</v>
      </c>
    </row>
    <row r="151" spans="1:34" x14ac:dyDescent="0.25">
      <c r="A151">
        <f>A96</f>
        <v>45.000000000000007</v>
      </c>
      <c r="B151">
        <f t="shared" ref="B151:J151" si="0">B96</f>
        <v>40.333333333333329</v>
      </c>
      <c r="C151">
        <f t="shared" si="0"/>
        <v>35.666666666666686</v>
      </c>
      <c r="D151">
        <f t="shared" si="0"/>
        <v>31.000000000000007</v>
      </c>
      <c r="E151">
        <f t="shared" si="0"/>
        <v>26.333333333333321</v>
      </c>
      <c r="F151">
        <f t="shared" si="0"/>
        <v>21.666666666666664</v>
      </c>
      <c r="G151">
        <f t="shared" si="0"/>
        <v>17</v>
      </c>
      <c r="H151">
        <f t="shared" si="0"/>
        <v>12.333333333333336</v>
      </c>
      <c r="I151">
        <f t="shared" si="0"/>
        <v>0</v>
      </c>
      <c r="J151">
        <f t="shared" si="0"/>
        <v>0</v>
      </c>
      <c r="L151">
        <f>L96</f>
        <v>55.000000000000043</v>
      </c>
      <c r="M151">
        <f t="shared" ref="M151:U151" si="1">M96</f>
        <v>50.333333333333314</v>
      </c>
      <c r="N151">
        <f t="shared" si="1"/>
        <v>45.66666666666665</v>
      </c>
      <c r="O151">
        <f t="shared" si="1"/>
        <v>41.000000000000021</v>
      </c>
      <c r="P151">
        <f t="shared" si="1"/>
        <v>36.333333333333314</v>
      </c>
      <c r="Q151">
        <f t="shared" si="1"/>
        <v>31.666666666666675</v>
      </c>
      <c r="R151">
        <f t="shared" si="1"/>
        <v>27.000000000000007</v>
      </c>
      <c r="S151">
        <f t="shared" si="1"/>
        <v>22.333333333333304</v>
      </c>
      <c r="T151">
        <f t="shared" si="1"/>
        <v>0</v>
      </c>
      <c r="U151">
        <f t="shared" si="1"/>
        <v>0</v>
      </c>
      <c r="W151">
        <f>W96</f>
        <v>59.999999999999986</v>
      </c>
      <c r="X151">
        <f t="shared" ref="X151:AF151" si="2">X96</f>
        <v>54.999999999999993</v>
      </c>
      <c r="Y151">
        <f t="shared" si="2"/>
        <v>50</v>
      </c>
      <c r="Z151">
        <f t="shared" si="2"/>
        <v>44.999999999999986</v>
      </c>
      <c r="AA151">
        <f t="shared" si="2"/>
        <v>39.999999999999986</v>
      </c>
      <c r="AB151">
        <f t="shared" si="2"/>
        <v>35</v>
      </c>
      <c r="AC151">
        <f t="shared" si="2"/>
        <v>28.833333333333343</v>
      </c>
      <c r="AD151">
        <f t="shared" si="2"/>
        <v>22.66666666666665</v>
      </c>
      <c r="AE151">
        <f t="shared" si="2"/>
        <v>16.5</v>
      </c>
      <c r="AF151">
        <f t="shared" si="2"/>
        <v>10.33333333333333</v>
      </c>
      <c r="AH151" t="s">
        <v>254</v>
      </c>
    </row>
    <row r="152" spans="1:34" x14ac:dyDescent="0.25">
      <c r="A152">
        <f>A105</f>
        <v>10</v>
      </c>
      <c r="B152">
        <f t="shared" ref="B152:J152" si="3">B105</f>
        <v>10</v>
      </c>
      <c r="C152">
        <f t="shared" si="3"/>
        <v>10</v>
      </c>
      <c r="D152">
        <f t="shared" si="3"/>
        <v>10</v>
      </c>
      <c r="E152">
        <f t="shared" si="3"/>
        <v>10</v>
      </c>
      <c r="F152">
        <f t="shared" si="3"/>
        <v>10</v>
      </c>
      <c r="G152">
        <f t="shared" si="3"/>
        <v>10</v>
      </c>
      <c r="H152">
        <f t="shared" si="3"/>
        <v>10</v>
      </c>
      <c r="I152">
        <f t="shared" si="3"/>
        <v>0</v>
      </c>
      <c r="J152">
        <f t="shared" si="3"/>
        <v>0</v>
      </c>
      <c r="L152">
        <f>L105</f>
        <v>10</v>
      </c>
      <c r="M152">
        <f t="shared" ref="M152:U152" si="4">M105</f>
        <v>10</v>
      </c>
      <c r="N152">
        <f t="shared" si="4"/>
        <v>10</v>
      </c>
      <c r="O152">
        <f t="shared" si="4"/>
        <v>10</v>
      </c>
      <c r="P152">
        <f t="shared" si="4"/>
        <v>10</v>
      </c>
      <c r="Q152">
        <f t="shared" si="4"/>
        <v>10</v>
      </c>
      <c r="R152">
        <f t="shared" si="4"/>
        <v>10</v>
      </c>
      <c r="S152">
        <f t="shared" si="4"/>
        <v>10</v>
      </c>
      <c r="T152">
        <f t="shared" si="4"/>
        <v>0</v>
      </c>
      <c r="U152">
        <f t="shared" si="4"/>
        <v>0</v>
      </c>
      <c r="W152">
        <f>W105</f>
        <v>10</v>
      </c>
      <c r="X152">
        <f t="shared" ref="X152:AF152" si="5">X105</f>
        <v>10</v>
      </c>
      <c r="Y152">
        <f t="shared" si="5"/>
        <v>10</v>
      </c>
      <c r="Z152">
        <f t="shared" si="5"/>
        <v>10</v>
      </c>
      <c r="AA152">
        <f t="shared" si="5"/>
        <v>10</v>
      </c>
      <c r="AB152">
        <f t="shared" si="5"/>
        <v>10</v>
      </c>
      <c r="AC152">
        <f t="shared" si="5"/>
        <v>10</v>
      </c>
      <c r="AD152">
        <f t="shared" si="5"/>
        <v>10</v>
      </c>
      <c r="AE152">
        <f t="shared" si="5"/>
        <v>10</v>
      </c>
      <c r="AF152">
        <f t="shared" si="5"/>
        <v>10</v>
      </c>
      <c r="AH152" t="s">
        <v>751</v>
      </c>
    </row>
    <row r="153" spans="1:34" x14ac:dyDescent="0.25">
      <c r="A153">
        <f>A108</f>
        <v>20</v>
      </c>
      <c r="B153">
        <f t="shared" ref="B153:J153" si="6">B108</f>
        <v>19</v>
      </c>
      <c r="C153">
        <f t="shared" si="6"/>
        <v>18</v>
      </c>
      <c r="D153">
        <f t="shared" si="6"/>
        <v>17</v>
      </c>
      <c r="E153">
        <f t="shared" si="6"/>
        <v>16</v>
      </c>
      <c r="F153">
        <f t="shared" si="6"/>
        <v>15</v>
      </c>
      <c r="G153">
        <f t="shared" si="6"/>
        <v>14</v>
      </c>
      <c r="H153">
        <f t="shared" si="6"/>
        <v>13</v>
      </c>
      <c r="I153">
        <f t="shared" si="6"/>
        <v>0</v>
      </c>
      <c r="J153">
        <f t="shared" si="6"/>
        <v>0</v>
      </c>
      <c r="L153">
        <f>L108</f>
        <v>20</v>
      </c>
      <c r="M153">
        <f t="shared" ref="M153:U153" si="7">M108</f>
        <v>19</v>
      </c>
      <c r="N153">
        <f t="shared" si="7"/>
        <v>18</v>
      </c>
      <c r="O153">
        <f t="shared" si="7"/>
        <v>17</v>
      </c>
      <c r="P153">
        <f t="shared" si="7"/>
        <v>16</v>
      </c>
      <c r="Q153">
        <f t="shared" si="7"/>
        <v>15</v>
      </c>
      <c r="R153">
        <f t="shared" si="7"/>
        <v>14</v>
      </c>
      <c r="S153">
        <f t="shared" si="7"/>
        <v>13</v>
      </c>
      <c r="T153">
        <f t="shared" si="7"/>
        <v>0</v>
      </c>
      <c r="U153">
        <f t="shared" si="7"/>
        <v>0</v>
      </c>
      <c r="W153">
        <f>W108</f>
        <v>20</v>
      </c>
      <c r="X153">
        <f t="shared" ref="X153:AF153" si="8">X108</f>
        <v>19</v>
      </c>
      <c r="Y153">
        <f t="shared" si="8"/>
        <v>18</v>
      </c>
      <c r="Z153">
        <f t="shared" si="8"/>
        <v>17</v>
      </c>
      <c r="AA153">
        <f t="shared" si="8"/>
        <v>16</v>
      </c>
      <c r="AB153">
        <f t="shared" si="8"/>
        <v>15</v>
      </c>
      <c r="AC153">
        <f t="shared" si="8"/>
        <v>14</v>
      </c>
      <c r="AD153">
        <f t="shared" si="8"/>
        <v>13</v>
      </c>
      <c r="AE153">
        <f t="shared" si="8"/>
        <v>12</v>
      </c>
      <c r="AF153">
        <f t="shared" si="8"/>
        <v>11</v>
      </c>
      <c r="AH153" t="s">
        <v>765</v>
      </c>
    </row>
    <row r="154" spans="1:34" x14ac:dyDescent="0.25">
      <c r="A154">
        <f>A119</f>
        <v>2.6387909570800939E-15</v>
      </c>
      <c r="B154">
        <f t="shared" ref="B154:J154" si="9">B119</f>
        <v>-1.1584935909131988E-15</v>
      </c>
      <c r="C154">
        <f t="shared" si="9"/>
        <v>4.7626958737543001E-15</v>
      </c>
      <c r="D154">
        <f t="shared" si="9"/>
        <v>1.1584935909132084E-15</v>
      </c>
      <c r="E154">
        <f t="shared" si="9"/>
        <v>-2.0595441616234789E-15</v>
      </c>
      <c r="F154">
        <f t="shared" si="9"/>
        <v>-2.5744302020293402E-16</v>
      </c>
      <c r="G154">
        <f t="shared" si="9"/>
        <v>6.6613381477509402E-16</v>
      </c>
      <c r="H154">
        <f t="shared" si="9"/>
        <v>7.7715611723760968E-16</v>
      </c>
      <c r="I154">
        <f t="shared" si="9"/>
        <v>0</v>
      </c>
      <c r="J154">
        <f t="shared" si="9"/>
        <v>0</v>
      </c>
      <c r="L154">
        <f>L119</f>
        <v>2.1558981989814085E-14</v>
      </c>
      <c r="M154">
        <f t="shared" ref="M154:U154" si="10">M119</f>
        <v>-9.4424283821940211E-15</v>
      </c>
      <c r="N154">
        <f t="shared" si="10"/>
        <v>-8.9555531687371453E-15</v>
      </c>
      <c r="O154">
        <f t="shared" si="10"/>
        <v>8.3211400118084803E-15</v>
      </c>
      <c r="P154">
        <f t="shared" si="10"/>
        <v>-9.4424283821940275E-15</v>
      </c>
      <c r="Q154">
        <f t="shared" si="10"/>
        <v>4.4408920985006254E-15</v>
      </c>
      <c r="R154">
        <f t="shared" si="10"/>
        <v>0</v>
      </c>
      <c r="S154">
        <f t="shared" si="10"/>
        <v>0</v>
      </c>
      <c r="T154">
        <f t="shared" si="10"/>
        <v>0</v>
      </c>
      <c r="U154">
        <f t="shared" si="10"/>
        <v>0</v>
      </c>
      <c r="W154">
        <f>W119</f>
        <v>0</v>
      </c>
      <c r="X154">
        <f t="shared" ref="X154:AF154" si="11">X119</f>
        <v>0</v>
      </c>
      <c r="Y154">
        <f t="shared" si="11"/>
        <v>0</v>
      </c>
      <c r="Z154">
        <f t="shared" si="11"/>
        <v>0</v>
      </c>
      <c r="AA154">
        <f t="shared" si="11"/>
        <v>0</v>
      </c>
      <c r="AB154">
        <f t="shared" si="11"/>
        <v>0</v>
      </c>
      <c r="AC154">
        <f t="shared" si="11"/>
        <v>0.66666666666666541</v>
      </c>
      <c r="AD154">
        <f t="shared" si="11"/>
        <v>1.3333333333333353</v>
      </c>
      <c r="AE154">
        <f t="shared" si="11"/>
        <v>1.9999999999999996</v>
      </c>
      <c r="AF154">
        <f t="shared" si="11"/>
        <v>2.666666666666667</v>
      </c>
      <c r="AH154" t="s">
        <v>805</v>
      </c>
    </row>
    <row r="155" spans="1:34" x14ac:dyDescent="0.25">
      <c r="A155">
        <f>A144</f>
        <v>1.7763568394002506E-16</v>
      </c>
      <c r="B155">
        <f t="shared" ref="B155:J155" si="12">B144</f>
        <v>6.666666666666661E-2</v>
      </c>
      <c r="C155">
        <f t="shared" si="12"/>
        <v>0.13333333333333358</v>
      </c>
      <c r="D155">
        <f t="shared" si="12"/>
        <v>0.20000000000000009</v>
      </c>
      <c r="E155">
        <f t="shared" si="12"/>
        <v>0.2666666666666665</v>
      </c>
      <c r="F155">
        <f t="shared" si="12"/>
        <v>0.33333333333333331</v>
      </c>
      <c r="G155">
        <f t="shared" si="12"/>
        <v>0.4</v>
      </c>
      <c r="H155">
        <f t="shared" si="12"/>
        <v>0.46666666666666667</v>
      </c>
      <c r="I155">
        <f t="shared" si="12"/>
        <v>0</v>
      </c>
      <c r="J155">
        <f t="shared" si="12"/>
        <v>0</v>
      </c>
      <c r="L155">
        <f>L144</f>
        <v>0</v>
      </c>
      <c r="M155">
        <f t="shared" ref="M155:U155" si="13">M144</f>
        <v>6.666666666666661E-2</v>
      </c>
      <c r="N155">
        <f t="shared" si="13"/>
        <v>0.13333333333333339</v>
      </c>
      <c r="O155">
        <f t="shared" si="13"/>
        <v>0.2</v>
      </c>
      <c r="P155">
        <f t="shared" si="13"/>
        <v>0.26666666666666661</v>
      </c>
      <c r="Q155">
        <f t="shared" si="13"/>
        <v>0.3333333333333332</v>
      </c>
      <c r="R155">
        <f t="shared" si="13"/>
        <v>0.40000000000000024</v>
      </c>
      <c r="S155">
        <f t="shared" si="13"/>
        <v>0.46666666666666501</v>
      </c>
      <c r="T155">
        <f t="shared" si="13"/>
        <v>0</v>
      </c>
      <c r="U155">
        <f t="shared" si="13"/>
        <v>0</v>
      </c>
      <c r="V155" t="s">
        <v>313</v>
      </c>
      <c r="W155">
        <f t="shared" ref="W155:AE155" si="14">W147</f>
        <v>-2.0605739337042821E-15</v>
      </c>
      <c r="X155">
        <f t="shared" si="14"/>
        <v>0.19999999999999798</v>
      </c>
      <c r="Y155">
        <f t="shared" si="14"/>
        <v>0.39999999999999963</v>
      </c>
      <c r="Z155">
        <f t="shared" si="14"/>
        <v>0.5999999999999972</v>
      </c>
      <c r="AA155">
        <f t="shared" si="14"/>
        <v>0.7999999999999976</v>
      </c>
      <c r="AB155">
        <f t="shared" si="14"/>
        <v>1</v>
      </c>
      <c r="AC155">
        <f t="shared" si="14"/>
        <v>1.0666666666666678</v>
      </c>
      <c r="AD155">
        <f t="shared" si="14"/>
        <v>1.1333333333333311</v>
      </c>
      <c r="AE155">
        <f t="shared" si="14"/>
        <v>1.2000000000000002</v>
      </c>
      <c r="AF155">
        <f>AF147</f>
        <v>1.2666666666666662</v>
      </c>
      <c r="AH155" t="s">
        <v>1632</v>
      </c>
    </row>
    <row r="157" spans="1:34" x14ac:dyDescent="0.25">
      <c r="A157">
        <f>A151/A152</f>
        <v>4.5000000000000009</v>
      </c>
      <c r="B157">
        <f t="shared" ref="B157:J157" si="15">B151/B152</f>
        <v>4.0333333333333332</v>
      </c>
      <c r="C157">
        <f t="shared" si="15"/>
        <v>3.5666666666666687</v>
      </c>
      <c r="D157">
        <f t="shared" si="15"/>
        <v>3.1000000000000005</v>
      </c>
      <c r="E157">
        <f t="shared" si="15"/>
        <v>2.633333333333332</v>
      </c>
      <c r="F157">
        <f t="shared" si="15"/>
        <v>2.1666666666666665</v>
      </c>
      <c r="G157">
        <f t="shared" si="15"/>
        <v>1.7</v>
      </c>
      <c r="H157">
        <f t="shared" si="15"/>
        <v>1.2333333333333336</v>
      </c>
      <c r="I157" t="e">
        <f t="shared" si="15"/>
        <v>#DIV/0!</v>
      </c>
      <c r="J157" t="e">
        <f t="shared" si="15"/>
        <v>#DIV/0!</v>
      </c>
      <c r="L157">
        <f>L151/L152</f>
        <v>5.5000000000000044</v>
      </c>
      <c r="M157">
        <f t="shared" ref="M157:U157" si="16">M151/M152</f>
        <v>5.0333333333333314</v>
      </c>
      <c r="N157">
        <f t="shared" si="16"/>
        <v>4.5666666666666647</v>
      </c>
      <c r="O157">
        <f t="shared" si="16"/>
        <v>4.1000000000000023</v>
      </c>
      <c r="P157">
        <f t="shared" si="16"/>
        <v>3.6333333333333315</v>
      </c>
      <c r="Q157">
        <f t="shared" si="16"/>
        <v>3.1666666666666674</v>
      </c>
      <c r="R157">
        <f t="shared" si="16"/>
        <v>2.7000000000000006</v>
      </c>
      <c r="S157">
        <f t="shared" si="16"/>
        <v>2.2333333333333303</v>
      </c>
      <c r="T157" t="e">
        <f t="shared" si="16"/>
        <v>#DIV/0!</v>
      </c>
      <c r="U157" t="e">
        <f t="shared" si="16"/>
        <v>#DIV/0!</v>
      </c>
      <c r="W157">
        <f>W151/W152</f>
        <v>5.9999999999999982</v>
      </c>
      <c r="X157">
        <f t="shared" ref="X157:AF157" si="17">X151/X152</f>
        <v>5.4999999999999991</v>
      </c>
      <c r="Y157">
        <f t="shared" si="17"/>
        <v>5</v>
      </c>
      <c r="Z157">
        <f t="shared" si="17"/>
        <v>4.4999999999999982</v>
      </c>
      <c r="AA157">
        <f t="shared" si="17"/>
        <v>3.9999999999999987</v>
      </c>
      <c r="AB157">
        <f t="shared" si="17"/>
        <v>3.5</v>
      </c>
      <c r="AC157">
        <f t="shared" si="17"/>
        <v>2.8833333333333342</v>
      </c>
      <c r="AD157">
        <f t="shared" si="17"/>
        <v>2.2666666666666648</v>
      </c>
      <c r="AE157">
        <f t="shared" si="17"/>
        <v>1.65</v>
      </c>
      <c r="AF157">
        <f t="shared" si="17"/>
        <v>1.033333333333333</v>
      </c>
      <c r="AH157" t="s">
        <v>1633</v>
      </c>
    </row>
    <row r="158" spans="1:34" x14ac:dyDescent="0.25">
      <c r="A158">
        <f>A153/A152</f>
        <v>2</v>
      </c>
      <c r="B158">
        <f t="shared" ref="B158:J158" si="18">B153/B152</f>
        <v>1.9</v>
      </c>
      <c r="C158">
        <f t="shared" si="18"/>
        <v>1.8</v>
      </c>
      <c r="D158">
        <f t="shared" si="18"/>
        <v>1.7</v>
      </c>
      <c r="E158">
        <f t="shared" si="18"/>
        <v>1.6</v>
      </c>
      <c r="F158">
        <f t="shared" si="18"/>
        <v>1.5</v>
      </c>
      <c r="G158">
        <f t="shared" si="18"/>
        <v>1.4</v>
      </c>
      <c r="H158">
        <f t="shared" si="18"/>
        <v>1.3</v>
      </c>
      <c r="I158" t="e">
        <f t="shared" si="18"/>
        <v>#DIV/0!</v>
      </c>
      <c r="J158" t="e">
        <f t="shared" si="18"/>
        <v>#DIV/0!</v>
      </c>
      <c r="L158">
        <f>L153/L152</f>
        <v>2</v>
      </c>
      <c r="M158">
        <f t="shared" ref="M158:U158" si="19">M153/M152</f>
        <v>1.9</v>
      </c>
      <c r="N158">
        <f t="shared" si="19"/>
        <v>1.8</v>
      </c>
      <c r="O158">
        <f t="shared" si="19"/>
        <v>1.7</v>
      </c>
      <c r="P158">
        <f t="shared" si="19"/>
        <v>1.6</v>
      </c>
      <c r="Q158">
        <f t="shared" si="19"/>
        <v>1.5</v>
      </c>
      <c r="R158">
        <f t="shared" si="19"/>
        <v>1.4</v>
      </c>
      <c r="S158">
        <f t="shared" si="19"/>
        <v>1.3</v>
      </c>
      <c r="T158" t="e">
        <f t="shared" si="19"/>
        <v>#DIV/0!</v>
      </c>
      <c r="U158" t="e">
        <f t="shared" si="19"/>
        <v>#DIV/0!</v>
      </c>
      <c r="W158">
        <f>W153/W152</f>
        <v>2</v>
      </c>
      <c r="X158">
        <f t="shared" ref="X158:AF158" si="20">X153/X152</f>
        <v>1.9</v>
      </c>
      <c r="Y158">
        <f t="shared" si="20"/>
        <v>1.8</v>
      </c>
      <c r="Z158">
        <f t="shared" si="20"/>
        <v>1.7</v>
      </c>
      <c r="AA158">
        <f t="shared" si="20"/>
        <v>1.6</v>
      </c>
      <c r="AB158">
        <f t="shared" si="20"/>
        <v>1.5</v>
      </c>
      <c r="AC158">
        <f t="shared" si="20"/>
        <v>1.4</v>
      </c>
      <c r="AD158">
        <f t="shared" si="20"/>
        <v>1.3</v>
      </c>
      <c r="AE158">
        <f t="shared" si="20"/>
        <v>1.2</v>
      </c>
      <c r="AF158">
        <f t="shared" si="20"/>
        <v>1.1000000000000001</v>
      </c>
      <c r="AH158" t="s">
        <v>1634</v>
      </c>
    </row>
    <row r="160" spans="1:34" x14ac:dyDescent="0.25">
      <c r="A160">
        <v>4.5000000000000009</v>
      </c>
      <c r="B160">
        <v>4.0333333333333332</v>
      </c>
      <c r="C160">
        <v>3.5666666666666687</v>
      </c>
      <c r="D160">
        <v>3.1000000000000005</v>
      </c>
      <c r="E160">
        <v>2.633333333333332</v>
      </c>
      <c r="F160">
        <v>2.1666666666666665</v>
      </c>
      <c r="G160">
        <v>1.7</v>
      </c>
      <c r="H160">
        <v>1.2333333333333336</v>
      </c>
      <c r="I160" t="e">
        <v>#DIV/0!</v>
      </c>
      <c r="J160" t="e">
        <v>#DIV/0!</v>
      </c>
      <c r="L160">
        <v>5.5000000000000044</v>
      </c>
      <c r="M160">
        <v>5.0333333333333314</v>
      </c>
      <c r="N160">
        <v>4.5666666666666647</v>
      </c>
      <c r="O160">
        <v>4.1000000000000023</v>
      </c>
      <c r="P160">
        <v>3.6333333333333315</v>
      </c>
      <c r="Q160">
        <v>3.1666666666666674</v>
      </c>
      <c r="R160">
        <v>2.7000000000000006</v>
      </c>
      <c r="S160">
        <v>2.2333333333333303</v>
      </c>
      <c r="T160" t="e">
        <v>#DIV/0!</v>
      </c>
      <c r="U160" t="e">
        <v>#DIV/0!</v>
      </c>
      <c r="W160">
        <v>5.9999999999999982</v>
      </c>
      <c r="X160">
        <v>5.4999999999999991</v>
      </c>
      <c r="Y160">
        <v>5</v>
      </c>
      <c r="Z160">
        <v>4.4999999999999982</v>
      </c>
      <c r="AA160">
        <v>3.9999999999999987</v>
      </c>
      <c r="AB160">
        <v>3.5</v>
      </c>
      <c r="AC160">
        <v>2.8833333333333342</v>
      </c>
      <c r="AD160">
        <v>2.2666666666666648</v>
      </c>
      <c r="AE160">
        <v>1.65</v>
      </c>
      <c r="AF160">
        <v>1.033333333333333</v>
      </c>
      <c r="AH160" t="s">
        <v>1633</v>
      </c>
    </row>
    <row r="161" spans="1:34" x14ac:dyDescent="0.25">
      <c r="A161">
        <v>2</v>
      </c>
      <c r="B161">
        <v>1.9</v>
      </c>
      <c r="C161">
        <v>1.8</v>
      </c>
      <c r="D161">
        <v>1.7</v>
      </c>
      <c r="E161">
        <v>1.6</v>
      </c>
      <c r="F161">
        <v>1.5</v>
      </c>
      <c r="G161">
        <v>1.4</v>
      </c>
      <c r="H161">
        <v>1.3</v>
      </c>
      <c r="I161" t="e">
        <v>#DIV/0!</v>
      </c>
      <c r="J161" t="e">
        <v>#DIV/0!</v>
      </c>
      <c r="L161">
        <v>2</v>
      </c>
      <c r="M161">
        <v>1.9</v>
      </c>
      <c r="N161">
        <v>1.8</v>
      </c>
      <c r="O161">
        <v>1.7</v>
      </c>
      <c r="P161">
        <v>1.6</v>
      </c>
      <c r="Q161">
        <v>1.5</v>
      </c>
      <c r="R161">
        <v>1.4</v>
      </c>
      <c r="S161">
        <v>1.3</v>
      </c>
      <c r="T161" t="e">
        <v>#DIV/0!</v>
      </c>
      <c r="U161" t="e">
        <v>#DIV/0!</v>
      </c>
      <c r="W161">
        <v>2</v>
      </c>
      <c r="X161">
        <v>1.9</v>
      </c>
      <c r="Y161">
        <v>1.8</v>
      </c>
      <c r="Z161">
        <v>1.7</v>
      </c>
      <c r="AA161">
        <v>1.6</v>
      </c>
      <c r="AB161">
        <v>1.5</v>
      </c>
      <c r="AC161">
        <v>1.4</v>
      </c>
      <c r="AD161">
        <v>1.3</v>
      </c>
      <c r="AE161">
        <v>1.2</v>
      </c>
      <c r="AF161">
        <v>1.1000000000000001</v>
      </c>
      <c r="AH161" t="s">
        <v>1634</v>
      </c>
    </row>
    <row r="163" spans="1:34" x14ac:dyDescent="0.25">
      <c r="A163">
        <v>4.5000000000000009</v>
      </c>
      <c r="B163">
        <v>2</v>
      </c>
      <c r="L163">
        <v>5.5000000000000044</v>
      </c>
      <c r="M163">
        <v>2</v>
      </c>
      <c r="W163">
        <v>5.9999999999999982</v>
      </c>
      <c r="X163">
        <v>2</v>
      </c>
    </row>
    <row r="164" spans="1:34" x14ac:dyDescent="0.25">
      <c r="A164">
        <v>4.0333333333333332</v>
      </c>
      <c r="B164">
        <v>1.9</v>
      </c>
      <c r="L164">
        <v>5.0333333333333314</v>
      </c>
      <c r="M164">
        <v>1.9</v>
      </c>
      <c r="W164">
        <v>5.4999999999999991</v>
      </c>
      <c r="X164">
        <v>1.9</v>
      </c>
    </row>
    <row r="165" spans="1:34" x14ac:dyDescent="0.25">
      <c r="A165">
        <v>3.5666666666666687</v>
      </c>
      <c r="B165">
        <v>1.8</v>
      </c>
      <c r="L165">
        <v>4.5666666666666647</v>
      </c>
      <c r="M165">
        <v>1.8</v>
      </c>
      <c r="W165">
        <v>5</v>
      </c>
      <c r="X165">
        <v>1.8</v>
      </c>
    </row>
    <row r="166" spans="1:34" x14ac:dyDescent="0.25">
      <c r="A166">
        <v>3.1000000000000005</v>
      </c>
      <c r="B166">
        <v>1.7</v>
      </c>
      <c r="L166">
        <v>4.1000000000000023</v>
      </c>
      <c r="M166">
        <v>1.7</v>
      </c>
      <c r="W166">
        <v>4.4999999999999982</v>
      </c>
      <c r="X166">
        <v>1.7</v>
      </c>
    </row>
    <row r="167" spans="1:34" x14ac:dyDescent="0.25">
      <c r="A167">
        <v>2.633333333333332</v>
      </c>
      <c r="B167">
        <v>1.6</v>
      </c>
      <c r="L167">
        <v>3.6333333333333315</v>
      </c>
      <c r="M167">
        <v>1.6</v>
      </c>
      <c r="W167">
        <v>3.9999999999999987</v>
      </c>
      <c r="X167">
        <v>1.6</v>
      </c>
    </row>
    <row r="168" spans="1:34" x14ac:dyDescent="0.25">
      <c r="A168">
        <v>2.1666666666666665</v>
      </c>
      <c r="B168">
        <v>1.5</v>
      </c>
      <c r="L168">
        <v>3.1666666666666674</v>
      </c>
      <c r="M168">
        <v>1.5</v>
      </c>
      <c r="W168">
        <v>3.5</v>
      </c>
      <c r="X168">
        <v>1.5</v>
      </c>
    </row>
    <row r="169" spans="1:34" x14ac:dyDescent="0.25">
      <c r="A169">
        <v>1.7</v>
      </c>
      <c r="B169">
        <v>1.4</v>
      </c>
      <c r="L169">
        <v>2.7000000000000006</v>
      </c>
      <c r="M169">
        <v>1.4</v>
      </c>
      <c r="W169">
        <v>2.8833333333333342</v>
      </c>
      <c r="X169">
        <v>1.4</v>
      </c>
    </row>
    <row r="170" spans="1:34" x14ac:dyDescent="0.25">
      <c r="A170">
        <v>1.2333333333333336</v>
      </c>
      <c r="B170">
        <v>1.3</v>
      </c>
      <c r="L170">
        <v>2.2333333333333303</v>
      </c>
      <c r="M170">
        <v>1.3</v>
      </c>
      <c r="W170">
        <v>2.2666666666666648</v>
      </c>
      <c r="X170">
        <v>1.3</v>
      </c>
    </row>
    <row r="171" spans="1:34" x14ac:dyDescent="0.25">
      <c r="A171" t="e">
        <v>#DIV/0!</v>
      </c>
      <c r="B171" t="e">
        <v>#DIV/0!</v>
      </c>
      <c r="L171" t="e">
        <v>#DIV/0!</v>
      </c>
      <c r="M171" t="e">
        <v>#DIV/0!</v>
      </c>
      <c r="W171">
        <v>1.65</v>
      </c>
      <c r="X171">
        <v>1.2</v>
      </c>
    </row>
    <row r="172" spans="1:34" x14ac:dyDescent="0.25">
      <c r="A172" t="e">
        <v>#DIV/0!</v>
      </c>
      <c r="B172" t="e">
        <v>#DIV/0!</v>
      </c>
      <c r="L172" t="e">
        <v>#DIV/0!</v>
      </c>
      <c r="M172" t="e">
        <v>#DIV/0!</v>
      </c>
      <c r="W172">
        <v>1.033333333333333</v>
      </c>
      <c r="X172">
        <v>1.1000000000000001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9473-655B-4891-A7D2-4F3E8AAD8CA2}">
  <sheetPr codeName="Sheet18"/>
  <dimension ref="A1:AI148"/>
  <sheetViews>
    <sheetView topLeftCell="AD1" workbookViewId="0">
      <selection activeCell="AW31" sqref="AW31"/>
    </sheetView>
  </sheetViews>
  <sheetFormatPr defaultRowHeight="15" x14ac:dyDescent="0.25"/>
  <sheetData>
    <row r="1" spans="1:35" x14ac:dyDescent="0.25">
      <c r="A1" t="s">
        <v>1636</v>
      </c>
    </row>
    <row r="3" spans="1:35" x14ac:dyDescent="0.25">
      <c r="A3" t="s">
        <v>871</v>
      </c>
      <c r="L3" t="s">
        <v>870</v>
      </c>
      <c r="W3" t="s">
        <v>872</v>
      </c>
    </row>
    <row r="4" spans="1:35" x14ac:dyDescent="0.25">
      <c r="A4">
        <v>0</v>
      </c>
      <c r="B4">
        <v>0</v>
      </c>
      <c r="C4">
        <v>0</v>
      </c>
      <c r="D4">
        <v>0</v>
      </c>
      <c r="E4">
        <v>0</v>
      </c>
      <c r="F4">
        <v>0</v>
      </c>
      <c r="G4">
        <v>0</v>
      </c>
      <c r="H4">
        <v>0</v>
      </c>
      <c r="I4">
        <v>0</v>
      </c>
      <c r="J4">
        <v>0</v>
      </c>
      <c r="L4">
        <v>10</v>
      </c>
      <c r="M4">
        <v>10</v>
      </c>
      <c r="N4">
        <v>10</v>
      </c>
      <c r="O4">
        <v>10</v>
      </c>
      <c r="P4">
        <v>10</v>
      </c>
      <c r="Q4">
        <v>10</v>
      </c>
      <c r="R4">
        <v>10</v>
      </c>
      <c r="S4">
        <v>10</v>
      </c>
      <c r="T4">
        <v>10</v>
      </c>
      <c r="U4">
        <v>10</v>
      </c>
      <c r="W4">
        <v>0</v>
      </c>
      <c r="X4">
        <v>0</v>
      </c>
      <c r="Y4">
        <v>0</v>
      </c>
      <c r="Z4">
        <v>0</v>
      </c>
      <c r="AA4">
        <v>0</v>
      </c>
      <c r="AB4">
        <v>0</v>
      </c>
      <c r="AC4">
        <v>0</v>
      </c>
      <c r="AD4">
        <v>0</v>
      </c>
      <c r="AE4">
        <v>0</v>
      </c>
      <c r="AF4">
        <v>0</v>
      </c>
      <c r="AH4" t="s">
        <v>343</v>
      </c>
      <c r="AI4" t="s">
        <v>987</v>
      </c>
    </row>
    <row r="5" spans="1:35" x14ac:dyDescent="0.25">
      <c r="A5">
        <v>10</v>
      </c>
      <c r="B5">
        <v>10</v>
      </c>
      <c r="C5">
        <v>10</v>
      </c>
      <c r="D5">
        <v>10</v>
      </c>
      <c r="E5">
        <v>10</v>
      </c>
      <c r="F5">
        <v>10</v>
      </c>
      <c r="G5">
        <v>10</v>
      </c>
      <c r="H5">
        <v>10</v>
      </c>
      <c r="I5">
        <v>10</v>
      </c>
      <c r="J5">
        <v>10</v>
      </c>
      <c r="L5">
        <v>0</v>
      </c>
      <c r="M5">
        <v>0</v>
      </c>
      <c r="N5">
        <v>0</v>
      </c>
      <c r="O5">
        <v>0</v>
      </c>
      <c r="P5">
        <v>0</v>
      </c>
      <c r="Q5">
        <v>0</v>
      </c>
      <c r="R5">
        <v>0</v>
      </c>
      <c r="S5">
        <v>0</v>
      </c>
      <c r="T5">
        <v>0</v>
      </c>
      <c r="U5">
        <v>0</v>
      </c>
      <c r="W5">
        <v>0</v>
      </c>
      <c r="X5">
        <v>0</v>
      </c>
      <c r="Y5">
        <v>0</v>
      </c>
      <c r="Z5">
        <v>0</v>
      </c>
      <c r="AA5">
        <v>0</v>
      </c>
      <c r="AB5">
        <v>0</v>
      </c>
      <c r="AC5">
        <v>0</v>
      </c>
      <c r="AD5">
        <v>0</v>
      </c>
      <c r="AE5">
        <v>0</v>
      </c>
      <c r="AF5">
        <v>0</v>
      </c>
      <c r="AH5" t="s">
        <v>348</v>
      </c>
      <c r="AI5" t="s">
        <v>992</v>
      </c>
    </row>
    <row r="6" spans="1:35" x14ac:dyDescent="0.25">
      <c r="A6">
        <v>0</v>
      </c>
      <c r="B6">
        <v>0</v>
      </c>
      <c r="C6">
        <v>0</v>
      </c>
      <c r="D6">
        <v>0</v>
      </c>
      <c r="E6">
        <v>0</v>
      </c>
      <c r="F6">
        <v>0</v>
      </c>
      <c r="G6">
        <v>0</v>
      </c>
      <c r="H6">
        <v>0</v>
      </c>
      <c r="I6">
        <v>0</v>
      </c>
      <c r="J6">
        <v>0</v>
      </c>
      <c r="L6">
        <v>0</v>
      </c>
      <c r="M6">
        <v>0</v>
      </c>
      <c r="N6">
        <v>0</v>
      </c>
      <c r="O6">
        <v>0</v>
      </c>
      <c r="P6">
        <v>0</v>
      </c>
      <c r="Q6">
        <v>0</v>
      </c>
      <c r="R6">
        <v>0</v>
      </c>
      <c r="S6">
        <v>0</v>
      </c>
      <c r="T6">
        <v>0</v>
      </c>
      <c r="U6">
        <v>0</v>
      </c>
      <c r="W6">
        <v>10</v>
      </c>
      <c r="X6">
        <v>10</v>
      </c>
      <c r="Y6">
        <v>10</v>
      </c>
      <c r="Z6">
        <v>10</v>
      </c>
      <c r="AA6">
        <v>10</v>
      </c>
      <c r="AB6">
        <v>10</v>
      </c>
      <c r="AC6">
        <v>10</v>
      </c>
      <c r="AD6">
        <v>10</v>
      </c>
      <c r="AE6">
        <v>10</v>
      </c>
      <c r="AF6">
        <v>10</v>
      </c>
      <c r="AH6" t="s">
        <v>353</v>
      </c>
      <c r="AI6" t="s">
        <v>997</v>
      </c>
    </row>
    <row r="7" spans="1:35" x14ac:dyDescent="0.25">
      <c r="A7">
        <v>10</v>
      </c>
      <c r="B7">
        <v>10</v>
      </c>
      <c r="C7">
        <v>10</v>
      </c>
      <c r="D7">
        <v>10</v>
      </c>
      <c r="E7">
        <v>10</v>
      </c>
      <c r="F7">
        <v>10</v>
      </c>
      <c r="G7">
        <v>10</v>
      </c>
      <c r="H7">
        <v>10</v>
      </c>
      <c r="I7">
        <v>9.9825030376670707</v>
      </c>
      <c r="J7">
        <v>9.319076549210207</v>
      </c>
      <c r="L7">
        <v>10</v>
      </c>
      <c r="M7">
        <v>10</v>
      </c>
      <c r="N7">
        <v>10</v>
      </c>
      <c r="O7">
        <v>10</v>
      </c>
      <c r="P7">
        <v>10</v>
      </c>
      <c r="Q7">
        <v>10</v>
      </c>
      <c r="R7">
        <v>10</v>
      </c>
      <c r="S7">
        <v>10</v>
      </c>
      <c r="T7">
        <v>9.9825030376670796</v>
      </c>
      <c r="U7">
        <v>9.3190765492102194</v>
      </c>
      <c r="W7">
        <v>0</v>
      </c>
      <c r="X7">
        <v>0</v>
      </c>
      <c r="Y7">
        <v>0</v>
      </c>
      <c r="Z7">
        <v>0</v>
      </c>
      <c r="AA7">
        <v>0</v>
      </c>
      <c r="AB7">
        <v>0</v>
      </c>
      <c r="AC7">
        <v>0</v>
      </c>
      <c r="AD7">
        <v>0</v>
      </c>
      <c r="AE7">
        <v>0</v>
      </c>
      <c r="AF7">
        <v>0</v>
      </c>
      <c r="AH7" t="s">
        <v>357</v>
      </c>
      <c r="AI7" t="s">
        <v>999</v>
      </c>
    </row>
    <row r="8" spans="1:35" x14ac:dyDescent="0.25">
      <c r="A8">
        <v>0</v>
      </c>
      <c r="B8">
        <v>0</v>
      </c>
      <c r="C8">
        <v>0</v>
      </c>
      <c r="D8">
        <v>0</v>
      </c>
      <c r="E8">
        <v>0</v>
      </c>
      <c r="F8">
        <v>0</v>
      </c>
      <c r="G8">
        <v>0</v>
      </c>
      <c r="H8">
        <v>0</v>
      </c>
      <c r="I8">
        <v>0</v>
      </c>
      <c r="J8">
        <v>0</v>
      </c>
      <c r="L8">
        <v>0</v>
      </c>
      <c r="M8">
        <v>0</v>
      </c>
      <c r="N8">
        <v>0</v>
      </c>
      <c r="O8">
        <v>0</v>
      </c>
      <c r="P8">
        <v>0</v>
      </c>
      <c r="Q8">
        <v>0</v>
      </c>
      <c r="R8">
        <v>0</v>
      </c>
      <c r="S8">
        <v>0</v>
      </c>
      <c r="T8">
        <v>0</v>
      </c>
      <c r="U8">
        <v>0</v>
      </c>
      <c r="W8">
        <v>0</v>
      </c>
      <c r="X8">
        <v>0</v>
      </c>
      <c r="Y8">
        <v>0</v>
      </c>
      <c r="Z8">
        <v>0</v>
      </c>
      <c r="AA8">
        <v>0</v>
      </c>
      <c r="AB8">
        <v>0</v>
      </c>
      <c r="AC8">
        <v>0</v>
      </c>
      <c r="AD8">
        <v>0</v>
      </c>
      <c r="AE8">
        <v>0</v>
      </c>
      <c r="AF8">
        <v>0</v>
      </c>
      <c r="AH8" t="s">
        <v>361</v>
      </c>
      <c r="AI8" t="s">
        <v>1005</v>
      </c>
    </row>
    <row r="9" spans="1:35" x14ac:dyDescent="0.25">
      <c r="A9">
        <v>0</v>
      </c>
      <c r="B9">
        <v>0</v>
      </c>
      <c r="C9">
        <v>0</v>
      </c>
      <c r="D9">
        <v>0</v>
      </c>
      <c r="E9">
        <v>0</v>
      </c>
      <c r="F9">
        <v>0</v>
      </c>
      <c r="G9">
        <v>0</v>
      </c>
      <c r="H9">
        <v>0</v>
      </c>
      <c r="I9">
        <v>0</v>
      </c>
      <c r="J9">
        <v>0</v>
      </c>
      <c r="L9">
        <v>0</v>
      </c>
      <c r="M9">
        <v>0</v>
      </c>
      <c r="N9">
        <v>0</v>
      </c>
      <c r="O9">
        <v>0</v>
      </c>
      <c r="P9">
        <v>0</v>
      </c>
      <c r="Q9">
        <v>0</v>
      </c>
      <c r="R9">
        <v>0</v>
      </c>
      <c r="S9">
        <v>0</v>
      </c>
      <c r="T9">
        <v>0</v>
      </c>
      <c r="U9">
        <v>0</v>
      </c>
      <c r="W9">
        <v>0</v>
      </c>
      <c r="X9">
        <v>0</v>
      </c>
      <c r="Y9">
        <v>0</v>
      </c>
      <c r="Z9">
        <v>0</v>
      </c>
      <c r="AA9">
        <v>0</v>
      </c>
      <c r="AB9">
        <v>0</v>
      </c>
      <c r="AC9">
        <v>0</v>
      </c>
      <c r="AD9">
        <v>0</v>
      </c>
      <c r="AE9">
        <v>0</v>
      </c>
      <c r="AF9">
        <v>0</v>
      </c>
      <c r="AH9" t="s">
        <v>366</v>
      </c>
      <c r="AI9" t="s">
        <v>1009</v>
      </c>
    </row>
    <row r="10" spans="1:35" x14ac:dyDescent="0.25">
      <c r="A10">
        <v>0</v>
      </c>
      <c r="B10">
        <v>0</v>
      </c>
      <c r="C10">
        <v>0</v>
      </c>
      <c r="D10">
        <v>0</v>
      </c>
      <c r="E10">
        <v>0</v>
      </c>
      <c r="F10">
        <v>0</v>
      </c>
      <c r="G10">
        <v>0</v>
      </c>
      <c r="H10">
        <v>0</v>
      </c>
      <c r="I10">
        <v>0</v>
      </c>
      <c r="J10">
        <v>0</v>
      </c>
      <c r="L10">
        <v>0</v>
      </c>
      <c r="M10">
        <v>0</v>
      </c>
      <c r="N10">
        <v>0</v>
      </c>
      <c r="O10">
        <v>0</v>
      </c>
      <c r="P10">
        <v>0</v>
      </c>
      <c r="Q10">
        <v>0</v>
      </c>
      <c r="R10">
        <v>0</v>
      </c>
      <c r="S10">
        <v>0</v>
      </c>
      <c r="T10">
        <v>0</v>
      </c>
      <c r="U10">
        <v>0</v>
      </c>
      <c r="W10">
        <v>0</v>
      </c>
      <c r="X10">
        <v>0</v>
      </c>
      <c r="Y10">
        <v>0</v>
      </c>
      <c r="Z10">
        <v>0</v>
      </c>
      <c r="AA10">
        <v>0</v>
      </c>
      <c r="AB10">
        <v>0</v>
      </c>
      <c r="AC10">
        <v>0</v>
      </c>
      <c r="AD10">
        <v>0</v>
      </c>
      <c r="AE10">
        <v>0</v>
      </c>
      <c r="AF10">
        <v>0</v>
      </c>
      <c r="AH10" t="s">
        <v>371</v>
      </c>
      <c r="AI10" t="s">
        <v>1027</v>
      </c>
    </row>
    <row r="11" spans="1:35" x14ac:dyDescent="0.25">
      <c r="A11">
        <v>0</v>
      </c>
      <c r="B11">
        <v>0</v>
      </c>
      <c r="C11">
        <v>0</v>
      </c>
      <c r="D11">
        <v>0</v>
      </c>
      <c r="E11">
        <v>0</v>
      </c>
      <c r="F11">
        <v>0</v>
      </c>
      <c r="G11">
        <v>0</v>
      </c>
      <c r="H11">
        <v>0</v>
      </c>
      <c r="I11">
        <v>0</v>
      </c>
      <c r="J11">
        <v>0</v>
      </c>
      <c r="L11">
        <v>0</v>
      </c>
      <c r="M11">
        <v>0</v>
      </c>
      <c r="N11">
        <v>0</v>
      </c>
      <c r="O11">
        <v>0</v>
      </c>
      <c r="P11">
        <v>0</v>
      </c>
      <c r="Q11">
        <v>0</v>
      </c>
      <c r="R11">
        <v>0</v>
      </c>
      <c r="S11">
        <v>0</v>
      </c>
      <c r="T11">
        <v>0</v>
      </c>
      <c r="U11">
        <v>0</v>
      </c>
      <c r="W11">
        <v>0</v>
      </c>
      <c r="X11">
        <v>0</v>
      </c>
      <c r="Y11">
        <v>0</v>
      </c>
      <c r="Z11">
        <v>0</v>
      </c>
      <c r="AA11">
        <v>0</v>
      </c>
      <c r="AB11">
        <v>0</v>
      </c>
      <c r="AC11">
        <v>0</v>
      </c>
      <c r="AD11">
        <v>0</v>
      </c>
      <c r="AE11">
        <v>0</v>
      </c>
      <c r="AF11">
        <v>0</v>
      </c>
      <c r="AH11" t="s">
        <v>375</v>
      </c>
      <c r="AI11" t="s">
        <v>1031</v>
      </c>
    </row>
    <row r="12" spans="1:35" x14ac:dyDescent="0.25">
      <c r="A12">
        <v>0</v>
      </c>
      <c r="B12">
        <v>0</v>
      </c>
      <c r="C12">
        <v>0</v>
      </c>
      <c r="D12">
        <v>0</v>
      </c>
      <c r="E12">
        <v>0</v>
      </c>
      <c r="F12">
        <v>0</v>
      </c>
      <c r="G12">
        <v>0</v>
      </c>
      <c r="H12">
        <v>0</v>
      </c>
      <c r="I12">
        <v>0</v>
      </c>
      <c r="J12">
        <v>0</v>
      </c>
      <c r="L12">
        <v>0</v>
      </c>
      <c r="M12">
        <v>0</v>
      </c>
      <c r="N12">
        <v>0</v>
      </c>
      <c r="O12">
        <v>0</v>
      </c>
      <c r="P12">
        <v>0</v>
      </c>
      <c r="Q12">
        <v>0</v>
      </c>
      <c r="R12">
        <v>0</v>
      </c>
      <c r="S12">
        <v>0</v>
      </c>
      <c r="T12">
        <v>0</v>
      </c>
      <c r="U12">
        <v>0</v>
      </c>
      <c r="W12">
        <v>0</v>
      </c>
      <c r="X12">
        <v>0</v>
      </c>
      <c r="Y12">
        <v>0</v>
      </c>
      <c r="Z12">
        <v>0</v>
      </c>
      <c r="AA12">
        <v>0</v>
      </c>
      <c r="AB12">
        <v>0</v>
      </c>
      <c r="AC12">
        <v>0</v>
      </c>
      <c r="AD12">
        <v>0</v>
      </c>
      <c r="AE12">
        <v>0</v>
      </c>
      <c r="AF12">
        <v>0</v>
      </c>
      <c r="AH12" t="s">
        <v>380</v>
      </c>
      <c r="AI12" t="s">
        <v>1035</v>
      </c>
    </row>
    <row r="13" spans="1:35" x14ac:dyDescent="0.25">
      <c r="A13">
        <v>0</v>
      </c>
      <c r="B13">
        <v>0</v>
      </c>
      <c r="C13">
        <v>0</v>
      </c>
      <c r="D13">
        <v>0</v>
      </c>
      <c r="E13">
        <v>0</v>
      </c>
      <c r="F13">
        <v>0</v>
      </c>
      <c r="G13">
        <v>0</v>
      </c>
      <c r="H13">
        <v>0</v>
      </c>
      <c r="I13">
        <v>0</v>
      </c>
      <c r="J13">
        <v>0</v>
      </c>
      <c r="L13">
        <v>0</v>
      </c>
      <c r="M13">
        <v>0</v>
      </c>
      <c r="N13">
        <v>0</v>
      </c>
      <c r="O13">
        <v>0</v>
      </c>
      <c r="P13">
        <v>0</v>
      </c>
      <c r="Q13">
        <v>0</v>
      </c>
      <c r="R13">
        <v>0</v>
      </c>
      <c r="S13">
        <v>0</v>
      </c>
      <c r="T13">
        <v>0</v>
      </c>
      <c r="U13">
        <v>0</v>
      </c>
      <c r="W13">
        <v>0</v>
      </c>
      <c r="X13">
        <v>0</v>
      </c>
      <c r="Y13">
        <v>0</v>
      </c>
      <c r="Z13">
        <v>0</v>
      </c>
      <c r="AA13">
        <v>0</v>
      </c>
      <c r="AB13">
        <v>0</v>
      </c>
      <c r="AC13">
        <v>0</v>
      </c>
      <c r="AD13">
        <v>0</v>
      </c>
      <c r="AE13">
        <v>0</v>
      </c>
      <c r="AF13">
        <v>0</v>
      </c>
      <c r="AH13" t="s">
        <v>385</v>
      </c>
      <c r="AI13" t="s">
        <v>1036</v>
      </c>
    </row>
    <row r="14" spans="1:35" x14ac:dyDescent="0.25">
      <c r="A14">
        <v>0</v>
      </c>
      <c r="B14">
        <v>0</v>
      </c>
      <c r="C14">
        <v>0</v>
      </c>
      <c r="D14">
        <v>0</v>
      </c>
      <c r="E14">
        <v>0</v>
      </c>
      <c r="F14">
        <v>0</v>
      </c>
      <c r="G14">
        <v>0</v>
      </c>
      <c r="H14">
        <v>0</v>
      </c>
      <c r="I14">
        <v>0</v>
      </c>
      <c r="J14">
        <v>0</v>
      </c>
      <c r="L14">
        <v>0</v>
      </c>
      <c r="M14">
        <v>0</v>
      </c>
      <c r="N14">
        <v>0</v>
      </c>
      <c r="O14">
        <v>0</v>
      </c>
      <c r="P14">
        <v>0</v>
      </c>
      <c r="Q14">
        <v>0</v>
      </c>
      <c r="R14">
        <v>0</v>
      </c>
      <c r="S14">
        <v>0</v>
      </c>
      <c r="T14">
        <v>0</v>
      </c>
      <c r="U14">
        <v>0</v>
      </c>
      <c r="W14">
        <v>0</v>
      </c>
      <c r="X14">
        <v>0</v>
      </c>
      <c r="Y14">
        <v>0</v>
      </c>
      <c r="Z14">
        <v>0</v>
      </c>
      <c r="AA14">
        <v>0</v>
      </c>
      <c r="AB14">
        <v>0</v>
      </c>
      <c r="AC14">
        <v>0</v>
      </c>
      <c r="AD14">
        <v>0</v>
      </c>
      <c r="AE14">
        <v>0</v>
      </c>
      <c r="AF14">
        <v>0</v>
      </c>
      <c r="AH14" t="s">
        <v>390</v>
      </c>
      <c r="AI14" t="s">
        <v>1040</v>
      </c>
    </row>
    <row r="15" spans="1:35" x14ac:dyDescent="0.25">
      <c r="A15">
        <v>10</v>
      </c>
      <c r="B15">
        <v>10</v>
      </c>
      <c r="C15">
        <v>10</v>
      </c>
      <c r="D15">
        <v>10</v>
      </c>
      <c r="E15">
        <v>10</v>
      </c>
      <c r="F15">
        <v>10</v>
      </c>
      <c r="G15">
        <v>10</v>
      </c>
      <c r="H15">
        <v>10</v>
      </c>
      <c r="I15">
        <v>9.9825030376670725</v>
      </c>
      <c r="J15">
        <v>9.3190765492102088</v>
      </c>
      <c r="L15">
        <v>10</v>
      </c>
      <c r="M15">
        <v>10</v>
      </c>
      <c r="N15">
        <v>10</v>
      </c>
      <c r="O15">
        <v>10</v>
      </c>
      <c r="P15">
        <v>10</v>
      </c>
      <c r="Q15">
        <v>10</v>
      </c>
      <c r="R15">
        <v>10</v>
      </c>
      <c r="S15">
        <v>10</v>
      </c>
      <c r="T15">
        <v>9.9825030376670778</v>
      </c>
      <c r="U15">
        <v>9.3190765492102194</v>
      </c>
      <c r="W15">
        <v>10</v>
      </c>
      <c r="X15">
        <v>10</v>
      </c>
      <c r="Y15">
        <v>10</v>
      </c>
      <c r="Z15">
        <v>10</v>
      </c>
      <c r="AA15">
        <v>10</v>
      </c>
      <c r="AB15">
        <v>10</v>
      </c>
      <c r="AC15">
        <v>10</v>
      </c>
      <c r="AD15">
        <v>10</v>
      </c>
      <c r="AE15">
        <v>10</v>
      </c>
      <c r="AF15">
        <v>10</v>
      </c>
      <c r="AH15" t="s">
        <v>394</v>
      </c>
      <c r="AI15" t="s">
        <v>1044</v>
      </c>
    </row>
    <row r="16" spans="1:35" x14ac:dyDescent="0.25">
      <c r="A16">
        <v>10</v>
      </c>
      <c r="B16">
        <v>10</v>
      </c>
      <c r="C16">
        <v>10</v>
      </c>
      <c r="D16">
        <v>9.9999999999999982</v>
      </c>
      <c r="E16">
        <v>9.9999999999999982</v>
      </c>
      <c r="F16">
        <v>9.9999999999999982</v>
      </c>
      <c r="G16">
        <v>9.9999999999999982</v>
      </c>
      <c r="H16">
        <v>10</v>
      </c>
      <c r="I16">
        <v>9.9825030376670725</v>
      </c>
      <c r="J16">
        <v>9.319076549210207</v>
      </c>
      <c r="L16">
        <v>9.9999999999999982</v>
      </c>
      <c r="M16">
        <v>9.9999999999999982</v>
      </c>
      <c r="N16">
        <v>9.9999999999999982</v>
      </c>
      <c r="O16">
        <v>10</v>
      </c>
      <c r="P16">
        <v>9.9999999999999982</v>
      </c>
      <c r="Q16">
        <v>10</v>
      </c>
      <c r="R16">
        <v>9.9999999999999982</v>
      </c>
      <c r="S16">
        <v>9.9999999999999982</v>
      </c>
      <c r="T16">
        <v>9.9825030376670778</v>
      </c>
      <c r="U16">
        <v>9.3190765492102194</v>
      </c>
      <c r="W16">
        <v>9.9999999999999982</v>
      </c>
      <c r="X16">
        <v>9.9999999999999982</v>
      </c>
      <c r="Y16">
        <v>9.9999999999999982</v>
      </c>
      <c r="Z16">
        <v>9.9999999999999982</v>
      </c>
      <c r="AA16">
        <v>9.9999999999999982</v>
      </c>
      <c r="AB16">
        <v>9.9999999999999982</v>
      </c>
      <c r="AC16">
        <v>9.9999999999999982</v>
      </c>
      <c r="AD16">
        <v>9.9999999999999982</v>
      </c>
      <c r="AE16">
        <v>9.9999999999999982</v>
      </c>
      <c r="AF16">
        <v>10</v>
      </c>
      <c r="AH16" t="s">
        <v>399</v>
      </c>
      <c r="AI16" t="s">
        <v>1046</v>
      </c>
    </row>
    <row r="17" spans="1:35" x14ac:dyDescent="0.25">
      <c r="A17">
        <v>10</v>
      </c>
      <c r="B17">
        <v>10</v>
      </c>
      <c r="C17">
        <v>10</v>
      </c>
      <c r="D17">
        <v>10</v>
      </c>
      <c r="E17">
        <v>10</v>
      </c>
      <c r="F17">
        <v>10</v>
      </c>
      <c r="G17">
        <v>10</v>
      </c>
      <c r="H17">
        <v>10</v>
      </c>
      <c r="I17">
        <v>9.9825030376670725</v>
      </c>
      <c r="J17">
        <v>9.3190765492102088</v>
      </c>
      <c r="L17">
        <v>10</v>
      </c>
      <c r="M17">
        <v>10</v>
      </c>
      <c r="N17">
        <v>10</v>
      </c>
      <c r="O17">
        <v>10</v>
      </c>
      <c r="P17">
        <v>10</v>
      </c>
      <c r="Q17">
        <v>10</v>
      </c>
      <c r="R17">
        <v>10</v>
      </c>
      <c r="S17">
        <v>10</v>
      </c>
      <c r="T17">
        <v>9.9825030376670778</v>
      </c>
      <c r="U17">
        <v>9.3190765492102177</v>
      </c>
      <c r="W17">
        <v>10</v>
      </c>
      <c r="X17">
        <v>10</v>
      </c>
      <c r="Y17">
        <v>10</v>
      </c>
      <c r="Z17">
        <v>10</v>
      </c>
      <c r="AA17">
        <v>10</v>
      </c>
      <c r="AB17">
        <v>10</v>
      </c>
      <c r="AC17">
        <v>10</v>
      </c>
      <c r="AD17">
        <v>10</v>
      </c>
      <c r="AE17">
        <v>10</v>
      </c>
      <c r="AF17">
        <v>10</v>
      </c>
      <c r="AH17" t="s">
        <v>404</v>
      </c>
      <c r="AI17" t="s">
        <v>1051</v>
      </c>
    </row>
    <row r="18" spans="1:35" x14ac:dyDescent="0.25">
      <c r="A18">
        <v>-10</v>
      </c>
      <c r="B18">
        <v>-10</v>
      </c>
      <c r="C18">
        <v>-10</v>
      </c>
      <c r="D18">
        <v>-10</v>
      </c>
      <c r="E18">
        <v>-10</v>
      </c>
      <c r="F18">
        <v>-10</v>
      </c>
      <c r="G18">
        <v>-10</v>
      </c>
      <c r="H18">
        <v>-10</v>
      </c>
      <c r="I18">
        <v>-9.9825030376670725</v>
      </c>
      <c r="J18">
        <v>-9.319076549210207</v>
      </c>
      <c r="L18">
        <v>-10</v>
      </c>
      <c r="M18">
        <v>-10</v>
      </c>
      <c r="N18">
        <v>-10</v>
      </c>
      <c r="O18">
        <v>-10</v>
      </c>
      <c r="P18">
        <v>-10</v>
      </c>
      <c r="Q18">
        <v>-10</v>
      </c>
      <c r="R18">
        <v>-10</v>
      </c>
      <c r="S18">
        <v>-10</v>
      </c>
      <c r="T18">
        <v>-9.9825030376670796</v>
      </c>
      <c r="U18">
        <v>-9.3190765492102194</v>
      </c>
      <c r="W18">
        <v>-10</v>
      </c>
      <c r="X18">
        <v>-10</v>
      </c>
      <c r="Y18">
        <v>-10</v>
      </c>
      <c r="Z18">
        <v>-10</v>
      </c>
      <c r="AA18">
        <v>-10</v>
      </c>
      <c r="AB18">
        <v>-10</v>
      </c>
      <c r="AC18">
        <v>-10</v>
      </c>
      <c r="AD18">
        <v>-10</v>
      </c>
      <c r="AE18">
        <v>-10</v>
      </c>
      <c r="AF18">
        <v>-10</v>
      </c>
      <c r="AH18" t="s">
        <v>409</v>
      </c>
      <c r="AI18" t="s">
        <v>1055</v>
      </c>
    </row>
    <row r="19" spans="1:35" x14ac:dyDescent="0.25">
      <c r="A19">
        <v>10</v>
      </c>
      <c r="B19">
        <v>10</v>
      </c>
      <c r="C19">
        <v>10</v>
      </c>
      <c r="D19">
        <v>10.000000000000002</v>
      </c>
      <c r="E19">
        <v>10.000000000000002</v>
      </c>
      <c r="F19">
        <v>10.000000000000002</v>
      </c>
      <c r="G19">
        <v>10.000000000000002</v>
      </c>
      <c r="H19">
        <v>10.000000000000002</v>
      </c>
      <c r="I19">
        <v>9.9825030376670725</v>
      </c>
      <c r="J19">
        <v>9.319076549210207</v>
      </c>
      <c r="L19">
        <v>10</v>
      </c>
      <c r="M19">
        <v>10</v>
      </c>
      <c r="N19">
        <v>10</v>
      </c>
      <c r="O19">
        <v>10.000000000000002</v>
      </c>
      <c r="P19">
        <v>10</v>
      </c>
      <c r="Q19">
        <v>10.000000000000002</v>
      </c>
      <c r="R19">
        <v>10</v>
      </c>
      <c r="S19">
        <v>10</v>
      </c>
      <c r="T19">
        <v>9.9825030376670778</v>
      </c>
      <c r="U19">
        <v>9.3190765492102194</v>
      </c>
      <c r="W19">
        <v>10.000000000000002</v>
      </c>
      <c r="X19">
        <v>10</v>
      </c>
      <c r="Y19">
        <v>10</v>
      </c>
      <c r="Z19">
        <v>10</v>
      </c>
      <c r="AA19">
        <v>10</v>
      </c>
      <c r="AB19">
        <v>10</v>
      </c>
      <c r="AC19">
        <v>10</v>
      </c>
      <c r="AD19">
        <v>10</v>
      </c>
      <c r="AE19">
        <v>9.948014440433198</v>
      </c>
      <c r="AF19">
        <v>7.9768953068591939</v>
      </c>
      <c r="AH19" t="s">
        <v>413</v>
      </c>
      <c r="AI19" t="s">
        <v>1060</v>
      </c>
    </row>
    <row r="20" spans="1:35" x14ac:dyDescent="0.25">
      <c r="A20">
        <v>-7.11001091002944E-28</v>
      </c>
      <c r="B20">
        <v>-1.1447117565147398E-27</v>
      </c>
      <c r="C20">
        <v>-3.5905555095648669E-28</v>
      </c>
      <c r="D20">
        <v>-7.5129115282644411E-28</v>
      </c>
      <c r="E20">
        <v>-5.2851081097885498E-28</v>
      </c>
      <c r="F20">
        <v>-4.0823312641752377E-28</v>
      </c>
      <c r="G20">
        <v>-2.3700036366764799E-30</v>
      </c>
      <c r="H20">
        <v>-3.4365052731808956E-29</v>
      </c>
      <c r="I20">
        <v>2.9625045458455999E-30</v>
      </c>
      <c r="J20">
        <v>2.3700036366764806E-30</v>
      </c>
      <c r="L20">
        <v>7.5840116373647357E-29</v>
      </c>
      <c r="M20">
        <v>1.1376017456047104E-28</v>
      </c>
      <c r="N20">
        <v>-1.8960029093411839E-29</v>
      </c>
      <c r="O20">
        <v>-3.7920058186823679E-29</v>
      </c>
      <c r="P20">
        <v>-1.6590025456735361E-28</v>
      </c>
      <c r="Q20">
        <v>1.422002182005888E-28</v>
      </c>
      <c r="R20">
        <v>-1.1198194910283761E-28</v>
      </c>
      <c r="S20">
        <v>-1.8160152866033526E-28</v>
      </c>
      <c r="T20">
        <v>4.7400072733529598E-29</v>
      </c>
      <c r="U20">
        <v>5.6880087280235518E-29</v>
      </c>
      <c r="W20">
        <v>0</v>
      </c>
      <c r="X20">
        <v>1.1799085194176408E-31</v>
      </c>
      <c r="Y20">
        <v>2.1588018025377091E-28</v>
      </c>
      <c r="Z20">
        <v>1.1799085194176408E-31</v>
      </c>
      <c r="AA20">
        <v>0</v>
      </c>
      <c r="AB20">
        <v>2.1588018025377091E-28</v>
      </c>
      <c r="AC20">
        <v>-1.0902016728711809E-28</v>
      </c>
      <c r="AD20">
        <v>1.0902016728711809E-28</v>
      </c>
      <c r="AE20">
        <v>2.3598170388352821E-31</v>
      </c>
      <c r="AF20">
        <v>1.8960029093411839E-29</v>
      </c>
      <c r="AH20" t="s">
        <v>418</v>
      </c>
      <c r="AI20" t="s">
        <v>1065</v>
      </c>
    </row>
    <row r="21" spans="1:35" x14ac:dyDescent="0.25">
      <c r="A21">
        <v>-5.8016302742720813E-28</v>
      </c>
      <c r="B21">
        <v>-1.0550644085279607E-27</v>
      </c>
      <c r="C21">
        <v>-3.0232124003063377E-28</v>
      </c>
      <c r="D21">
        <v>-5.5323562952974278E-28</v>
      </c>
      <c r="E21">
        <v>-4.217350699111548E-28</v>
      </c>
      <c r="F21">
        <v>-3.4240634371890604E-28</v>
      </c>
      <c r="G21">
        <v>-2.4479452634059414E-30</v>
      </c>
      <c r="H21">
        <v>-1.9583562107247531E-29</v>
      </c>
      <c r="I21">
        <v>3.6719178951089124E-30</v>
      </c>
      <c r="J21">
        <v>0</v>
      </c>
      <c r="L21">
        <v>1.5666849685798025E-28</v>
      </c>
      <c r="M21">
        <v>1.2729315369710895E-28</v>
      </c>
      <c r="N21">
        <v>0</v>
      </c>
      <c r="O21">
        <v>0</v>
      </c>
      <c r="P21">
        <v>-1.5666849685798025E-28</v>
      </c>
      <c r="Q21">
        <v>1.713561684384159E-28</v>
      </c>
      <c r="R21">
        <v>-7.8946234744841611E-29</v>
      </c>
      <c r="S21">
        <v>-1.5146661317324262E-28</v>
      </c>
      <c r="T21">
        <v>4.6510960004712886E-29</v>
      </c>
      <c r="U21">
        <v>2.6927397897465356E-29</v>
      </c>
      <c r="W21">
        <v>0</v>
      </c>
      <c r="X21">
        <v>1.179908519417641E-31</v>
      </c>
      <c r="Y21">
        <v>2.1588018025377095E-28</v>
      </c>
      <c r="Z21">
        <v>1.179908519417641E-31</v>
      </c>
      <c r="AA21">
        <v>0</v>
      </c>
      <c r="AB21">
        <v>2.1588018025377095E-28</v>
      </c>
      <c r="AC21">
        <v>-1.0770959158986142E-28</v>
      </c>
      <c r="AD21">
        <v>1.1015753685326737E-28</v>
      </c>
      <c r="AE21">
        <v>2.3598170388352821E-31</v>
      </c>
      <c r="AF21">
        <v>1.9583562107247531E-29</v>
      </c>
      <c r="AH21" t="s">
        <v>423</v>
      </c>
      <c r="AI21" t="s">
        <v>1070</v>
      </c>
    </row>
    <row r="22" spans="1:35" x14ac:dyDescent="0.25">
      <c r="A22">
        <v>0</v>
      </c>
      <c r="B22">
        <v>0</v>
      </c>
      <c r="C22">
        <v>0</v>
      </c>
      <c r="D22">
        <v>0</v>
      </c>
      <c r="E22">
        <v>0</v>
      </c>
      <c r="F22">
        <v>0</v>
      </c>
      <c r="G22">
        <v>0</v>
      </c>
      <c r="H22">
        <v>0</v>
      </c>
      <c r="I22">
        <v>0</v>
      </c>
      <c r="J22">
        <v>0</v>
      </c>
      <c r="L22">
        <v>0</v>
      </c>
      <c r="M22">
        <v>0</v>
      </c>
      <c r="N22">
        <v>0</v>
      </c>
      <c r="O22">
        <v>0</v>
      </c>
      <c r="P22">
        <v>0</v>
      </c>
      <c r="Q22">
        <v>0</v>
      </c>
      <c r="R22">
        <v>0</v>
      </c>
      <c r="S22">
        <v>0</v>
      </c>
      <c r="T22">
        <v>0</v>
      </c>
      <c r="U22">
        <v>0</v>
      </c>
      <c r="W22">
        <v>0</v>
      </c>
      <c r="X22">
        <v>0</v>
      </c>
      <c r="Y22">
        <v>0</v>
      </c>
      <c r="Z22">
        <v>0</v>
      </c>
      <c r="AA22">
        <v>0</v>
      </c>
      <c r="AB22">
        <v>0</v>
      </c>
      <c r="AC22">
        <v>0</v>
      </c>
      <c r="AD22">
        <v>0</v>
      </c>
      <c r="AE22">
        <v>0</v>
      </c>
      <c r="AF22">
        <v>0</v>
      </c>
      <c r="AH22" t="s">
        <v>427</v>
      </c>
      <c r="AI22" t="s">
        <v>1075</v>
      </c>
    </row>
    <row r="23" spans="1:35" x14ac:dyDescent="0.25">
      <c r="A23">
        <v>0</v>
      </c>
      <c r="B23">
        <v>0</v>
      </c>
      <c r="C23">
        <v>0</v>
      </c>
      <c r="D23">
        <v>0</v>
      </c>
      <c r="E23">
        <v>0</v>
      </c>
      <c r="F23">
        <v>0</v>
      </c>
      <c r="G23">
        <v>-2.4709701986846314E-30</v>
      </c>
      <c r="H23">
        <v>-1.9767761589477052E-29</v>
      </c>
      <c r="I23">
        <v>3.5005411148032281E-30</v>
      </c>
      <c r="J23">
        <v>0</v>
      </c>
      <c r="L23">
        <v>1.3178507726318033E-28</v>
      </c>
      <c r="M23">
        <v>1.3837433112633936E-28</v>
      </c>
      <c r="N23">
        <v>-4.6124777042113123E-29</v>
      </c>
      <c r="O23">
        <v>-4.6124777042113123E-29</v>
      </c>
      <c r="P23">
        <v>-1.8449910816845249E-28</v>
      </c>
      <c r="Q23">
        <v>1.6143671964739593E-28</v>
      </c>
      <c r="R23">
        <v>-8.524847185461979E-29</v>
      </c>
      <c r="S23">
        <v>-1.536119806848946E-28</v>
      </c>
      <c r="T23">
        <v>0</v>
      </c>
      <c r="U23">
        <v>0</v>
      </c>
      <c r="W23">
        <v>-1.4084530132502399E-28</v>
      </c>
      <c r="X23">
        <v>-1.2173389119457255E-28</v>
      </c>
      <c r="Y23">
        <v>8.7513527870080698E-29</v>
      </c>
      <c r="Z23">
        <v>1.6905554442667354E-28</v>
      </c>
      <c r="AA23">
        <v>1.2766679359870595E-29</v>
      </c>
      <c r="AB23">
        <v>8.2983415839158871E-29</v>
      </c>
      <c r="AC23">
        <v>1.1021556657049576E-28</v>
      </c>
      <c r="AD23">
        <v>5.4773172737509336E-29</v>
      </c>
      <c r="AE23">
        <v>-7.9276960541131927E-29</v>
      </c>
      <c r="AF23">
        <v>-3.2431483857735791E-30</v>
      </c>
      <c r="AH23" t="s">
        <v>432</v>
      </c>
      <c r="AI23" t="s">
        <v>1080</v>
      </c>
    </row>
    <row r="24" spans="1:35" x14ac:dyDescent="0.25">
      <c r="A24">
        <v>-6.4797881005100713E-28</v>
      </c>
      <c r="B24">
        <v>-6.5082082237579222E-28</v>
      </c>
      <c r="C24">
        <v>-5.25772280085247E-28</v>
      </c>
      <c r="D24">
        <v>-4.7319505207672225E-28</v>
      </c>
      <c r="E24">
        <v>-4.6609002126475952E-28</v>
      </c>
      <c r="F24">
        <v>-3.744351237904394E-28</v>
      </c>
      <c r="G24">
        <v>0</v>
      </c>
      <c r="H24">
        <v>0</v>
      </c>
      <c r="I24">
        <v>0</v>
      </c>
      <c r="J24">
        <v>0</v>
      </c>
      <c r="L24">
        <v>0</v>
      </c>
      <c r="M24">
        <v>0</v>
      </c>
      <c r="N24">
        <v>0</v>
      </c>
      <c r="O24">
        <v>0</v>
      </c>
      <c r="P24">
        <v>0</v>
      </c>
      <c r="Q24">
        <v>0</v>
      </c>
      <c r="R24">
        <v>0</v>
      </c>
      <c r="S24">
        <v>0</v>
      </c>
      <c r="T24">
        <v>4.2630184871776782E-29</v>
      </c>
      <c r="U24">
        <v>3.6946160222206547E-29</v>
      </c>
      <c r="W24">
        <v>0</v>
      </c>
      <c r="X24">
        <v>0</v>
      </c>
      <c r="Y24">
        <v>0</v>
      </c>
      <c r="Z24">
        <v>0</v>
      </c>
      <c r="AA24">
        <v>0</v>
      </c>
      <c r="AB24">
        <v>0</v>
      </c>
      <c r="AC24">
        <v>0</v>
      </c>
      <c r="AD24">
        <v>0</v>
      </c>
      <c r="AE24">
        <v>0</v>
      </c>
      <c r="AF24">
        <v>0</v>
      </c>
      <c r="AH24" t="s">
        <v>437</v>
      </c>
      <c r="AI24" t="s">
        <v>1081</v>
      </c>
    </row>
    <row r="25" spans="1:35" x14ac:dyDescent="0.25">
      <c r="A25">
        <v>2.5142658233751801E-14</v>
      </c>
      <c r="B25">
        <v>5.4644765312181155E-15</v>
      </c>
      <c r="C25">
        <v>1.9240029280730491E-14</v>
      </c>
      <c r="D25">
        <v>1.4256935402880551E-14</v>
      </c>
      <c r="E25">
        <v>-8.2328081328456541E-15</v>
      </c>
      <c r="F25">
        <v>2.2797520391260244E-14</v>
      </c>
      <c r="G25">
        <v>1.3073252551986168E-14</v>
      </c>
      <c r="H25">
        <v>1.075506244462834E-14</v>
      </c>
      <c r="I25">
        <v>-1.6177538888012622E-15</v>
      </c>
      <c r="J25">
        <v>-1.8666520855552622E-16</v>
      </c>
      <c r="L25">
        <v>2.724029191121545E-14</v>
      </c>
      <c r="M25">
        <v>2.504961225831187E-15</v>
      </c>
      <c r="N25">
        <v>3.5947825981110228E-14</v>
      </c>
      <c r="O25">
        <v>3.3506423271171877E-14</v>
      </c>
      <c r="P25">
        <v>3.033844412028492E-14</v>
      </c>
      <c r="Q25">
        <v>2.3564365489091028E-14</v>
      </c>
      <c r="R25">
        <v>-6.9833538264953427E-16</v>
      </c>
      <c r="S25">
        <v>2.1353482375753189E-14</v>
      </c>
      <c r="T25">
        <v>9.0499407759247283E-15</v>
      </c>
      <c r="U25">
        <v>1.7197493654566325E-14</v>
      </c>
      <c r="W25">
        <v>2.7879322472720656E-14</v>
      </c>
      <c r="X25">
        <v>-2.2266823866071446E-14</v>
      </c>
      <c r="Y25">
        <v>1.9002676463960759E-14</v>
      </c>
      <c r="Z25">
        <v>1.2430316480579799E-14</v>
      </c>
      <c r="AA25">
        <v>1.4730559289602095E-14</v>
      </c>
      <c r="AB25">
        <v>2.2222391168893464E-14</v>
      </c>
      <c r="AC25">
        <v>1.7911538844453918E-14</v>
      </c>
      <c r="AD25">
        <v>1.2341961490253009E-14</v>
      </c>
      <c r="AE25">
        <v>1.5866951632329255E-14</v>
      </c>
      <c r="AF25">
        <v>1.6662051761547712E-14</v>
      </c>
      <c r="AH25" t="s">
        <v>442</v>
      </c>
      <c r="AI25" t="s">
        <v>1086</v>
      </c>
    </row>
    <row r="26" spans="1:35" x14ac:dyDescent="0.25">
      <c r="A26">
        <v>-2.5142658233752378E-14</v>
      </c>
      <c r="B26">
        <v>-5.4644765312191694E-15</v>
      </c>
      <c r="C26">
        <v>-1.9240029280730823E-14</v>
      </c>
      <c r="D26">
        <v>-1.4256935402881103E-14</v>
      </c>
      <c r="E26">
        <v>8.2328081328451871E-15</v>
      </c>
      <c r="F26">
        <v>-2.2797520391260582E-14</v>
      </c>
      <c r="G26">
        <v>-1.3073252551986168E-14</v>
      </c>
      <c r="H26">
        <v>-1.0755062444628361E-14</v>
      </c>
      <c r="I26">
        <v>1.6177538888012655E-15</v>
      </c>
      <c r="J26">
        <v>1.8666520855552691E-16</v>
      </c>
      <c r="L26">
        <v>-2.7240291911215299E-14</v>
      </c>
      <c r="M26">
        <v>-2.5049612258310576E-15</v>
      </c>
      <c r="N26">
        <v>-3.5947825981110215E-14</v>
      </c>
      <c r="O26">
        <v>-3.3506423271171909E-14</v>
      </c>
      <c r="P26">
        <v>-3.0338444120285109E-14</v>
      </c>
      <c r="Q26">
        <v>-2.3564365489090886E-14</v>
      </c>
      <c r="R26">
        <v>6.9833538264945193E-16</v>
      </c>
      <c r="S26">
        <v>-2.135348237575334E-14</v>
      </c>
      <c r="T26">
        <v>-9.0499407759246779E-15</v>
      </c>
      <c r="U26">
        <v>-1.7197493654566274E-14</v>
      </c>
      <c r="W26">
        <v>-2.7879322472720561E-14</v>
      </c>
      <c r="X26">
        <v>2.2266823866071427E-14</v>
      </c>
      <c r="Y26">
        <v>-1.9002676463960472E-14</v>
      </c>
      <c r="Z26">
        <v>-1.2430316480579696E-14</v>
      </c>
      <c r="AA26">
        <v>-1.473055928960206E-14</v>
      </c>
      <c r="AB26">
        <v>-2.2222391168893221E-14</v>
      </c>
      <c r="AC26">
        <v>-1.791153884445401E-14</v>
      </c>
      <c r="AD26">
        <v>-1.2341961490252856E-14</v>
      </c>
      <c r="AE26">
        <v>-1.5866951632329229E-14</v>
      </c>
      <c r="AF26">
        <v>-1.6662051761547687E-14</v>
      </c>
      <c r="AH26" t="s">
        <v>447</v>
      </c>
      <c r="AI26" t="s">
        <v>1090</v>
      </c>
    </row>
    <row r="27" spans="1:35" x14ac:dyDescent="0.25">
      <c r="A27">
        <v>-3.7713987350628281E-14</v>
      </c>
      <c r="B27">
        <v>-8.1967147968282307E-15</v>
      </c>
      <c r="C27">
        <v>-2.8860043921096082E-14</v>
      </c>
      <c r="D27">
        <v>-2.1385403104321382E-14</v>
      </c>
      <c r="E27">
        <v>1.2349212199268015E-14</v>
      </c>
      <c r="F27">
        <v>-3.4196280586890712E-14</v>
      </c>
      <c r="G27">
        <v>-1.9609878827979253E-14</v>
      </c>
      <c r="H27">
        <v>-1.6132593666942534E-14</v>
      </c>
      <c r="I27">
        <v>2.4266308332018961E-15</v>
      </c>
      <c r="J27">
        <v>2.7999781283329039E-16</v>
      </c>
      <c r="L27">
        <v>-4.0860437866823018E-14</v>
      </c>
      <c r="M27">
        <v>-3.7574418387466438E-15</v>
      </c>
      <c r="N27">
        <v>-5.3921738971665317E-14</v>
      </c>
      <c r="O27">
        <v>-5.0259634906757848E-14</v>
      </c>
      <c r="P27">
        <v>-4.5507666180427557E-14</v>
      </c>
      <c r="Q27">
        <v>-3.5346548233636384E-14</v>
      </c>
      <c r="R27">
        <v>1.0475030739742177E-15</v>
      </c>
      <c r="S27">
        <v>-3.2030223563629941E-14</v>
      </c>
      <c r="T27">
        <v>-1.3574911163887043E-14</v>
      </c>
      <c r="U27">
        <v>-2.579624048184943E-14</v>
      </c>
      <c r="W27">
        <v>-4.1818983709080864E-14</v>
      </c>
      <c r="X27">
        <v>3.3400235799107139E-14</v>
      </c>
      <c r="Y27">
        <v>-2.8504014695940867E-14</v>
      </c>
      <c r="Z27">
        <v>-1.8645474720869589E-14</v>
      </c>
      <c r="AA27">
        <v>-2.2095838934403136E-14</v>
      </c>
      <c r="AB27">
        <v>-3.3333586753339969E-14</v>
      </c>
      <c r="AC27">
        <v>-2.6867308266680969E-14</v>
      </c>
      <c r="AD27">
        <v>-1.8512942235379363E-14</v>
      </c>
      <c r="AE27">
        <v>-2.3800427448493854E-14</v>
      </c>
      <c r="AF27">
        <v>-2.4993077642321546E-14</v>
      </c>
      <c r="AH27" t="s">
        <v>452</v>
      </c>
      <c r="AI27" t="s">
        <v>1096</v>
      </c>
    </row>
    <row r="28" spans="1:35" x14ac:dyDescent="0.25">
      <c r="A28">
        <v>-1.2571329116868982E-14</v>
      </c>
      <c r="B28">
        <v>-2.7322382656017032E-15</v>
      </c>
      <c r="C28">
        <v>-9.6200146403583652E-15</v>
      </c>
      <c r="D28">
        <v>-7.1284677014362002E-15</v>
      </c>
      <c r="E28">
        <v>4.1164040664258129E-15</v>
      </c>
      <c r="F28">
        <v>-1.1398760195627162E-14</v>
      </c>
      <c r="G28">
        <v>-6.5366262759930336E-15</v>
      </c>
      <c r="H28">
        <v>-5.3775312223138594E-15</v>
      </c>
      <c r="I28">
        <v>2.4266308332018965E-15</v>
      </c>
      <c r="J28">
        <v>2.7999781283329488E-16</v>
      </c>
      <c r="L28">
        <v>-1.3620145955616696E-14</v>
      </c>
      <c r="M28">
        <v>-1.2524806129252292E-15</v>
      </c>
      <c r="N28">
        <v>-1.7973912990556231E-14</v>
      </c>
      <c r="O28">
        <v>-1.6753211635584083E-14</v>
      </c>
      <c r="P28">
        <v>-1.5169222060137351E-14</v>
      </c>
      <c r="Q28">
        <v>-1.1782182744545733E-14</v>
      </c>
      <c r="R28">
        <v>3.4916769132542317E-16</v>
      </c>
      <c r="S28">
        <v>-1.0676741187875424E-14</v>
      </c>
      <c r="T28">
        <v>-1.3574911163887043E-14</v>
      </c>
      <c r="U28">
        <v>-2.5796240481849433E-14</v>
      </c>
      <c r="W28">
        <v>-1.3939661236359706E-14</v>
      </c>
      <c r="X28">
        <v>1.1133411933035868E-14</v>
      </c>
      <c r="Y28">
        <v>-9.5013382319778646E-15</v>
      </c>
      <c r="Z28">
        <v>-6.2151582402864387E-15</v>
      </c>
      <c r="AA28">
        <v>-7.3652796447992204E-15</v>
      </c>
      <c r="AB28">
        <v>-1.1111195584445094E-14</v>
      </c>
      <c r="AC28">
        <v>-8.9557694222253294E-15</v>
      </c>
      <c r="AD28">
        <v>-6.1709807451254176E-15</v>
      </c>
      <c r="AE28">
        <v>-2.3800427448493844E-14</v>
      </c>
      <c r="AF28">
        <v>-2.4993077642321543E-14</v>
      </c>
      <c r="AH28" t="s">
        <v>457</v>
      </c>
      <c r="AI28" t="s">
        <v>1101</v>
      </c>
    </row>
    <row r="29" spans="1:35" x14ac:dyDescent="0.25">
      <c r="A29">
        <v>-7.7936955639370139E-28</v>
      </c>
      <c r="B29">
        <v>-1.342247569344708E-27</v>
      </c>
      <c r="C29">
        <v>-6.0617632163954555E-28</v>
      </c>
      <c r="D29">
        <v>-7.5772040204943191E-28</v>
      </c>
      <c r="E29">
        <v>-6.2782547598381503E-28</v>
      </c>
      <c r="F29">
        <v>-4.9793054991819814E-28</v>
      </c>
      <c r="G29">
        <v>0</v>
      </c>
      <c r="H29">
        <v>-2.1649154344269483E-29</v>
      </c>
      <c r="I29">
        <v>3.0444123296628961E-30</v>
      </c>
      <c r="J29">
        <v>0</v>
      </c>
      <c r="L29">
        <v>1.7319323475415587E-28</v>
      </c>
      <c r="M29">
        <v>1.0824577172134743E-28</v>
      </c>
      <c r="N29">
        <v>4.3298308688538967E-29</v>
      </c>
      <c r="O29">
        <v>4.3298308688538967E-29</v>
      </c>
      <c r="P29">
        <v>-1.2989492606561691E-28</v>
      </c>
      <c r="Q29">
        <v>1.9484238909842535E-28</v>
      </c>
      <c r="R29">
        <v>-7.0359751618875823E-29</v>
      </c>
      <c r="S29">
        <v>-1.488379361168527E-28</v>
      </c>
      <c r="T29">
        <v>4.8710597274606337E-29</v>
      </c>
      <c r="U29">
        <v>4.3298308688538967E-29</v>
      </c>
      <c r="W29">
        <v>2.976758722337054E-28</v>
      </c>
      <c r="X29">
        <v>2.3814069778696433E-28</v>
      </c>
      <c r="Y29">
        <v>2.9226358364763803E-28</v>
      </c>
      <c r="Z29">
        <v>3.1391273799190751E-28</v>
      </c>
      <c r="AA29">
        <v>2.8955743935460435E-28</v>
      </c>
      <c r="AB29">
        <v>1.9213624480539166E-28</v>
      </c>
      <c r="AC29">
        <v>1.677809461680885E-28</v>
      </c>
      <c r="AD29">
        <v>1.4071950323775165E-28</v>
      </c>
      <c r="AE29">
        <v>2.1649154344269483E-29</v>
      </c>
      <c r="AF29">
        <v>9.4715050256178992E-30</v>
      </c>
      <c r="AH29" t="s">
        <v>462</v>
      </c>
      <c r="AI29" t="s">
        <v>1105</v>
      </c>
    </row>
    <row r="30" spans="1:35" x14ac:dyDescent="0.25">
      <c r="A30">
        <v>-7.7936955639370139E-28</v>
      </c>
      <c r="B30">
        <v>-1.342247569344708E-27</v>
      </c>
      <c r="C30">
        <v>-6.0617632163954555E-28</v>
      </c>
      <c r="D30">
        <v>-7.5772040204943191E-28</v>
      </c>
      <c r="E30">
        <v>-6.2782547598381503E-28</v>
      </c>
      <c r="F30">
        <v>-4.9793054991819814E-28</v>
      </c>
      <c r="G30">
        <v>0</v>
      </c>
      <c r="H30">
        <v>-2.1649154344269483E-29</v>
      </c>
      <c r="I30">
        <v>3.0444123296628961E-30</v>
      </c>
      <c r="J30">
        <v>0</v>
      </c>
      <c r="L30">
        <v>1.7319323475415587E-28</v>
      </c>
      <c r="M30">
        <v>1.0824577172134743E-28</v>
      </c>
      <c r="N30">
        <v>4.3298308688538967E-29</v>
      </c>
      <c r="O30">
        <v>4.3298308688538967E-29</v>
      </c>
      <c r="P30">
        <v>-1.2989492606561691E-28</v>
      </c>
      <c r="Q30">
        <v>1.9484238909842535E-28</v>
      </c>
      <c r="R30">
        <v>-7.0359751618875823E-29</v>
      </c>
      <c r="S30">
        <v>-1.488379361168527E-28</v>
      </c>
      <c r="T30">
        <v>4.8710597274606337E-29</v>
      </c>
      <c r="U30">
        <v>4.3298308688538967E-29</v>
      </c>
      <c r="W30">
        <v>0</v>
      </c>
      <c r="X30">
        <v>0</v>
      </c>
      <c r="Y30">
        <v>2.1576218940182918E-28</v>
      </c>
      <c r="Z30">
        <v>0</v>
      </c>
      <c r="AA30">
        <v>0</v>
      </c>
      <c r="AB30">
        <v>2.1576218940182918E-28</v>
      </c>
      <c r="AC30">
        <v>-1.0824577172134743E-28</v>
      </c>
      <c r="AD30">
        <v>1.0824577172134743E-28</v>
      </c>
      <c r="AE30">
        <v>0</v>
      </c>
      <c r="AF30">
        <v>2.1649154344269483E-29</v>
      </c>
      <c r="AH30" t="s">
        <v>466</v>
      </c>
      <c r="AI30" t="s">
        <v>1111</v>
      </c>
    </row>
    <row r="31" spans="1:35" x14ac:dyDescent="0.25">
      <c r="A31">
        <v>3.0133037561466479E-28</v>
      </c>
      <c r="B31">
        <v>3.3725055284025397E-28</v>
      </c>
      <c r="C31">
        <v>3.00332592913954E-28</v>
      </c>
      <c r="D31">
        <v>2.344789346670405E-28</v>
      </c>
      <c r="E31">
        <v>3.0681818046857428E-28</v>
      </c>
      <c r="F31">
        <v>1.4767183970519997E-28</v>
      </c>
      <c r="G31">
        <v>-3.0835723761016952E-31</v>
      </c>
      <c r="H31">
        <v>-8.7182014616835317E-31</v>
      </c>
      <c r="I31">
        <v>8.077095221452565E-31</v>
      </c>
      <c r="J31">
        <v>7.0852089467931E-30</v>
      </c>
      <c r="L31">
        <v>0</v>
      </c>
      <c r="M31">
        <v>0</v>
      </c>
      <c r="N31">
        <v>0</v>
      </c>
      <c r="O31">
        <v>0</v>
      </c>
      <c r="P31">
        <v>0</v>
      </c>
      <c r="Q31">
        <v>0</v>
      </c>
      <c r="R31">
        <v>0</v>
      </c>
      <c r="S31">
        <v>0</v>
      </c>
      <c r="T31">
        <v>-4.2065543435500349E-30</v>
      </c>
      <c r="U31">
        <v>3.667995491783053E-30</v>
      </c>
      <c r="W31">
        <v>-3.6169622900766882E-30</v>
      </c>
      <c r="X31">
        <v>-1.9955654014216212E-30</v>
      </c>
      <c r="Y31">
        <v>-7.6080930929199313E-30</v>
      </c>
      <c r="Z31">
        <v>-1.8957871313505401E-29</v>
      </c>
      <c r="AA31">
        <v>-1.3220620784418241E-29</v>
      </c>
      <c r="AB31">
        <v>-5.7372505290871609E-30</v>
      </c>
      <c r="AC31">
        <v>-3.6169622900766882E-30</v>
      </c>
      <c r="AD31">
        <v>-8.4811529560418895E-30</v>
      </c>
      <c r="AE31">
        <v>1.9955654014216212E-30</v>
      </c>
      <c r="AF31">
        <v>1.2472283758885133E-31</v>
      </c>
      <c r="AH31" t="s">
        <v>470</v>
      </c>
      <c r="AI31" t="s">
        <v>1116</v>
      </c>
    </row>
    <row r="32" spans="1:35" x14ac:dyDescent="0.25">
      <c r="A32">
        <v>3.0173660386499684E-28</v>
      </c>
      <c r="B32">
        <v>3.3794499632879647E-28</v>
      </c>
      <c r="C32">
        <v>3.0022792084567187E-28</v>
      </c>
      <c r="D32">
        <v>2.3460020950503502E-28</v>
      </c>
      <c r="E32">
        <v>3.0682840905521864E-28</v>
      </c>
      <c r="F32">
        <v>1.4785093589384846E-28</v>
      </c>
      <c r="G32">
        <v>-3.0835723761016952E-31</v>
      </c>
      <c r="H32">
        <v>-8.7182014616835317E-31</v>
      </c>
      <c r="I32">
        <v>8.0770952214525633E-31</v>
      </c>
      <c r="J32">
        <v>7.0852089467931E-30</v>
      </c>
      <c r="L32">
        <v>0</v>
      </c>
      <c r="M32">
        <v>0</v>
      </c>
      <c r="N32">
        <v>0</v>
      </c>
      <c r="O32">
        <v>0</v>
      </c>
      <c r="P32">
        <v>0</v>
      </c>
      <c r="Q32">
        <v>0</v>
      </c>
      <c r="R32">
        <v>0</v>
      </c>
      <c r="S32">
        <v>0</v>
      </c>
      <c r="T32">
        <v>-4.2065543435500349E-30</v>
      </c>
      <c r="U32">
        <v>3.6679954917830537E-30</v>
      </c>
      <c r="W32">
        <v>-3.5831221708968372E-30</v>
      </c>
      <c r="X32">
        <v>-1.8858537741562303E-30</v>
      </c>
      <c r="Y32">
        <v>-7.5434150966249211E-30</v>
      </c>
      <c r="Z32">
        <v>-1.8858537741562303E-29</v>
      </c>
      <c r="AA32">
        <v>-1.320097641909361E-29</v>
      </c>
      <c r="AB32">
        <v>-5.6575613224686908E-30</v>
      </c>
      <c r="AC32">
        <v>-3.5831221708968372E-30</v>
      </c>
      <c r="AD32">
        <v>-8.4863419837030355E-30</v>
      </c>
      <c r="AE32">
        <v>2.0744391515718532E-30</v>
      </c>
      <c r="AF32">
        <v>1.8858537741562302E-31</v>
      </c>
      <c r="AH32" t="s">
        <v>473</v>
      </c>
      <c r="AI32" t="s">
        <v>1120</v>
      </c>
    </row>
    <row r="33" spans="1:35" x14ac:dyDescent="0.25">
      <c r="A33">
        <v>1.8405932835764809E-28</v>
      </c>
      <c r="B33">
        <v>2.7608899253647213E-28</v>
      </c>
      <c r="C33">
        <v>2.7608899253647213E-28</v>
      </c>
      <c r="D33">
        <v>1.833049868479856E-28</v>
      </c>
      <c r="E33">
        <v>1.9084840194461052E-28</v>
      </c>
      <c r="F33">
        <v>1.5162264344216093E-28</v>
      </c>
      <c r="G33">
        <v>0</v>
      </c>
      <c r="H33">
        <v>0</v>
      </c>
      <c r="I33">
        <v>0</v>
      </c>
      <c r="J33">
        <v>0</v>
      </c>
      <c r="L33">
        <v>-4.3993214500807062E-29</v>
      </c>
      <c r="M33">
        <v>-4.2519421783157337E-30</v>
      </c>
      <c r="N33">
        <v>-4.1748203424207741E-29</v>
      </c>
      <c r="O33">
        <v>-2.4649808974240317E-29</v>
      </c>
      <c r="P33">
        <v>-2.5783680212834769E-29</v>
      </c>
      <c r="Q33">
        <v>-3.8187919702778086E-29</v>
      </c>
      <c r="R33">
        <v>-1.132712178640935E-29</v>
      </c>
      <c r="S33">
        <v>-6.4742968207389444E-30</v>
      </c>
      <c r="T33">
        <v>0</v>
      </c>
      <c r="U33">
        <v>0</v>
      </c>
      <c r="W33">
        <v>0</v>
      </c>
      <c r="X33">
        <v>0</v>
      </c>
      <c r="Y33">
        <v>0</v>
      </c>
      <c r="Z33">
        <v>0</v>
      </c>
      <c r="AA33">
        <v>0</v>
      </c>
      <c r="AB33">
        <v>0</v>
      </c>
      <c r="AC33">
        <v>0</v>
      </c>
      <c r="AD33">
        <v>0</v>
      </c>
      <c r="AE33">
        <v>0</v>
      </c>
      <c r="AF33">
        <v>0</v>
      </c>
      <c r="AH33" t="s">
        <v>477</v>
      </c>
      <c r="AI33" t="s">
        <v>1125</v>
      </c>
    </row>
    <row r="34" spans="1:35" x14ac:dyDescent="0.25">
      <c r="A34">
        <v>1.8555515595156049E-28</v>
      </c>
      <c r="B34">
        <v>2.7612374397553642E-28</v>
      </c>
      <c r="C34">
        <v>2.7612374397553642E-28</v>
      </c>
      <c r="D34">
        <v>1.8334616599975619E-28</v>
      </c>
      <c r="E34">
        <v>1.9093956895908345E-28</v>
      </c>
      <c r="F34">
        <v>1.5186805918654503E-28</v>
      </c>
      <c r="G34">
        <v>0</v>
      </c>
      <c r="H34">
        <v>0</v>
      </c>
      <c r="I34">
        <v>0</v>
      </c>
      <c r="J34">
        <v>0</v>
      </c>
      <c r="L34">
        <v>-4.3993214500807062E-29</v>
      </c>
      <c r="M34">
        <v>-4.2519421783157337E-30</v>
      </c>
      <c r="N34">
        <v>-4.1748203424207741E-29</v>
      </c>
      <c r="O34">
        <v>-2.4649808974240317E-29</v>
      </c>
      <c r="P34">
        <v>-2.5783680212834763E-29</v>
      </c>
      <c r="Q34">
        <v>-3.818791970277808E-29</v>
      </c>
      <c r="R34">
        <v>-1.1327121786409349E-29</v>
      </c>
      <c r="S34">
        <v>-6.4742968207389444E-30</v>
      </c>
      <c r="T34">
        <v>0</v>
      </c>
      <c r="U34">
        <v>0</v>
      </c>
      <c r="W34">
        <v>0</v>
      </c>
      <c r="X34">
        <v>0</v>
      </c>
      <c r="Y34">
        <v>0</v>
      </c>
      <c r="Z34">
        <v>0</v>
      </c>
      <c r="AA34">
        <v>0</v>
      </c>
      <c r="AB34">
        <v>0</v>
      </c>
      <c r="AC34">
        <v>0</v>
      </c>
      <c r="AD34">
        <v>0</v>
      </c>
      <c r="AE34">
        <v>0</v>
      </c>
      <c r="AF34">
        <v>0</v>
      </c>
      <c r="AH34" t="s">
        <v>482</v>
      </c>
      <c r="AI34" t="s">
        <v>1129</v>
      </c>
    </row>
    <row r="35" spans="1:35" x14ac:dyDescent="0.25">
      <c r="A35">
        <v>1.8499471181443165E-28</v>
      </c>
      <c r="B35">
        <v>2.7749206772164746E-28</v>
      </c>
      <c r="C35">
        <v>2.7627499724918413E-28</v>
      </c>
      <c r="D35">
        <v>1.8316910610573659E-28</v>
      </c>
      <c r="E35">
        <v>1.9092793036769056E-28</v>
      </c>
      <c r="F35">
        <v>1.5213380905792076E-28</v>
      </c>
      <c r="G35">
        <v>5.2398464208353728E-47</v>
      </c>
      <c r="H35">
        <v>2.0959385683341491E-46</v>
      </c>
      <c r="I35">
        <v>-1.0479692841670746E-46</v>
      </c>
      <c r="J35">
        <v>0</v>
      </c>
      <c r="L35">
        <v>-4.3993214500807062E-29</v>
      </c>
      <c r="M35">
        <v>-4.2519421783157337E-30</v>
      </c>
      <c r="N35">
        <v>-4.1748203424207741E-29</v>
      </c>
      <c r="O35">
        <v>-2.464980897424032E-29</v>
      </c>
      <c r="P35">
        <v>-2.5783680212834763E-29</v>
      </c>
      <c r="Q35">
        <v>-3.818791970277808E-29</v>
      </c>
      <c r="R35">
        <v>-1.1327121786409349E-29</v>
      </c>
      <c r="S35">
        <v>-6.4742968207389444E-30</v>
      </c>
      <c r="T35">
        <v>0</v>
      </c>
      <c r="U35">
        <v>-4.191877136668299E-46</v>
      </c>
      <c r="W35">
        <v>1.179908519417641E-31</v>
      </c>
      <c r="X35">
        <v>1.179908519417641E-31</v>
      </c>
      <c r="Y35">
        <v>1.179908519417641E-31</v>
      </c>
      <c r="Z35">
        <v>1.179908519417641E-31</v>
      </c>
      <c r="AA35">
        <v>1.179908519417641E-31</v>
      </c>
      <c r="AB35">
        <v>1.179908519417641E-31</v>
      </c>
      <c r="AC35">
        <v>1.179908519417641E-31</v>
      </c>
      <c r="AD35">
        <v>1.179908519417641E-31</v>
      </c>
      <c r="AE35">
        <v>2.3598170388352816E-31</v>
      </c>
      <c r="AF35">
        <v>2.3598170388352816E-31</v>
      </c>
      <c r="AH35" t="s">
        <v>486</v>
      </c>
      <c r="AI35" t="s">
        <v>1133</v>
      </c>
    </row>
    <row r="36" spans="1:35" x14ac:dyDescent="0.25">
      <c r="A36">
        <v>1.8465808615875925E-28</v>
      </c>
      <c r="B36">
        <v>2.7698712923813889E-28</v>
      </c>
      <c r="C36">
        <v>2.7698712923813889E-28</v>
      </c>
      <c r="D36">
        <v>1.8327315051256856E-28</v>
      </c>
      <c r="E36">
        <v>1.9100570787046661E-28</v>
      </c>
      <c r="F36">
        <v>1.523429210809764E-28</v>
      </c>
      <c r="G36">
        <v>5.2398464208353728E-47</v>
      </c>
      <c r="H36">
        <v>2.0959385683341491E-46</v>
      </c>
      <c r="I36">
        <v>-1.0479692841670746E-46</v>
      </c>
      <c r="J36">
        <v>0</v>
      </c>
      <c r="L36">
        <v>-4.3993214500807062E-29</v>
      </c>
      <c r="M36">
        <v>-4.2519421783157337E-30</v>
      </c>
      <c r="N36">
        <v>-4.1748203424207741E-29</v>
      </c>
      <c r="O36">
        <v>-2.4649808974240314E-29</v>
      </c>
      <c r="P36">
        <v>-2.5783680212834763E-29</v>
      </c>
      <c r="Q36">
        <v>-3.818791970277808E-29</v>
      </c>
      <c r="R36">
        <v>-1.1327121786409348E-29</v>
      </c>
      <c r="S36">
        <v>-6.4742968207389444E-30</v>
      </c>
      <c r="T36">
        <v>0</v>
      </c>
      <c r="U36">
        <v>-4.1918771366682982E-46</v>
      </c>
      <c r="W36">
        <v>1.179908519417641E-31</v>
      </c>
      <c r="X36">
        <v>1.179908519417641E-31</v>
      </c>
      <c r="Y36">
        <v>1.179908519417641E-31</v>
      </c>
      <c r="Z36">
        <v>1.179908519417641E-31</v>
      </c>
      <c r="AA36">
        <v>1.179908519417641E-31</v>
      </c>
      <c r="AB36">
        <v>1.179908519417641E-31</v>
      </c>
      <c r="AC36">
        <v>1.179908519417641E-31</v>
      </c>
      <c r="AD36">
        <v>1.179908519417641E-31</v>
      </c>
      <c r="AE36">
        <v>2.3598170388352821E-31</v>
      </c>
      <c r="AF36">
        <v>2.3598170388352821E-31</v>
      </c>
      <c r="AH36" t="s">
        <v>489</v>
      </c>
      <c r="AI36" t="s">
        <v>1137</v>
      </c>
    </row>
    <row r="37" spans="1:35" x14ac:dyDescent="0.25">
      <c r="A37">
        <v>0</v>
      </c>
      <c r="B37">
        <v>0</v>
      </c>
      <c r="C37">
        <v>0</v>
      </c>
      <c r="D37">
        <v>0</v>
      </c>
      <c r="E37">
        <v>0</v>
      </c>
      <c r="F37">
        <v>0</v>
      </c>
      <c r="G37">
        <v>5.2398464208353738E-47</v>
      </c>
      <c r="H37">
        <v>2.0959385683341495E-46</v>
      </c>
      <c r="I37">
        <v>-1.0479692841670748E-46</v>
      </c>
      <c r="J37">
        <v>0</v>
      </c>
      <c r="L37">
        <v>-4.3993214500807062E-29</v>
      </c>
      <c r="M37">
        <v>-4.2519421783157337E-30</v>
      </c>
      <c r="N37">
        <v>-4.1748203424207741E-29</v>
      </c>
      <c r="O37">
        <v>-2.4649808974240314E-29</v>
      </c>
      <c r="P37">
        <v>-2.5783680212834763E-29</v>
      </c>
      <c r="Q37">
        <v>-3.818791970277808E-29</v>
      </c>
      <c r="R37">
        <v>-1.1327121786409348E-29</v>
      </c>
      <c r="S37">
        <v>-6.4742968207389444E-30</v>
      </c>
      <c r="T37">
        <v>0</v>
      </c>
      <c r="U37">
        <v>-4.1918771366682982E-46</v>
      </c>
      <c r="W37">
        <v>1.179908519417641E-31</v>
      </c>
      <c r="X37">
        <v>1.179908519417641E-31</v>
      </c>
      <c r="Y37">
        <v>1.179908519417641E-31</v>
      </c>
      <c r="Z37">
        <v>1.179908519417641E-31</v>
      </c>
      <c r="AA37">
        <v>1.179908519417641E-31</v>
      </c>
      <c r="AB37">
        <v>1.179908519417641E-31</v>
      </c>
      <c r="AC37">
        <v>1.179908519417641E-31</v>
      </c>
      <c r="AD37">
        <v>1.179908519417641E-31</v>
      </c>
      <c r="AE37">
        <v>2.3598170388352812E-31</v>
      </c>
      <c r="AF37">
        <v>2.3598170388352812E-31</v>
      </c>
      <c r="AH37" t="s">
        <v>493</v>
      </c>
      <c r="AI37" s="60" t="s">
        <v>1142</v>
      </c>
    </row>
    <row r="38" spans="1:35" x14ac:dyDescent="0.25">
      <c r="A38">
        <v>1.8521566922839332E-28</v>
      </c>
      <c r="B38">
        <v>2.7782350384259E-28</v>
      </c>
      <c r="C38">
        <v>2.7687852593836348E-28</v>
      </c>
      <c r="D38">
        <v>1.8332571341994034E-28</v>
      </c>
      <c r="E38">
        <v>1.9100365889178061E-28</v>
      </c>
      <c r="F38">
        <v>1.5308642048469244E-28</v>
      </c>
      <c r="G38">
        <v>5.2398464208353728E-47</v>
      </c>
      <c r="H38">
        <v>2.0959385683341491E-46</v>
      </c>
      <c r="I38">
        <v>-1.0479692841670746E-46</v>
      </c>
      <c r="J38">
        <v>0</v>
      </c>
      <c r="L38">
        <v>-4.3993214500807062E-29</v>
      </c>
      <c r="M38">
        <v>-4.2519421783157337E-30</v>
      </c>
      <c r="N38">
        <v>-4.1748203424207741E-29</v>
      </c>
      <c r="O38">
        <v>-2.4649808974240314E-29</v>
      </c>
      <c r="P38">
        <v>-2.5783680212834763E-29</v>
      </c>
      <c r="Q38">
        <v>-3.818791970277808E-29</v>
      </c>
      <c r="R38">
        <v>-1.1327121786409348E-29</v>
      </c>
      <c r="S38">
        <v>-6.474296820738943E-30</v>
      </c>
      <c r="T38">
        <v>0</v>
      </c>
      <c r="U38">
        <v>-4.1918771366682982E-46</v>
      </c>
      <c r="W38">
        <v>1.1799085194176408E-31</v>
      </c>
      <c r="X38">
        <v>1.1799085194176408E-31</v>
      </c>
      <c r="Y38">
        <v>1.1799085194176408E-31</v>
      </c>
      <c r="Z38">
        <v>1.1799085194176408E-31</v>
      </c>
      <c r="AA38">
        <v>1.1799085194176408E-31</v>
      </c>
      <c r="AB38">
        <v>1.1799085194176408E-31</v>
      </c>
      <c r="AC38">
        <v>1.1799085194176408E-31</v>
      </c>
      <c r="AD38">
        <v>1.1799085194176408E-31</v>
      </c>
      <c r="AE38">
        <v>2.3598170388352821E-31</v>
      </c>
      <c r="AF38">
        <v>2.3598170388352821E-31</v>
      </c>
      <c r="AH38" t="s">
        <v>497</v>
      </c>
      <c r="AI38" t="s">
        <v>1147</v>
      </c>
    </row>
    <row r="39" spans="1:35" x14ac:dyDescent="0.25">
      <c r="A39">
        <v>1.8740883780960747E-28</v>
      </c>
      <c r="B39">
        <v>2.7882778308258672E-28</v>
      </c>
      <c r="C39">
        <v>2.7654230945076225E-28</v>
      </c>
      <c r="D39">
        <v>1.8340925895391464E-28</v>
      </c>
      <c r="E39">
        <v>1.9097989035933324E-28</v>
      </c>
      <c r="F39">
        <v>1.5255536492428414E-28</v>
      </c>
      <c r="G39">
        <v>5.2398464208353738E-47</v>
      </c>
      <c r="H39">
        <v>2.0959385683341495E-46</v>
      </c>
      <c r="I39">
        <v>-1.0479692841670748E-46</v>
      </c>
      <c r="J39">
        <v>0</v>
      </c>
      <c r="L39">
        <v>-4.3993214500807068E-29</v>
      </c>
      <c r="M39">
        <v>-4.2519421783157344E-30</v>
      </c>
      <c r="N39">
        <v>-4.1748203424207741E-29</v>
      </c>
      <c r="O39">
        <v>-2.4649808974240317E-29</v>
      </c>
      <c r="P39">
        <v>-2.5783680212834769E-29</v>
      </c>
      <c r="Q39">
        <v>-3.818791970277808E-29</v>
      </c>
      <c r="R39">
        <v>-1.1327121786409349E-29</v>
      </c>
      <c r="S39">
        <v>-6.4742968207389444E-30</v>
      </c>
      <c r="T39">
        <v>0</v>
      </c>
      <c r="U39">
        <v>-4.1918771366682982E-46</v>
      </c>
      <c r="W39">
        <v>1.179908519417641E-31</v>
      </c>
      <c r="X39">
        <v>1.179908519417641E-31</v>
      </c>
      <c r="Y39">
        <v>1.179908519417641E-31</v>
      </c>
      <c r="Z39">
        <v>1.179908519417641E-31</v>
      </c>
      <c r="AA39">
        <v>1.179908519417641E-31</v>
      </c>
      <c r="AB39">
        <v>1.179908519417641E-31</v>
      </c>
      <c r="AC39">
        <v>1.179908519417641E-31</v>
      </c>
      <c r="AD39">
        <v>1.179908519417641E-31</v>
      </c>
      <c r="AE39">
        <v>2.3598170388352816E-31</v>
      </c>
      <c r="AF39">
        <v>2.3598170388352816E-31</v>
      </c>
      <c r="AH39" t="s">
        <v>502</v>
      </c>
      <c r="AI39" t="s">
        <v>1152</v>
      </c>
    </row>
    <row r="40" spans="1:35" x14ac:dyDescent="0.25">
      <c r="A40">
        <v>1.8757281343581784E-28</v>
      </c>
      <c r="B40">
        <v>2.7851720782894164E-28</v>
      </c>
      <c r="C40">
        <v>2.770962016665491E-28</v>
      </c>
      <c r="D40">
        <v>1.8330979494864018E-28</v>
      </c>
      <c r="E40">
        <v>1.9094770307150017E-28</v>
      </c>
      <c r="F40">
        <v>1.5275816245720014E-28</v>
      </c>
      <c r="G40">
        <v>5.2398464208353747E-47</v>
      </c>
      <c r="H40">
        <v>2.0959385683341499E-46</v>
      </c>
      <c r="I40">
        <v>-1.0479692841670749E-46</v>
      </c>
      <c r="J40">
        <v>0</v>
      </c>
      <c r="L40">
        <v>-4.3993214500807073E-29</v>
      </c>
      <c r="M40">
        <v>-4.2519421783157344E-30</v>
      </c>
      <c r="N40">
        <v>-4.1748203424207747E-29</v>
      </c>
      <c r="O40">
        <v>-2.464980897424032E-29</v>
      </c>
      <c r="P40">
        <v>-2.5783680212834774E-29</v>
      </c>
      <c r="Q40">
        <v>-3.8187919702778086E-29</v>
      </c>
      <c r="R40">
        <v>-1.132712178640935E-29</v>
      </c>
      <c r="S40">
        <v>-6.4742968207389458E-30</v>
      </c>
      <c r="T40">
        <v>0</v>
      </c>
      <c r="U40">
        <v>-4.191877136668299E-46</v>
      </c>
      <c r="W40">
        <v>1.179908519417641E-31</v>
      </c>
      <c r="X40">
        <v>1.179908519417641E-31</v>
      </c>
      <c r="Y40">
        <v>1.179908519417641E-31</v>
      </c>
      <c r="Z40">
        <v>1.179908519417641E-31</v>
      </c>
      <c r="AA40">
        <v>1.179908519417641E-31</v>
      </c>
      <c r="AB40">
        <v>1.179908519417641E-31</v>
      </c>
      <c r="AC40">
        <v>1.179908519417641E-31</v>
      </c>
      <c r="AD40">
        <v>1.179908519417641E-31</v>
      </c>
      <c r="AE40">
        <v>2.3598170388352821E-31</v>
      </c>
      <c r="AF40">
        <v>2.3598170388352821E-31</v>
      </c>
      <c r="AH40" t="s">
        <v>505</v>
      </c>
      <c r="AI40" t="s">
        <v>1156</v>
      </c>
    </row>
    <row r="41" spans="1:35" x14ac:dyDescent="0.25">
      <c r="A41">
        <v>1.8716460972156349E-28</v>
      </c>
      <c r="B41">
        <v>2.7942885395050325E-28</v>
      </c>
      <c r="C41">
        <v>2.7679273268681927E-28</v>
      </c>
      <c r="D41">
        <v>1.832104278260375E-28</v>
      </c>
      <c r="E41">
        <v>1.9095403403810923E-28</v>
      </c>
      <c r="F41">
        <v>1.5223600297775058E-28</v>
      </c>
      <c r="G41">
        <v>5.2398464208353738E-47</v>
      </c>
      <c r="H41">
        <v>2.0959385683341495E-46</v>
      </c>
      <c r="I41">
        <v>-1.0479692841670748E-46</v>
      </c>
      <c r="J41">
        <v>0</v>
      </c>
      <c r="L41">
        <v>-4.3993214500807073E-29</v>
      </c>
      <c r="M41">
        <v>-4.2519421783157337E-30</v>
      </c>
      <c r="N41">
        <v>-4.1748203424207747E-29</v>
      </c>
      <c r="O41">
        <v>-2.464980897424032E-29</v>
      </c>
      <c r="P41">
        <v>-2.5783680212834769E-29</v>
      </c>
      <c r="Q41">
        <v>-3.818791970277808E-29</v>
      </c>
      <c r="R41">
        <v>-1.1327121786409349E-29</v>
      </c>
      <c r="S41">
        <v>-6.4742968207389444E-30</v>
      </c>
      <c r="T41">
        <v>0</v>
      </c>
      <c r="U41">
        <v>-4.1918771366682982E-46</v>
      </c>
      <c r="W41">
        <v>1.179908519417641E-31</v>
      </c>
      <c r="X41">
        <v>1.179908519417641E-31</v>
      </c>
      <c r="Y41">
        <v>1.179908519417641E-31</v>
      </c>
      <c r="Z41">
        <v>1.179908519417641E-31</v>
      </c>
      <c r="AA41">
        <v>1.179908519417641E-31</v>
      </c>
      <c r="AB41">
        <v>1.179908519417641E-31</v>
      </c>
      <c r="AC41">
        <v>1.179908519417641E-31</v>
      </c>
      <c r="AD41">
        <v>1.179908519417641E-31</v>
      </c>
      <c r="AE41">
        <v>2.3598170388352816E-31</v>
      </c>
      <c r="AF41">
        <v>2.3598170388352816E-31</v>
      </c>
      <c r="AH41" t="s">
        <v>510</v>
      </c>
      <c r="AI41" t="s">
        <v>1160</v>
      </c>
    </row>
    <row r="42" spans="1:35" x14ac:dyDescent="0.25">
      <c r="A42">
        <v>1.8716460972156349E-28</v>
      </c>
      <c r="B42">
        <v>2.7679273268681927E-28</v>
      </c>
      <c r="C42">
        <v>2.7679273268681927E-28</v>
      </c>
      <c r="D42">
        <v>1.838694581419585E-28</v>
      </c>
      <c r="E42">
        <v>1.9095403403810923E-28</v>
      </c>
      <c r="F42">
        <v>1.5223600297775058E-28</v>
      </c>
      <c r="G42">
        <v>5.2398464208353738E-47</v>
      </c>
      <c r="H42">
        <v>2.0959385683341495E-46</v>
      </c>
      <c r="I42">
        <v>-1.0479692841670748E-46</v>
      </c>
      <c r="J42">
        <v>0</v>
      </c>
      <c r="L42">
        <v>-4.1532779883500953E-29</v>
      </c>
      <c r="M42">
        <v>-7.5514145242728999E-30</v>
      </c>
      <c r="N42">
        <v>-4.3420633514569175E-29</v>
      </c>
      <c r="O42">
        <v>-2.4542097203886926E-29</v>
      </c>
      <c r="P42">
        <v>-2.8317804466023372E-29</v>
      </c>
      <c r="Q42">
        <v>-3.7757072621364503E-29</v>
      </c>
      <c r="R42">
        <v>-1.51028290485458E-29</v>
      </c>
      <c r="S42">
        <v>0</v>
      </c>
      <c r="T42">
        <v>-3.7757072621364499E-30</v>
      </c>
      <c r="U42">
        <v>-1.887853631068225E-30</v>
      </c>
      <c r="W42">
        <v>1.1799085194176406E-31</v>
      </c>
      <c r="X42">
        <v>1.1799085194176406E-31</v>
      </c>
      <c r="Y42">
        <v>1.1799085194176406E-31</v>
      </c>
      <c r="Z42">
        <v>1.1799085194176406E-31</v>
      </c>
      <c r="AA42">
        <v>1.1799085194176406E-31</v>
      </c>
      <c r="AB42">
        <v>1.1799085194176406E-31</v>
      </c>
      <c r="AC42">
        <v>1.1799085194176406E-31</v>
      </c>
      <c r="AD42">
        <v>1.1799085194176406E-31</v>
      </c>
      <c r="AE42">
        <v>2.3598170388352821E-31</v>
      </c>
      <c r="AF42">
        <v>2.3598170388352821E-31</v>
      </c>
      <c r="AH42" t="s">
        <v>514</v>
      </c>
      <c r="AI42" t="s">
        <v>1162</v>
      </c>
    </row>
    <row r="43" spans="1:35" x14ac:dyDescent="0.25">
      <c r="A43">
        <v>-2.5142658233757499E-14</v>
      </c>
      <c r="B43">
        <v>-5.4644765312247198E-15</v>
      </c>
      <c r="C43">
        <v>-1.9240029280736162E-14</v>
      </c>
      <c r="D43">
        <v>-1.4256935402883842E-14</v>
      </c>
      <c r="E43">
        <v>8.2328081328437561E-15</v>
      </c>
      <c r="F43">
        <v>-2.2797520391262494E-14</v>
      </c>
      <c r="G43">
        <v>-1.3073252551986253E-14</v>
      </c>
      <c r="H43">
        <v>-1.0755062444628725E-14</v>
      </c>
      <c r="I43">
        <v>1.6177538888012909E-15</v>
      </c>
      <c r="J43">
        <v>1.866652085556001E-16</v>
      </c>
      <c r="L43">
        <v>-2.7240291911206565E-14</v>
      </c>
      <c r="M43">
        <v>-2.5049612258216134E-15</v>
      </c>
      <c r="N43">
        <v>-3.594782598110925E-14</v>
      </c>
      <c r="O43">
        <v>-3.3506423271173802E-14</v>
      </c>
      <c r="P43">
        <v>-3.0338444120290227E-14</v>
      </c>
      <c r="Q43">
        <v>-2.3564365489090858E-14</v>
      </c>
      <c r="R43">
        <v>6.9833538264884698E-16</v>
      </c>
      <c r="S43">
        <v>-2.1353482375754357E-14</v>
      </c>
      <c r="T43">
        <v>-9.0499407759247694E-15</v>
      </c>
      <c r="U43">
        <v>-1.7197493654566337E-14</v>
      </c>
      <c r="W43">
        <v>-2.7879322472721139E-14</v>
      </c>
      <c r="X43">
        <v>2.2266823866071367E-14</v>
      </c>
      <c r="Y43">
        <v>-1.9002676463963167E-14</v>
      </c>
      <c r="Z43">
        <v>-1.2430316480583401E-14</v>
      </c>
      <c r="AA43">
        <v>-1.4730559289603969E-14</v>
      </c>
      <c r="AB43">
        <v>-2.2222391168895035E-14</v>
      </c>
      <c r="AC43">
        <v>-1.7911538844455834E-14</v>
      </c>
      <c r="AD43">
        <v>-1.2341961490254046E-14</v>
      </c>
      <c r="AE43">
        <v>3.9644926252432725E-29</v>
      </c>
      <c r="AF43">
        <v>-3.9644926252432725E-29</v>
      </c>
      <c r="AH43" t="s">
        <v>518</v>
      </c>
      <c r="AI43" t="s">
        <v>1167</v>
      </c>
    </row>
    <row r="44" spans="1:35" x14ac:dyDescent="0.25">
      <c r="A44">
        <v>-2.5142658233759304E-14</v>
      </c>
      <c r="B44">
        <v>-5.4644765312265223E-15</v>
      </c>
      <c r="C44">
        <v>-1.9240029280737701E-14</v>
      </c>
      <c r="D44">
        <v>-1.4256935402885171E-14</v>
      </c>
      <c r="E44">
        <v>8.2328081328422099E-15</v>
      </c>
      <c r="F44">
        <v>-2.2797520391263551E-14</v>
      </c>
      <c r="G44">
        <v>-1.3073252551986219E-14</v>
      </c>
      <c r="H44">
        <v>-1.0755062444628667E-14</v>
      </c>
      <c r="I44">
        <v>0</v>
      </c>
      <c r="J44">
        <v>0</v>
      </c>
      <c r="L44">
        <v>-2.7240291911206334E-14</v>
      </c>
      <c r="M44">
        <v>-2.5049612258214458E-15</v>
      </c>
      <c r="N44">
        <v>-3.5947825981109092E-14</v>
      </c>
      <c r="O44">
        <v>-3.3506423271173733E-14</v>
      </c>
      <c r="P44">
        <v>-3.0338444120290171E-14</v>
      </c>
      <c r="Q44">
        <v>-2.3564365489090649E-14</v>
      </c>
      <c r="R44">
        <v>6.983353826487956E-16</v>
      </c>
      <c r="S44">
        <v>-2.1353482375754505E-14</v>
      </c>
      <c r="T44">
        <v>0</v>
      </c>
      <c r="U44">
        <v>0</v>
      </c>
      <c r="W44">
        <v>-2.787932247272117E-14</v>
      </c>
      <c r="X44">
        <v>2.2266823866071298E-14</v>
      </c>
      <c r="Y44">
        <v>-1.9002676463962999E-14</v>
      </c>
      <c r="Z44">
        <v>-1.2430316480583153E-14</v>
      </c>
      <c r="AA44">
        <v>-1.4730559289603893E-14</v>
      </c>
      <c r="AB44">
        <v>-2.2222391168894865E-14</v>
      </c>
      <c r="AC44">
        <v>-1.7911538844455638E-14</v>
      </c>
      <c r="AD44">
        <v>-1.2341961490253948E-14</v>
      </c>
      <c r="AE44">
        <v>0</v>
      </c>
      <c r="AF44">
        <v>0</v>
      </c>
      <c r="AH44" t="s">
        <v>521</v>
      </c>
      <c r="AI44" t="s">
        <v>1172</v>
      </c>
    </row>
    <row r="45" spans="1:35" x14ac:dyDescent="0.25">
      <c r="A45">
        <v>-2.5142658233759304E-14</v>
      </c>
      <c r="B45">
        <v>-5.4644765312265365E-15</v>
      </c>
      <c r="C45">
        <v>-1.9240029280737739E-14</v>
      </c>
      <c r="D45">
        <v>-1.4256935402885202E-14</v>
      </c>
      <c r="E45">
        <v>8.2328081328421784E-15</v>
      </c>
      <c r="F45">
        <v>-2.2797520391263554E-14</v>
      </c>
      <c r="G45">
        <v>-1.3073252551986217E-14</v>
      </c>
      <c r="H45">
        <v>-1.0755062444628673E-14</v>
      </c>
      <c r="I45">
        <v>0</v>
      </c>
      <c r="J45">
        <v>0</v>
      </c>
      <c r="L45">
        <v>-2.7240291911206338E-14</v>
      </c>
      <c r="M45">
        <v>-2.5049612258214398E-15</v>
      </c>
      <c r="N45">
        <v>-3.5947825981109086E-14</v>
      </c>
      <c r="O45">
        <v>-3.3506423271173733E-14</v>
      </c>
      <c r="P45">
        <v>-3.0338444120290171E-14</v>
      </c>
      <c r="Q45">
        <v>-2.3564365489090646E-14</v>
      </c>
      <c r="R45">
        <v>6.9833538264878752E-16</v>
      </c>
      <c r="S45">
        <v>-2.1353482375754521E-14</v>
      </c>
      <c r="T45">
        <v>0</v>
      </c>
      <c r="U45">
        <v>0</v>
      </c>
      <c r="W45">
        <v>-2.7879322472721161E-14</v>
      </c>
      <c r="X45">
        <v>2.2266823866071301E-14</v>
      </c>
      <c r="Y45">
        <v>-1.9002676463962993E-14</v>
      </c>
      <c r="Z45">
        <v>-1.2430316480583155E-14</v>
      </c>
      <c r="AA45">
        <v>-1.473055928960389E-14</v>
      </c>
      <c r="AB45">
        <v>-2.2222391168894862E-14</v>
      </c>
      <c r="AC45">
        <v>-1.7911538844455638E-14</v>
      </c>
      <c r="AD45">
        <v>-1.234196149025395E-14</v>
      </c>
      <c r="AE45">
        <v>0</v>
      </c>
      <c r="AF45">
        <v>0</v>
      </c>
      <c r="AH45" t="s">
        <v>525</v>
      </c>
      <c r="AI45" t="s">
        <v>1176</v>
      </c>
    </row>
    <row r="46" spans="1:35" x14ac:dyDescent="0.25">
      <c r="A46">
        <v>0</v>
      </c>
      <c r="B46">
        <v>0</v>
      </c>
      <c r="C46">
        <v>0</v>
      </c>
      <c r="D46">
        <v>0</v>
      </c>
      <c r="E46">
        <v>0</v>
      </c>
      <c r="F46">
        <v>0</v>
      </c>
      <c r="G46">
        <v>0</v>
      </c>
      <c r="H46">
        <v>0</v>
      </c>
      <c r="I46">
        <v>0</v>
      </c>
      <c r="J46">
        <v>0</v>
      </c>
      <c r="L46">
        <v>0</v>
      </c>
      <c r="M46">
        <v>0</v>
      </c>
      <c r="N46">
        <v>0</v>
      </c>
      <c r="O46">
        <v>0</v>
      </c>
      <c r="P46">
        <v>0</v>
      </c>
      <c r="Q46">
        <v>0</v>
      </c>
      <c r="R46">
        <v>0</v>
      </c>
      <c r="S46">
        <v>0</v>
      </c>
      <c r="T46">
        <v>0</v>
      </c>
      <c r="U46">
        <v>0</v>
      </c>
      <c r="W46">
        <v>0</v>
      </c>
      <c r="X46">
        <v>0</v>
      </c>
      <c r="Y46">
        <v>0</v>
      </c>
      <c r="Z46">
        <v>0</v>
      </c>
      <c r="AA46">
        <v>0</v>
      </c>
      <c r="AB46">
        <v>0</v>
      </c>
      <c r="AC46">
        <v>0</v>
      </c>
      <c r="AD46">
        <v>0</v>
      </c>
      <c r="AE46">
        <v>0</v>
      </c>
      <c r="AF46">
        <v>0</v>
      </c>
      <c r="AH46" t="s">
        <v>529</v>
      </c>
      <c r="AI46" t="s">
        <v>1181</v>
      </c>
    </row>
    <row r="47" spans="1:35" x14ac:dyDescent="0.25">
      <c r="A47">
        <v>-2.514265823375931E-14</v>
      </c>
      <c r="B47">
        <v>-5.4644765312265318E-15</v>
      </c>
      <c r="C47">
        <v>-1.9240029280737765E-14</v>
      </c>
      <c r="D47">
        <v>-1.4256935402885202E-14</v>
      </c>
      <c r="E47">
        <v>8.2328081328422147E-15</v>
      </c>
      <c r="F47">
        <v>-2.279752039126358E-14</v>
      </c>
      <c r="G47">
        <v>-1.3073252551986219E-14</v>
      </c>
      <c r="H47">
        <v>-1.0755062444628672E-14</v>
      </c>
      <c r="I47">
        <v>0</v>
      </c>
      <c r="J47">
        <v>0</v>
      </c>
      <c r="L47">
        <v>-2.7240291911206341E-14</v>
      </c>
      <c r="M47">
        <v>-2.5049612258214398E-15</v>
      </c>
      <c r="N47">
        <v>-3.5947825981109079E-14</v>
      </c>
      <c r="O47">
        <v>-3.3506423271173733E-14</v>
      </c>
      <c r="P47">
        <v>-3.0338444120290171E-14</v>
      </c>
      <c r="Q47">
        <v>-2.3564365489090646E-14</v>
      </c>
      <c r="R47">
        <v>6.9833538264879412E-16</v>
      </c>
      <c r="S47">
        <v>-2.1353482375754524E-14</v>
      </c>
      <c r="T47">
        <v>0</v>
      </c>
      <c r="U47">
        <v>0</v>
      </c>
      <c r="W47">
        <v>-2.787932247272117E-14</v>
      </c>
      <c r="X47">
        <v>2.2266823866071291E-14</v>
      </c>
      <c r="Y47">
        <v>-1.9002676463962999E-14</v>
      </c>
      <c r="Z47">
        <v>-1.2430316480583145E-14</v>
      </c>
      <c r="AA47">
        <v>-1.4730559289603878E-14</v>
      </c>
      <c r="AB47">
        <v>-2.2222391168894862E-14</v>
      </c>
      <c r="AC47">
        <v>-1.7911538844455638E-14</v>
      </c>
      <c r="AD47">
        <v>-1.2341961490253945E-14</v>
      </c>
      <c r="AE47">
        <v>0</v>
      </c>
      <c r="AF47">
        <v>0</v>
      </c>
      <c r="AH47" t="s">
        <v>533</v>
      </c>
      <c r="AI47" t="s">
        <v>1185</v>
      </c>
    </row>
    <row r="48" spans="1:35" x14ac:dyDescent="0.25">
      <c r="A48">
        <v>-2.514265823375931E-14</v>
      </c>
      <c r="B48">
        <v>-5.4644765312265318E-15</v>
      </c>
      <c r="C48">
        <v>-1.9240029280737765E-14</v>
      </c>
      <c r="D48">
        <v>-1.4256935402885202E-14</v>
      </c>
      <c r="E48">
        <v>8.2328081328421847E-15</v>
      </c>
      <c r="F48">
        <v>-2.279752039126358E-14</v>
      </c>
      <c r="G48">
        <v>-1.3073252551986219E-14</v>
      </c>
      <c r="H48">
        <v>-1.0755062444628669E-14</v>
      </c>
      <c r="I48">
        <v>0</v>
      </c>
      <c r="J48">
        <v>0</v>
      </c>
      <c r="L48">
        <v>-2.7240291911206331E-14</v>
      </c>
      <c r="M48">
        <v>-2.5049612258214398E-15</v>
      </c>
      <c r="N48">
        <v>-3.5947825981109079E-14</v>
      </c>
      <c r="O48">
        <v>-3.3506423271173733E-14</v>
      </c>
      <c r="P48">
        <v>-3.0338444120290171E-14</v>
      </c>
      <c r="Q48">
        <v>-2.3564365489090652E-14</v>
      </c>
      <c r="R48">
        <v>6.9833538264878653E-16</v>
      </c>
      <c r="S48">
        <v>-2.135348237575454E-14</v>
      </c>
      <c r="T48">
        <v>6.7962730718456097E-29</v>
      </c>
      <c r="U48">
        <v>1.0194409607768416E-28</v>
      </c>
      <c r="W48">
        <v>-2.7879322472721154E-14</v>
      </c>
      <c r="X48">
        <v>2.2266823866071301E-14</v>
      </c>
      <c r="Y48">
        <v>-1.9002676463962999E-14</v>
      </c>
      <c r="Z48">
        <v>-1.2430316480583145E-14</v>
      </c>
      <c r="AA48">
        <v>-1.4730559289603878E-14</v>
      </c>
      <c r="AB48">
        <v>-2.2222391168894868E-14</v>
      </c>
      <c r="AC48">
        <v>-1.7911538844455629E-14</v>
      </c>
      <c r="AD48">
        <v>-1.2341961490253937E-14</v>
      </c>
      <c r="AE48">
        <v>0</v>
      </c>
      <c r="AF48">
        <v>0</v>
      </c>
      <c r="AH48" t="s">
        <v>538</v>
      </c>
      <c r="AI48" t="s">
        <v>1189</v>
      </c>
    </row>
    <row r="49" spans="1:35" x14ac:dyDescent="0.25">
      <c r="A49">
        <v>-2.5142658233759168E-14</v>
      </c>
      <c r="B49">
        <v>-5.4644765312262234E-15</v>
      </c>
      <c r="C49">
        <v>-1.9240029280737471E-14</v>
      </c>
      <c r="D49">
        <v>-1.4256935402885032E-14</v>
      </c>
      <c r="E49">
        <v>8.2328081328423645E-15</v>
      </c>
      <c r="F49">
        <v>-2.2797520391263435E-14</v>
      </c>
      <c r="G49">
        <v>-1.3073252551986217E-14</v>
      </c>
      <c r="H49">
        <v>-1.0755062444628669E-14</v>
      </c>
      <c r="I49">
        <v>-1.0479692841670748E-46</v>
      </c>
      <c r="J49">
        <v>0</v>
      </c>
      <c r="L49">
        <v>-2.7240291911206375E-14</v>
      </c>
      <c r="M49">
        <v>-2.504961225821445E-15</v>
      </c>
      <c r="N49">
        <v>-3.5947825981109124E-14</v>
      </c>
      <c r="O49">
        <v>-3.3506423271173752E-14</v>
      </c>
      <c r="P49">
        <v>-3.0338444120290202E-14</v>
      </c>
      <c r="Q49">
        <v>-2.3564365489090697E-14</v>
      </c>
      <c r="R49">
        <v>6.9833538264877637E-16</v>
      </c>
      <c r="S49">
        <v>-2.1353482375754546E-14</v>
      </c>
      <c r="T49">
        <v>6.429325717987932E-29</v>
      </c>
      <c r="U49">
        <v>1.0138552093750201E-28</v>
      </c>
      <c r="W49">
        <v>-2.7879322472721145E-14</v>
      </c>
      <c r="X49">
        <v>2.2266823866071301E-14</v>
      </c>
      <c r="Y49">
        <v>-1.9002676463962996E-14</v>
      </c>
      <c r="Z49">
        <v>-1.2430316480583145E-14</v>
      </c>
      <c r="AA49">
        <v>-1.4730559289603881E-14</v>
      </c>
      <c r="AB49">
        <v>-2.2222391168894865E-14</v>
      </c>
      <c r="AC49">
        <v>-1.7911538844455629E-14</v>
      </c>
      <c r="AD49">
        <v>-1.2341961490253936E-14</v>
      </c>
      <c r="AE49">
        <v>2.3598170388352812E-31</v>
      </c>
      <c r="AF49">
        <v>2.3598170388352812E-31</v>
      </c>
      <c r="AH49" t="s">
        <v>543</v>
      </c>
      <c r="AI49" t="s">
        <v>1193</v>
      </c>
    </row>
    <row r="50" spans="1:35" x14ac:dyDescent="0.25">
      <c r="A50">
        <v>-2.514265823376014E-14</v>
      </c>
      <c r="B50">
        <v>-5.4644765312273806E-15</v>
      </c>
      <c r="C50">
        <v>-1.9240029280738497E-14</v>
      </c>
      <c r="D50">
        <v>-1.4256935402885839E-14</v>
      </c>
      <c r="E50">
        <v>8.2328081328417019E-15</v>
      </c>
      <c r="F50">
        <v>-2.2797520391263674E-14</v>
      </c>
      <c r="G50">
        <v>-1.3073252551986209E-14</v>
      </c>
      <c r="H50">
        <v>-1.0755062444628651E-14</v>
      </c>
      <c r="I50">
        <v>-1.7610441485483478E-30</v>
      </c>
      <c r="J50">
        <v>0</v>
      </c>
      <c r="L50">
        <v>-2.7240291911206382E-14</v>
      </c>
      <c r="M50">
        <v>-2.5049612258214363E-15</v>
      </c>
      <c r="N50">
        <v>-3.5947825981109111E-14</v>
      </c>
      <c r="O50">
        <v>-3.3506423271173745E-14</v>
      </c>
      <c r="P50">
        <v>-3.0338444120290196E-14</v>
      </c>
      <c r="Q50">
        <v>-2.3564365489090728E-14</v>
      </c>
      <c r="R50">
        <v>6.9833538264880665E-16</v>
      </c>
      <c r="S50">
        <v>-2.1353482375754514E-14</v>
      </c>
      <c r="T50">
        <v>7.396385423903061E-29</v>
      </c>
      <c r="U50">
        <v>1.1975100210128764E-28</v>
      </c>
      <c r="W50">
        <v>-2.7879322472721041E-14</v>
      </c>
      <c r="X50">
        <v>2.2266823866071295E-14</v>
      </c>
      <c r="Y50">
        <v>-1.900267646396311E-14</v>
      </c>
      <c r="Z50">
        <v>-1.2430316480583054E-14</v>
      </c>
      <c r="AA50">
        <v>-1.4730559289603837E-14</v>
      </c>
      <c r="AB50">
        <v>-2.2222391168894824E-14</v>
      </c>
      <c r="AC50">
        <v>-1.7911538844455644E-14</v>
      </c>
      <c r="AD50">
        <v>-1.2341961490253939E-14</v>
      </c>
      <c r="AE50">
        <v>1.5866951632328788E-14</v>
      </c>
      <c r="AF50">
        <v>1.6662051761547819E-14</v>
      </c>
      <c r="AH50" t="s">
        <v>546</v>
      </c>
      <c r="AI50" t="s">
        <v>1198</v>
      </c>
    </row>
    <row r="51" spans="1:35" x14ac:dyDescent="0.25">
      <c r="A51">
        <v>-2.5142658233760033E-14</v>
      </c>
      <c r="B51">
        <v>-5.4644765312273617E-15</v>
      </c>
      <c r="C51">
        <v>-1.9240029280738304E-14</v>
      </c>
      <c r="D51">
        <v>-1.425693540288577E-14</v>
      </c>
      <c r="E51">
        <v>8.2328081328416719E-15</v>
      </c>
      <c r="F51">
        <v>-2.2797520391263646E-14</v>
      </c>
      <c r="G51">
        <v>-1.3073252551986214E-14</v>
      </c>
      <c r="H51">
        <v>-1.0755062444628643E-14</v>
      </c>
      <c r="I51">
        <v>-1.1559971909069963E-30</v>
      </c>
      <c r="J51">
        <v>2.3119943818139926E-30</v>
      </c>
      <c r="L51">
        <v>-2.7240291911206375E-14</v>
      </c>
      <c r="M51">
        <v>-2.5049612258214308E-15</v>
      </c>
      <c r="N51">
        <v>-3.5947825981109111E-14</v>
      </c>
      <c r="O51">
        <v>-3.3506423271173752E-14</v>
      </c>
      <c r="P51">
        <v>-3.033844412029019E-14</v>
      </c>
      <c r="Q51">
        <v>-2.3564365489090722E-14</v>
      </c>
      <c r="R51">
        <v>6.9833538264880033E-16</v>
      </c>
      <c r="S51">
        <v>-2.1353482375754514E-14</v>
      </c>
      <c r="T51">
        <v>7.3983820218047763E-29</v>
      </c>
      <c r="U51">
        <v>1.2022370785432762E-28</v>
      </c>
      <c r="W51">
        <v>-2.7879322472721101E-14</v>
      </c>
      <c r="X51">
        <v>2.2266823866071279E-14</v>
      </c>
      <c r="Y51">
        <v>-1.9002676463963214E-14</v>
      </c>
      <c r="Z51">
        <v>-1.2430316480583063E-14</v>
      </c>
      <c r="AA51">
        <v>-1.4730559289603887E-14</v>
      </c>
      <c r="AB51">
        <v>-2.2222391168894824E-14</v>
      </c>
      <c r="AC51">
        <v>-1.7911538844455622E-14</v>
      </c>
      <c r="AD51">
        <v>-1.2341961490253929E-14</v>
      </c>
      <c r="AE51">
        <v>1.5866951632328778E-14</v>
      </c>
      <c r="AF51">
        <v>1.6662051761547813E-14</v>
      </c>
      <c r="AH51" t="s">
        <v>549</v>
      </c>
      <c r="AI51" t="s">
        <v>1202</v>
      </c>
    </row>
    <row r="52" spans="1:35" x14ac:dyDescent="0.25">
      <c r="A52">
        <v>0</v>
      </c>
      <c r="B52">
        <v>0</v>
      </c>
      <c r="C52">
        <v>0</v>
      </c>
      <c r="D52">
        <v>0</v>
      </c>
      <c r="E52">
        <v>0</v>
      </c>
      <c r="F52">
        <v>0</v>
      </c>
      <c r="G52">
        <v>0</v>
      </c>
      <c r="H52">
        <v>0</v>
      </c>
      <c r="I52">
        <v>0</v>
      </c>
      <c r="J52">
        <v>0</v>
      </c>
      <c r="L52">
        <v>0</v>
      </c>
      <c r="M52">
        <v>0</v>
      </c>
      <c r="N52">
        <v>0</v>
      </c>
      <c r="O52">
        <v>0</v>
      </c>
      <c r="P52">
        <v>0</v>
      </c>
      <c r="Q52">
        <v>0</v>
      </c>
      <c r="R52">
        <v>0</v>
      </c>
      <c r="S52">
        <v>0</v>
      </c>
      <c r="T52">
        <v>0</v>
      </c>
      <c r="U52">
        <v>0</v>
      </c>
      <c r="W52">
        <v>0</v>
      </c>
      <c r="X52">
        <v>0</v>
      </c>
      <c r="Y52">
        <v>0</v>
      </c>
      <c r="Z52">
        <v>0</v>
      </c>
      <c r="AA52">
        <v>0</v>
      </c>
      <c r="AB52">
        <v>0</v>
      </c>
      <c r="AC52">
        <v>0</v>
      </c>
      <c r="AD52">
        <v>0</v>
      </c>
      <c r="AE52">
        <v>0</v>
      </c>
      <c r="AF52">
        <v>0</v>
      </c>
      <c r="AH52" t="s">
        <v>553</v>
      </c>
      <c r="AI52" t="s">
        <v>1208</v>
      </c>
    </row>
    <row r="53" spans="1:35" x14ac:dyDescent="0.25">
      <c r="A53">
        <v>-3.7713987350628136E-14</v>
      </c>
      <c r="B53">
        <v>-8.1967147968281533E-15</v>
      </c>
      <c r="C53">
        <v>-2.8860043921095906E-14</v>
      </c>
      <c r="D53">
        <v>-2.1385403104321142E-14</v>
      </c>
      <c r="E53">
        <v>1.2349212199268245E-14</v>
      </c>
      <c r="F53">
        <v>-3.4196280586890283E-14</v>
      </c>
      <c r="G53">
        <v>-1.9609878827979253E-14</v>
      </c>
      <c r="H53">
        <v>-1.6132593666942541E-14</v>
      </c>
      <c r="I53">
        <v>2.4266308332018949E-15</v>
      </c>
      <c r="J53">
        <v>2.7999781283330479E-16</v>
      </c>
      <c r="L53">
        <v>-4.0860437866823176E-14</v>
      </c>
      <c r="M53">
        <v>-3.7574418387467756E-15</v>
      </c>
      <c r="N53">
        <v>-5.3921738971665399E-14</v>
      </c>
      <c r="O53">
        <v>-5.0259634906757873E-14</v>
      </c>
      <c r="P53">
        <v>-4.5507666180427449E-14</v>
      </c>
      <c r="Q53">
        <v>-3.5346548233636573E-14</v>
      </c>
      <c r="R53">
        <v>1.0475030739743313E-15</v>
      </c>
      <c r="S53">
        <v>-3.2030223563629765E-14</v>
      </c>
      <c r="T53">
        <v>-1.3574911163887087E-14</v>
      </c>
      <c r="U53">
        <v>-2.5796240481849459E-14</v>
      </c>
      <c r="W53">
        <v>-4.1818983709081249E-14</v>
      </c>
      <c r="X53">
        <v>3.3400235799106741E-14</v>
      </c>
      <c r="Y53">
        <v>-2.8504014695941511E-14</v>
      </c>
      <c r="Z53">
        <v>-1.8645474720869832E-14</v>
      </c>
      <c r="AA53">
        <v>-2.2095838934403445E-14</v>
      </c>
      <c r="AB53">
        <v>-3.3333586753340171E-14</v>
      </c>
      <c r="AC53">
        <v>-2.6867308266681143E-14</v>
      </c>
      <c r="AD53">
        <v>-1.8512942235379517E-14</v>
      </c>
      <c r="AE53">
        <v>-7.9334758161651054E-15</v>
      </c>
      <c r="AF53">
        <v>-8.3310258807737707E-15</v>
      </c>
      <c r="AH53" t="s">
        <v>558</v>
      </c>
      <c r="AI53" t="s">
        <v>1212</v>
      </c>
    </row>
    <row r="54" spans="1:35" x14ac:dyDescent="0.25">
      <c r="A54">
        <v>0</v>
      </c>
      <c r="B54">
        <v>0</v>
      </c>
      <c r="C54">
        <v>0</v>
      </c>
      <c r="D54">
        <v>0</v>
      </c>
      <c r="E54">
        <v>0</v>
      </c>
      <c r="F54">
        <v>0</v>
      </c>
      <c r="G54">
        <v>0</v>
      </c>
      <c r="H54">
        <v>0</v>
      </c>
      <c r="I54">
        <v>0</v>
      </c>
      <c r="J54">
        <v>0</v>
      </c>
      <c r="L54">
        <v>0</v>
      </c>
      <c r="M54">
        <v>0</v>
      </c>
      <c r="N54">
        <v>0</v>
      </c>
      <c r="O54">
        <v>0</v>
      </c>
      <c r="P54">
        <v>0</v>
      </c>
      <c r="Q54">
        <v>0</v>
      </c>
      <c r="R54">
        <v>0</v>
      </c>
      <c r="S54">
        <v>0</v>
      </c>
      <c r="T54">
        <v>0</v>
      </c>
      <c r="U54">
        <v>0</v>
      </c>
      <c r="W54">
        <v>0</v>
      </c>
      <c r="X54">
        <v>0</v>
      </c>
      <c r="Y54">
        <v>0</v>
      </c>
      <c r="Z54">
        <v>0</v>
      </c>
      <c r="AA54">
        <v>0</v>
      </c>
      <c r="AB54">
        <v>0</v>
      </c>
      <c r="AC54">
        <v>0</v>
      </c>
      <c r="AD54">
        <v>0</v>
      </c>
      <c r="AE54">
        <v>0</v>
      </c>
      <c r="AF54">
        <v>0</v>
      </c>
      <c r="AH54" t="s">
        <v>561</v>
      </c>
      <c r="AI54" t="s">
        <v>1217</v>
      </c>
    </row>
    <row r="55" spans="1:35" x14ac:dyDescent="0.25">
      <c r="A55">
        <v>0</v>
      </c>
      <c r="B55">
        <v>0</v>
      </c>
      <c r="C55">
        <v>0</v>
      </c>
      <c r="D55">
        <v>0</v>
      </c>
      <c r="E55">
        <v>0</v>
      </c>
      <c r="F55">
        <v>0</v>
      </c>
      <c r="G55">
        <v>0</v>
      </c>
      <c r="H55">
        <v>0</v>
      </c>
      <c r="I55">
        <v>0</v>
      </c>
      <c r="J55">
        <v>0</v>
      </c>
      <c r="L55">
        <v>0</v>
      </c>
      <c r="M55">
        <v>0</v>
      </c>
      <c r="N55">
        <v>0</v>
      </c>
      <c r="O55">
        <v>0</v>
      </c>
      <c r="P55">
        <v>0</v>
      </c>
      <c r="Q55">
        <v>0</v>
      </c>
      <c r="R55">
        <v>0</v>
      </c>
      <c r="S55">
        <v>0</v>
      </c>
      <c r="T55">
        <v>0</v>
      </c>
      <c r="U55">
        <v>0</v>
      </c>
      <c r="W55">
        <v>0</v>
      </c>
      <c r="X55">
        <v>0</v>
      </c>
      <c r="Y55">
        <v>0</v>
      </c>
      <c r="Z55">
        <v>0</v>
      </c>
      <c r="AA55">
        <v>0</v>
      </c>
      <c r="AB55">
        <v>0</v>
      </c>
      <c r="AC55">
        <v>0</v>
      </c>
      <c r="AD55">
        <v>0</v>
      </c>
      <c r="AE55">
        <v>0</v>
      </c>
      <c r="AF55">
        <v>0</v>
      </c>
      <c r="AH55" t="s">
        <v>564</v>
      </c>
      <c r="AI55" t="s">
        <v>1569</v>
      </c>
    </row>
    <row r="56" spans="1:35" x14ac:dyDescent="0.25">
      <c r="A56">
        <v>1.2571329116875902E-14</v>
      </c>
      <c r="B56">
        <v>2.7322382656090625E-15</v>
      </c>
      <c r="C56">
        <v>9.6200146403652488E-15</v>
      </c>
      <c r="D56">
        <v>7.128467701440285E-15</v>
      </c>
      <c r="E56">
        <v>-4.1164040664228231E-15</v>
      </c>
      <c r="F56">
        <v>1.1398760195630125E-14</v>
      </c>
      <c r="G56">
        <v>6.5366262759930833E-15</v>
      </c>
      <c r="H56">
        <v>5.3775312223141702E-15</v>
      </c>
      <c r="I56">
        <v>-8.0887694440063108E-16</v>
      </c>
      <c r="J56">
        <v>-9.3332604277764602E-17</v>
      </c>
      <c r="L56">
        <v>1.3620145955607717E-14</v>
      </c>
      <c r="M56">
        <v>1.2524806129155836E-15</v>
      </c>
      <c r="N56">
        <v>1.7973912990555105E-14</v>
      </c>
      <c r="O56">
        <v>1.6753211635585936E-14</v>
      </c>
      <c r="P56">
        <v>1.516922206014246E-14</v>
      </c>
      <c r="Q56">
        <v>1.1782182744545509E-14</v>
      </c>
      <c r="R56">
        <v>-3.4916769132476595E-16</v>
      </c>
      <c r="S56">
        <v>1.0676741187876596E-14</v>
      </c>
      <c r="T56">
        <v>4.5249703879623642E-15</v>
      </c>
      <c r="U56">
        <v>8.5987468272831608E-15</v>
      </c>
      <c r="W56">
        <v>1.3939661236360323E-14</v>
      </c>
      <c r="X56">
        <v>-1.1133411933035702E-14</v>
      </c>
      <c r="Y56">
        <v>9.5013382319803969E-15</v>
      </c>
      <c r="Z56">
        <v>6.2151582402898994E-15</v>
      </c>
      <c r="AA56">
        <v>7.3652796448010585E-15</v>
      </c>
      <c r="AB56">
        <v>1.1111195584446745E-14</v>
      </c>
      <c r="AC56">
        <v>8.9557694222269528E-15</v>
      </c>
      <c r="AD56">
        <v>6.1709807451265102E-15</v>
      </c>
      <c r="AE56">
        <v>7.9334758161646242E-15</v>
      </c>
      <c r="AF56">
        <v>8.3310258807738559E-15</v>
      </c>
      <c r="AH56" t="s">
        <v>567</v>
      </c>
      <c r="AI56" t="s">
        <v>1570</v>
      </c>
    </row>
    <row r="57" spans="1:35" x14ac:dyDescent="0.25">
      <c r="A57">
        <v>1.2571329116875897E-14</v>
      </c>
      <c r="B57">
        <v>2.7322382656090629E-15</v>
      </c>
      <c r="C57">
        <v>9.6200146403652551E-15</v>
      </c>
      <c r="D57">
        <v>7.1284677014402865E-15</v>
      </c>
      <c r="E57">
        <v>-4.1164040664228223E-15</v>
      </c>
      <c r="F57">
        <v>1.1398760195630121E-14</v>
      </c>
      <c r="G57">
        <v>6.5366262759930841E-15</v>
      </c>
      <c r="H57">
        <v>5.3775312223141702E-15</v>
      </c>
      <c r="I57">
        <v>-8.0887694440063108E-16</v>
      </c>
      <c r="J57">
        <v>-9.3332604277763863E-17</v>
      </c>
      <c r="L57">
        <v>1.3620145955607719E-14</v>
      </c>
      <c r="M57">
        <v>1.2524806129155882E-15</v>
      </c>
      <c r="N57">
        <v>1.7973912990555114E-14</v>
      </c>
      <c r="O57">
        <v>1.6753211635585945E-14</v>
      </c>
      <c r="P57">
        <v>1.5169222060142466E-14</v>
      </c>
      <c r="Q57">
        <v>1.1782182744545506E-14</v>
      </c>
      <c r="R57">
        <v>-3.4916769132476546E-16</v>
      </c>
      <c r="S57">
        <v>1.0676741187876593E-14</v>
      </c>
      <c r="T57">
        <v>4.5249703879623642E-15</v>
      </c>
      <c r="U57">
        <v>8.5987468272831545E-15</v>
      </c>
      <c r="W57">
        <v>1.3939661236360311E-14</v>
      </c>
      <c r="X57">
        <v>-1.1133411933035701E-14</v>
      </c>
      <c r="Y57">
        <v>9.5013382319803984E-15</v>
      </c>
      <c r="Z57">
        <v>6.2151582402898844E-15</v>
      </c>
      <c r="AA57">
        <v>7.3652796448010569E-15</v>
      </c>
      <c r="AB57">
        <v>1.1111195584446745E-14</v>
      </c>
      <c r="AC57">
        <v>8.9557694222269607E-15</v>
      </c>
      <c r="AD57">
        <v>6.1709807451265063E-15</v>
      </c>
      <c r="AE57">
        <v>7.9334758161646274E-15</v>
      </c>
      <c r="AF57">
        <v>8.3310258807738607E-15</v>
      </c>
      <c r="AH57" t="s">
        <v>570</v>
      </c>
      <c r="AI57" t="s">
        <v>1571</v>
      </c>
    </row>
    <row r="58" spans="1:35" x14ac:dyDescent="0.25">
      <c r="A58">
        <v>1.2571329116875897E-14</v>
      </c>
      <c r="B58">
        <v>2.7322382656090629E-15</v>
      </c>
      <c r="C58">
        <v>9.6200146403652551E-15</v>
      </c>
      <c r="D58">
        <v>7.1284677014402865E-15</v>
      </c>
      <c r="E58">
        <v>-4.1164040664228223E-15</v>
      </c>
      <c r="F58">
        <v>1.1398760195630121E-14</v>
      </c>
      <c r="G58">
        <v>6.5366262759930841E-15</v>
      </c>
      <c r="H58">
        <v>5.3775312223141702E-15</v>
      </c>
      <c r="I58">
        <v>-8.0887694440063108E-16</v>
      </c>
      <c r="J58">
        <v>-9.3332604277763863E-17</v>
      </c>
      <c r="L58">
        <v>1.3620145955607719E-14</v>
      </c>
      <c r="M58">
        <v>1.2524806129155882E-15</v>
      </c>
      <c r="N58">
        <v>1.7973912990555114E-14</v>
      </c>
      <c r="O58">
        <v>1.6753211635585945E-14</v>
      </c>
      <c r="P58">
        <v>1.5169222060142466E-14</v>
      </c>
      <c r="Q58">
        <v>1.1782182744545506E-14</v>
      </c>
      <c r="R58">
        <v>-3.4916769132476546E-16</v>
      </c>
      <c r="S58">
        <v>1.0676741187876593E-14</v>
      </c>
      <c r="T58">
        <v>4.5249703879623642E-15</v>
      </c>
      <c r="U58">
        <v>8.5987468272831545E-15</v>
      </c>
      <c r="W58">
        <v>1.3939661236360311E-14</v>
      </c>
      <c r="X58">
        <v>-1.1133411933035701E-14</v>
      </c>
      <c r="Y58">
        <v>9.5013382319803984E-15</v>
      </c>
      <c r="Z58">
        <v>6.2151582402898844E-15</v>
      </c>
      <c r="AA58">
        <v>7.3652796448010569E-15</v>
      </c>
      <c r="AB58">
        <v>1.1111195584446745E-14</v>
      </c>
      <c r="AC58">
        <v>8.9557694222269607E-15</v>
      </c>
      <c r="AD58">
        <v>6.1709807451265063E-15</v>
      </c>
      <c r="AE58">
        <v>7.9334758161646274E-15</v>
      </c>
      <c r="AF58">
        <v>8.3310258807738607E-15</v>
      </c>
      <c r="AH58" t="s">
        <v>575</v>
      </c>
      <c r="AI58" t="s">
        <v>1572</v>
      </c>
    </row>
    <row r="59" spans="1:35" x14ac:dyDescent="0.25">
      <c r="A59">
        <v>2.5142658233751797E-14</v>
      </c>
      <c r="B59">
        <v>5.4644765312181226E-15</v>
      </c>
      <c r="C59">
        <v>1.9240029280730494E-14</v>
      </c>
      <c r="D59">
        <v>1.425693540288056E-14</v>
      </c>
      <c r="E59">
        <v>-8.2328081328456494E-15</v>
      </c>
      <c r="F59">
        <v>2.2797520391260225E-14</v>
      </c>
      <c r="G59">
        <v>1.3073252551986168E-14</v>
      </c>
      <c r="H59">
        <v>1.075506244462834E-14</v>
      </c>
      <c r="I59">
        <v>-1.617753888801262E-15</v>
      </c>
      <c r="J59">
        <v>-1.8666520855552701E-16</v>
      </c>
      <c r="L59">
        <v>2.7240291911215428E-14</v>
      </c>
      <c r="M59">
        <v>2.5049612258311637E-15</v>
      </c>
      <c r="N59">
        <v>3.5947825981110203E-14</v>
      </c>
      <c r="O59">
        <v>3.3506423271171877E-14</v>
      </c>
      <c r="P59">
        <v>3.0338444120284914E-14</v>
      </c>
      <c r="Q59">
        <v>2.3564365489091028E-14</v>
      </c>
      <c r="R59">
        <v>-6.9833538264953565E-16</v>
      </c>
      <c r="S59">
        <v>2.1353482375753189E-14</v>
      </c>
      <c r="T59">
        <v>9.0499407759247283E-15</v>
      </c>
      <c r="U59">
        <v>1.7197493654566318E-14</v>
      </c>
      <c r="W59">
        <v>2.7879322472720627E-14</v>
      </c>
      <c r="X59">
        <v>-2.2266823866071459E-14</v>
      </c>
      <c r="Y59">
        <v>1.9002676463960765E-14</v>
      </c>
      <c r="Z59">
        <v>1.2430316480579777E-14</v>
      </c>
      <c r="AA59">
        <v>1.4730559289602101E-14</v>
      </c>
      <c r="AB59">
        <v>2.2222391168893477E-14</v>
      </c>
      <c r="AC59">
        <v>1.7911538844453899E-14</v>
      </c>
      <c r="AD59">
        <v>1.2341961490253005E-14</v>
      </c>
      <c r="AE59">
        <v>1.5866951632329252E-14</v>
      </c>
      <c r="AF59">
        <v>1.6662051761547706E-14</v>
      </c>
      <c r="AH59" t="s">
        <v>578</v>
      </c>
      <c r="AI59" t="s">
        <v>1573</v>
      </c>
    </row>
    <row r="60" spans="1:35" x14ac:dyDescent="0.25">
      <c r="A60">
        <v>2.5142658233751797E-14</v>
      </c>
      <c r="B60">
        <v>5.4644765312181147E-15</v>
      </c>
      <c r="C60">
        <v>1.9240029280730498E-14</v>
      </c>
      <c r="D60">
        <v>1.4256935402880567E-14</v>
      </c>
      <c r="E60">
        <v>-8.2328081328456541E-15</v>
      </c>
      <c r="F60">
        <v>2.2797520391260222E-14</v>
      </c>
      <c r="G60">
        <v>1.307325255198617E-14</v>
      </c>
      <c r="H60">
        <v>1.075506244462834E-14</v>
      </c>
      <c r="I60">
        <v>-1.6177538888012622E-15</v>
      </c>
      <c r="J60">
        <v>-1.866652085555262E-16</v>
      </c>
      <c r="L60">
        <v>2.7240291911215428E-14</v>
      </c>
      <c r="M60">
        <v>2.5049612258311673E-15</v>
      </c>
      <c r="N60">
        <v>3.5947825981110222E-14</v>
      </c>
      <c r="O60">
        <v>3.3506423271171871E-14</v>
      </c>
      <c r="P60">
        <v>3.033844412028492E-14</v>
      </c>
      <c r="Q60">
        <v>2.3564365489091025E-14</v>
      </c>
      <c r="R60">
        <v>-6.9833538264953417E-16</v>
      </c>
      <c r="S60">
        <v>2.1353482375753186E-14</v>
      </c>
      <c r="T60">
        <v>9.0499407759247283E-15</v>
      </c>
      <c r="U60">
        <v>1.7197493654566322E-14</v>
      </c>
      <c r="W60">
        <v>2.7879322472720615E-14</v>
      </c>
      <c r="X60">
        <v>-2.2266823866071443E-14</v>
      </c>
      <c r="Y60">
        <v>1.9002676463960759E-14</v>
      </c>
      <c r="Z60">
        <v>1.2430316480579797E-14</v>
      </c>
      <c r="AA60">
        <v>1.4730559289602111E-14</v>
      </c>
      <c r="AB60">
        <v>2.2222391168893461E-14</v>
      </c>
      <c r="AC60">
        <v>1.7911538844453896E-14</v>
      </c>
      <c r="AD60">
        <v>1.2341961490253008E-14</v>
      </c>
      <c r="AE60">
        <v>1.5866951632329261E-14</v>
      </c>
      <c r="AF60">
        <v>1.6662051761547699E-14</v>
      </c>
      <c r="AH60" t="s">
        <v>581</v>
      </c>
      <c r="AI60" t="s">
        <v>1574</v>
      </c>
    </row>
    <row r="61" spans="1:35" x14ac:dyDescent="0.25">
      <c r="A61">
        <v>1.2571329116875903E-14</v>
      </c>
      <c r="B61">
        <v>2.7322382656090613E-15</v>
      </c>
      <c r="C61">
        <v>9.6200146403652519E-15</v>
      </c>
      <c r="D61">
        <v>7.1284677014402881E-15</v>
      </c>
      <c r="E61">
        <v>-4.1164040664228207E-15</v>
      </c>
      <c r="F61">
        <v>1.139876019563013E-14</v>
      </c>
      <c r="G61">
        <v>6.5366262759930833E-15</v>
      </c>
      <c r="H61">
        <v>5.3775312223141718E-15</v>
      </c>
      <c r="I61">
        <v>-8.0887694440063088E-16</v>
      </c>
      <c r="J61">
        <v>-9.3332604277764874E-17</v>
      </c>
      <c r="L61">
        <v>1.362014595560772E-14</v>
      </c>
      <c r="M61">
        <v>1.2524806129155742E-15</v>
      </c>
      <c r="N61">
        <v>1.7973912990555114E-14</v>
      </c>
      <c r="O61">
        <v>1.6753211635585942E-14</v>
      </c>
      <c r="P61">
        <v>1.5169222060142473E-14</v>
      </c>
      <c r="Q61">
        <v>1.1782182744545504E-14</v>
      </c>
      <c r="R61">
        <v>-3.4916769132476571E-16</v>
      </c>
      <c r="S61">
        <v>1.0676741187876596E-14</v>
      </c>
      <c r="T61">
        <v>4.524970387962365E-15</v>
      </c>
      <c r="U61">
        <v>8.5987468272831592E-15</v>
      </c>
      <c r="W61">
        <v>1.3939661236360301E-14</v>
      </c>
      <c r="X61">
        <v>-1.1133411933035712E-14</v>
      </c>
      <c r="Y61">
        <v>9.5013382319803937E-15</v>
      </c>
      <c r="Z61">
        <v>6.2151582402898702E-15</v>
      </c>
      <c r="AA61">
        <v>7.3652796448010632E-15</v>
      </c>
      <c r="AB61">
        <v>1.1111195584446745E-14</v>
      </c>
      <c r="AC61">
        <v>8.9557694222269592E-15</v>
      </c>
      <c r="AD61">
        <v>6.1709807451265071E-15</v>
      </c>
      <c r="AE61">
        <v>7.9334758161646242E-15</v>
      </c>
      <c r="AF61">
        <v>8.3310258807738591E-15</v>
      </c>
      <c r="AH61" t="s">
        <v>585</v>
      </c>
      <c r="AI61" t="s">
        <v>1248</v>
      </c>
    </row>
    <row r="62" spans="1:35" x14ac:dyDescent="0.25">
      <c r="A62">
        <v>0</v>
      </c>
      <c r="B62">
        <v>0</v>
      </c>
      <c r="C62">
        <v>0</v>
      </c>
      <c r="D62">
        <v>0</v>
      </c>
      <c r="E62">
        <v>0</v>
      </c>
      <c r="F62">
        <v>0</v>
      </c>
      <c r="G62">
        <v>0</v>
      </c>
      <c r="H62">
        <v>0</v>
      </c>
      <c r="I62">
        <v>0</v>
      </c>
      <c r="J62">
        <v>0</v>
      </c>
      <c r="L62">
        <v>0</v>
      </c>
      <c r="M62">
        <v>0</v>
      </c>
      <c r="N62">
        <v>0</v>
      </c>
      <c r="O62">
        <v>0</v>
      </c>
      <c r="P62">
        <v>0</v>
      </c>
      <c r="Q62">
        <v>0</v>
      </c>
      <c r="R62">
        <v>0</v>
      </c>
      <c r="S62">
        <v>0</v>
      </c>
      <c r="T62">
        <v>0</v>
      </c>
      <c r="U62">
        <v>0</v>
      </c>
      <c r="W62">
        <v>0</v>
      </c>
      <c r="X62">
        <v>0</v>
      </c>
      <c r="Y62">
        <v>0</v>
      </c>
      <c r="Z62">
        <v>0</v>
      </c>
      <c r="AA62">
        <v>0</v>
      </c>
      <c r="AB62">
        <v>0</v>
      </c>
      <c r="AC62">
        <v>0</v>
      </c>
      <c r="AD62">
        <v>0</v>
      </c>
      <c r="AE62">
        <v>0</v>
      </c>
      <c r="AF62">
        <v>0</v>
      </c>
      <c r="AH62" t="s">
        <v>590</v>
      </c>
      <c r="AI62" t="s">
        <v>1297</v>
      </c>
    </row>
    <row r="63" spans="1:35" x14ac:dyDescent="0.25">
      <c r="A63">
        <v>0</v>
      </c>
      <c r="B63">
        <v>0</v>
      </c>
      <c r="C63">
        <v>0</v>
      </c>
      <c r="D63">
        <v>0</v>
      </c>
      <c r="E63">
        <v>0</v>
      </c>
      <c r="F63">
        <v>0</v>
      </c>
      <c r="G63">
        <v>0</v>
      </c>
      <c r="H63">
        <v>0</v>
      </c>
      <c r="I63">
        <v>0</v>
      </c>
      <c r="J63">
        <v>0</v>
      </c>
      <c r="L63">
        <v>0</v>
      </c>
      <c r="M63">
        <v>0</v>
      </c>
      <c r="N63">
        <v>0</v>
      </c>
      <c r="O63">
        <v>0</v>
      </c>
      <c r="P63">
        <v>0</v>
      </c>
      <c r="Q63">
        <v>0</v>
      </c>
      <c r="R63">
        <v>0</v>
      </c>
      <c r="S63">
        <v>0</v>
      </c>
      <c r="T63">
        <v>0</v>
      </c>
      <c r="U63">
        <v>0</v>
      </c>
      <c r="W63">
        <v>0</v>
      </c>
      <c r="X63">
        <v>0</v>
      </c>
      <c r="Y63">
        <v>0</v>
      </c>
      <c r="Z63">
        <v>0</v>
      </c>
      <c r="AA63">
        <v>0</v>
      </c>
      <c r="AB63">
        <v>0</v>
      </c>
      <c r="AC63">
        <v>0</v>
      </c>
      <c r="AD63">
        <v>0</v>
      </c>
      <c r="AE63">
        <v>0</v>
      </c>
      <c r="AF63">
        <v>0</v>
      </c>
      <c r="AH63" t="s">
        <v>593</v>
      </c>
      <c r="AI63" t="s">
        <v>1301</v>
      </c>
    </row>
    <row r="64" spans="1:35" x14ac:dyDescent="0.25">
      <c r="A64">
        <v>0</v>
      </c>
      <c r="B64">
        <v>0</v>
      </c>
      <c r="C64">
        <v>0</v>
      </c>
      <c r="D64">
        <v>0</v>
      </c>
      <c r="E64">
        <v>0</v>
      </c>
      <c r="F64">
        <v>0</v>
      </c>
      <c r="G64">
        <v>0</v>
      </c>
      <c r="H64">
        <v>0</v>
      </c>
      <c r="I64">
        <v>0</v>
      </c>
      <c r="J64">
        <v>0</v>
      </c>
      <c r="L64">
        <v>0</v>
      </c>
      <c r="M64">
        <v>0</v>
      </c>
      <c r="N64">
        <v>0</v>
      </c>
      <c r="O64">
        <v>0</v>
      </c>
      <c r="P64">
        <v>0</v>
      </c>
      <c r="Q64">
        <v>0</v>
      </c>
      <c r="R64">
        <v>0</v>
      </c>
      <c r="S64">
        <v>0</v>
      </c>
      <c r="T64">
        <v>0</v>
      </c>
      <c r="U64">
        <v>0</v>
      </c>
      <c r="W64">
        <v>0</v>
      </c>
      <c r="X64">
        <v>0</v>
      </c>
      <c r="Y64">
        <v>0</v>
      </c>
      <c r="Z64">
        <v>0</v>
      </c>
      <c r="AA64">
        <v>0</v>
      </c>
      <c r="AB64">
        <v>0</v>
      </c>
      <c r="AC64">
        <v>0</v>
      </c>
      <c r="AD64">
        <v>0</v>
      </c>
      <c r="AE64">
        <v>0</v>
      </c>
      <c r="AF64">
        <v>0</v>
      </c>
      <c r="AH64" t="s">
        <v>598</v>
      </c>
      <c r="AI64" t="s">
        <v>1303</v>
      </c>
    </row>
    <row r="65" spans="1:35" x14ac:dyDescent="0.25">
      <c r="A65">
        <v>0</v>
      </c>
      <c r="B65">
        <v>0</v>
      </c>
      <c r="C65">
        <v>0</v>
      </c>
      <c r="D65">
        <v>0</v>
      </c>
      <c r="E65">
        <v>0</v>
      </c>
      <c r="F65">
        <v>0</v>
      </c>
      <c r="G65">
        <v>0</v>
      </c>
      <c r="H65">
        <v>0</v>
      </c>
      <c r="I65">
        <v>0</v>
      </c>
      <c r="J65">
        <v>0</v>
      </c>
      <c r="L65">
        <v>0</v>
      </c>
      <c r="M65">
        <v>0</v>
      </c>
      <c r="N65">
        <v>0</v>
      </c>
      <c r="O65">
        <v>0</v>
      </c>
      <c r="P65">
        <v>0</v>
      </c>
      <c r="Q65">
        <v>0</v>
      </c>
      <c r="R65">
        <v>0</v>
      </c>
      <c r="S65">
        <v>0</v>
      </c>
      <c r="T65">
        <v>0</v>
      </c>
      <c r="U65">
        <v>0</v>
      </c>
      <c r="W65">
        <v>0</v>
      </c>
      <c r="X65">
        <v>0</v>
      </c>
      <c r="Y65">
        <v>0</v>
      </c>
      <c r="Z65">
        <v>0</v>
      </c>
      <c r="AA65">
        <v>0</v>
      </c>
      <c r="AB65">
        <v>0</v>
      </c>
      <c r="AC65">
        <v>0</v>
      </c>
      <c r="AD65">
        <v>0</v>
      </c>
      <c r="AE65">
        <v>0</v>
      </c>
      <c r="AF65">
        <v>0</v>
      </c>
      <c r="AH65" t="s">
        <v>603</v>
      </c>
      <c r="AI65" t="s">
        <v>1307</v>
      </c>
    </row>
    <row r="66" spans="1:35" x14ac:dyDescent="0.25">
      <c r="A66">
        <v>0</v>
      </c>
      <c r="B66">
        <v>0</v>
      </c>
      <c r="C66">
        <v>0</v>
      </c>
      <c r="D66">
        <v>0</v>
      </c>
      <c r="E66">
        <v>0</v>
      </c>
      <c r="F66">
        <v>0</v>
      </c>
      <c r="G66">
        <v>0</v>
      </c>
      <c r="H66">
        <v>0</v>
      </c>
      <c r="I66">
        <v>0</v>
      </c>
      <c r="J66">
        <v>0</v>
      </c>
      <c r="L66">
        <v>0</v>
      </c>
      <c r="M66">
        <v>0</v>
      </c>
      <c r="N66">
        <v>0</v>
      </c>
      <c r="O66">
        <v>0</v>
      </c>
      <c r="P66">
        <v>0</v>
      </c>
      <c r="Q66">
        <v>0</v>
      </c>
      <c r="R66">
        <v>0</v>
      </c>
      <c r="S66">
        <v>0</v>
      </c>
      <c r="T66">
        <v>0</v>
      </c>
      <c r="U66">
        <v>0</v>
      </c>
      <c r="W66">
        <v>0</v>
      </c>
      <c r="X66">
        <v>0</v>
      </c>
      <c r="Y66">
        <v>0</v>
      </c>
      <c r="Z66">
        <v>0</v>
      </c>
      <c r="AA66">
        <v>0</v>
      </c>
      <c r="AB66">
        <v>0</v>
      </c>
      <c r="AC66">
        <v>0</v>
      </c>
      <c r="AD66">
        <v>0</v>
      </c>
      <c r="AE66">
        <v>0</v>
      </c>
      <c r="AF66">
        <v>0</v>
      </c>
      <c r="AH66" t="s">
        <v>607</v>
      </c>
      <c r="AI66" t="s">
        <v>1311</v>
      </c>
    </row>
    <row r="67" spans="1:35" x14ac:dyDescent="0.25">
      <c r="A67">
        <v>0</v>
      </c>
      <c r="B67">
        <v>0</v>
      </c>
      <c r="C67">
        <v>0</v>
      </c>
      <c r="D67">
        <v>0</v>
      </c>
      <c r="E67">
        <v>0</v>
      </c>
      <c r="F67">
        <v>0</v>
      </c>
      <c r="G67">
        <v>0</v>
      </c>
      <c r="H67">
        <v>0</v>
      </c>
      <c r="I67">
        <v>0</v>
      </c>
      <c r="J67">
        <v>0</v>
      </c>
      <c r="L67">
        <v>0</v>
      </c>
      <c r="M67">
        <v>0</v>
      </c>
      <c r="N67">
        <v>0</v>
      </c>
      <c r="O67">
        <v>0</v>
      </c>
      <c r="P67">
        <v>0</v>
      </c>
      <c r="Q67">
        <v>0</v>
      </c>
      <c r="R67">
        <v>0</v>
      </c>
      <c r="S67">
        <v>0</v>
      </c>
      <c r="T67">
        <v>0</v>
      </c>
      <c r="U67">
        <v>0</v>
      </c>
      <c r="W67">
        <v>0</v>
      </c>
      <c r="X67">
        <v>0</v>
      </c>
      <c r="Y67">
        <v>0</v>
      </c>
      <c r="Z67">
        <v>0</v>
      </c>
      <c r="AA67">
        <v>0</v>
      </c>
      <c r="AB67">
        <v>0</v>
      </c>
      <c r="AC67">
        <v>0</v>
      </c>
      <c r="AD67">
        <v>0</v>
      </c>
      <c r="AE67">
        <v>0</v>
      </c>
      <c r="AF67">
        <v>0</v>
      </c>
      <c r="AH67" t="s">
        <v>611</v>
      </c>
      <c r="AI67" t="s">
        <v>1316</v>
      </c>
    </row>
    <row r="68" spans="1:35" x14ac:dyDescent="0.25">
      <c r="A68">
        <v>0</v>
      </c>
      <c r="B68">
        <v>0</v>
      </c>
      <c r="C68">
        <v>0</v>
      </c>
      <c r="D68">
        <v>0</v>
      </c>
      <c r="E68">
        <v>0</v>
      </c>
      <c r="F68">
        <v>0</v>
      </c>
      <c r="G68">
        <v>0</v>
      </c>
      <c r="H68">
        <v>0</v>
      </c>
      <c r="I68">
        <v>0</v>
      </c>
      <c r="J68">
        <v>0</v>
      </c>
      <c r="L68">
        <v>0</v>
      </c>
      <c r="M68">
        <v>0</v>
      </c>
      <c r="N68">
        <v>0</v>
      </c>
      <c r="O68">
        <v>0</v>
      </c>
      <c r="P68">
        <v>0</v>
      </c>
      <c r="Q68">
        <v>0</v>
      </c>
      <c r="R68">
        <v>0</v>
      </c>
      <c r="S68">
        <v>0</v>
      </c>
      <c r="T68">
        <v>0</v>
      </c>
      <c r="U68">
        <v>0</v>
      </c>
      <c r="W68">
        <v>0</v>
      </c>
      <c r="X68">
        <v>0</v>
      </c>
      <c r="Y68">
        <v>0</v>
      </c>
      <c r="Z68">
        <v>0</v>
      </c>
      <c r="AA68">
        <v>0</v>
      </c>
      <c r="AB68">
        <v>0</v>
      </c>
      <c r="AC68">
        <v>0</v>
      </c>
      <c r="AD68">
        <v>0</v>
      </c>
      <c r="AE68">
        <v>0</v>
      </c>
      <c r="AF68">
        <v>0</v>
      </c>
      <c r="AH68" t="s">
        <v>615</v>
      </c>
      <c r="AI68" t="s">
        <v>1321</v>
      </c>
    </row>
    <row r="69" spans="1:35" x14ac:dyDescent="0.25">
      <c r="A69">
        <v>0</v>
      </c>
      <c r="B69">
        <v>0</v>
      </c>
      <c r="C69">
        <v>0</v>
      </c>
      <c r="D69">
        <v>0</v>
      </c>
      <c r="E69">
        <v>0</v>
      </c>
      <c r="F69">
        <v>0</v>
      </c>
      <c r="G69">
        <v>0</v>
      </c>
      <c r="H69">
        <v>0</v>
      </c>
      <c r="I69">
        <v>0</v>
      </c>
      <c r="J69">
        <v>0</v>
      </c>
      <c r="L69">
        <v>0</v>
      </c>
      <c r="M69">
        <v>0</v>
      </c>
      <c r="N69">
        <v>0</v>
      </c>
      <c r="O69">
        <v>0</v>
      </c>
      <c r="P69">
        <v>0</v>
      </c>
      <c r="Q69">
        <v>0</v>
      </c>
      <c r="R69">
        <v>0</v>
      </c>
      <c r="S69">
        <v>0</v>
      </c>
      <c r="T69">
        <v>0</v>
      </c>
      <c r="U69">
        <v>0</v>
      </c>
      <c r="W69">
        <v>0</v>
      </c>
      <c r="X69">
        <v>0</v>
      </c>
      <c r="Y69">
        <v>0</v>
      </c>
      <c r="Z69">
        <v>0</v>
      </c>
      <c r="AA69">
        <v>0</v>
      </c>
      <c r="AB69">
        <v>0</v>
      </c>
      <c r="AC69">
        <v>0</v>
      </c>
      <c r="AD69">
        <v>0</v>
      </c>
      <c r="AE69">
        <v>0</v>
      </c>
      <c r="AF69">
        <v>0</v>
      </c>
      <c r="AH69" t="s">
        <v>620</v>
      </c>
      <c r="AI69" t="s">
        <v>1325</v>
      </c>
    </row>
    <row r="70" spans="1:35" x14ac:dyDescent="0.25">
      <c r="A70">
        <v>0</v>
      </c>
      <c r="B70">
        <v>0</v>
      </c>
      <c r="C70">
        <v>0</v>
      </c>
      <c r="D70">
        <v>0</v>
      </c>
      <c r="E70">
        <v>0</v>
      </c>
      <c r="F70">
        <v>0</v>
      </c>
      <c r="G70">
        <v>0</v>
      </c>
      <c r="H70">
        <v>0</v>
      </c>
      <c r="I70">
        <v>0</v>
      </c>
      <c r="J70">
        <v>0</v>
      </c>
      <c r="L70">
        <v>0</v>
      </c>
      <c r="M70">
        <v>0</v>
      </c>
      <c r="N70">
        <v>0</v>
      </c>
      <c r="O70">
        <v>0</v>
      </c>
      <c r="P70">
        <v>0</v>
      </c>
      <c r="Q70">
        <v>0</v>
      </c>
      <c r="R70">
        <v>0</v>
      </c>
      <c r="S70">
        <v>0</v>
      </c>
      <c r="T70">
        <v>0</v>
      </c>
      <c r="U70">
        <v>0</v>
      </c>
      <c r="W70">
        <v>0</v>
      </c>
      <c r="X70">
        <v>0</v>
      </c>
      <c r="Y70">
        <v>0</v>
      </c>
      <c r="Z70">
        <v>0</v>
      </c>
      <c r="AA70">
        <v>0</v>
      </c>
      <c r="AB70">
        <v>0</v>
      </c>
      <c r="AC70">
        <v>0</v>
      </c>
      <c r="AD70">
        <v>0</v>
      </c>
      <c r="AE70">
        <v>0</v>
      </c>
      <c r="AF70">
        <v>0</v>
      </c>
      <c r="AH70" t="s">
        <v>625</v>
      </c>
      <c r="AI70" t="s">
        <v>1329</v>
      </c>
    </row>
    <row r="71" spans="1:35" x14ac:dyDescent="0.25">
      <c r="A71">
        <v>0</v>
      </c>
      <c r="B71">
        <v>0</v>
      </c>
      <c r="C71">
        <v>0</v>
      </c>
      <c r="D71">
        <v>0</v>
      </c>
      <c r="E71">
        <v>0</v>
      </c>
      <c r="F71">
        <v>0</v>
      </c>
      <c r="G71">
        <v>0</v>
      </c>
      <c r="H71">
        <v>0</v>
      </c>
      <c r="I71">
        <v>0</v>
      </c>
      <c r="J71">
        <v>0</v>
      </c>
      <c r="L71">
        <v>0</v>
      </c>
      <c r="M71">
        <v>0</v>
      </c>
      <c r="N71">
        <v>0</v>
      </c>
      <c r="O71">
        <v>0</v>
      </c>
      <c r="P71">
        <v>0</v>
      </c>
      <c r="Q71">
        <v>0</v>
      </c>
      <c r="R71">
        <v>0</v>
      </c>
      <c r="S71">
        <v>0</v>
      </c>
      <c r="T71">
        <v>0</v>
      </c>
      <c r="U71">
        <v>0</v>
      </c>
      <c r="W71">
        <v>0</v>
      </c>
      <c r="X71">
        <v>0</v>
      </c>
      <c r="Y71">
        <v>0</v>
      </c>
      <c r="Z71">
        <v>0</v>
      </c>
      <c r="AA71">
        <v>0</v>
      </c>
      <c r="AB71">
        <v>0</v>
      </c>
      <c r="AC71">
        <v>0</v>
      </c>
      <c r="AD71">
        <v>0</v>
      </c>
      <c r="AE71">
        <v>0</v>
      </c>
      <c r="AF71">
        <v>0</v>
      </c>
      <c r="AH71" t="s">
        <v>629</v>
      </c>
      <c r="AI71" t="s">
        <v>1335</v>
      </c>
    </row>
    <row r="72" spans="1:35" x14ac:dyDescent="0.25">
      <c r="A72">
        <v>3.7713987350628092E-14</v>
      </c>
      <c r="B72">
        <v>8.1967147968279561E-15</v>
      </c>
      <c r="C72">
        <v>2.8860043921095811E-14</v>
      </c>
      <c r="D72">
        <v>2.1385403104321192E-14</v>
      </c>
      <c r="E72">
        <v>-1.2349212199268198E-14</v>
      </c>
      <c r="F72">
        <v>3.4196280586890586E-14</v>
      </c>
      <c r="G72">
        <v>1.9609878827979256E-14</v>
      </c>
      <c r="H72">
        <v>1.6132593666942534E-14</v>
      </c>
      <c r="I72">
        <v>-2.4266308332018965E-15</v>
      </c>
      <c r="J72">
        <v>-2.7999781283328936E-16</v>
      </c>
      <c r="L72">
        <v>4.0860437866823075E-14</v>
      </c>
      <c r="M72">
        <v>3.7574418387466344E-15</v>
      </c>
      <c r="N72">
        <v>5.3921738971665374E-14</v>
      </c>
      <c r="O72">
        <v>5.0259634906757822E-14</v>
      </c>
      <c r="P72">
        <v>4.5507666180427576E-14</v>
      </c>
      <c r="Q72">
        <v>3.5346548233636416E-14</v>
      </c>
      <c r="R72">
        <v>-1.0475030739741988E-15</v>
      </c>
      <c r="S72">
        <v>3.2030223563629948E-14</v>
      </c>
      <c r="T72">
        <v>1.3574911163887043E-14</v>
      </c>
      <c r="U72">
        <v>2.5796240481849433E-14</v>
      </c>
      <c r="W72">
        <v>4.1818983709080845E-14</v>
      </c>
      <c r="X72">
        <v>-3.3400235799107126E-14</v>
      </c>
      <c r="Y72">
        <v>2.850401469594088E-14</v>
      </c>
      <c r="Z72">
        <v>1.8645474720869589E-14</v>
      </c>
      <c r="AA72">
        <v>2.2095838934403171E-14</v>
      </c>
      <c r="AB72">
        <v>3.3333586753340013E-14</v>
      </c>
      <c r="AC72">
        <v>2.6867308266680963E-14</v>
      </c>
      <c r="AD72">
        <v>1.8512942235379363E-14</v>
      </c>
      <c r="AE72">
        <v>2.3800427448493857E-14</v>
      </c>
      <c r="AF72">
        <v>2.4993077642321558E-14</v>
      </c>
      <c r="AH72" t="s">
        <v>633</v>
      </c>
      <c r="AI72" t="s">
        <v>1337</v>
      </c>
    </row>
    <row r="73" spans="1:35" x14ac:dyDescent="0.25">
      <c r="A73">
        <v>0</v>
      </c>
      <c r="B73">
        <v>0</v>
      </c>
      <c r="C73">
        <v>0</v>
      </c>
      <c r="D73">
        <v>0</v>
      </c>
      <c r="E73">
        <v>0</v>
      </c>
      <c r="F73">
        <v>0</v>
      </c>
      <c r="G73">
        <v>0</v>
      </c>
      <c r="H73">
        <v>0</v>
      </c>
      <c r="I73">
        <v>0</v>
      </c>
      <c r="J73">
        <v>0</v>
      </c>
      <c r="L73">
        <v>0</v>
      </c>
      <c r="M73">
        <v>0</v>
      </c>
      <c r="N73">
        <v>0</v>
      </c>
      <c r="O73">
        <v>0</v>
      </c>
      <c r="P73">
        <v>0</v>
      </c>
      <c r="Q73">
        <v>0</v>
      </c>
      <c r="R73">
        <v>0</v>
      </c>
      <c r="S73">
        <v>0</v>
      </c>
      <c r="T73">
        <v>0</v>
      </c>
      <c r="U73">
        <v>0</v>
      </c>
      <c r="W73">
        <v>0</v>
      </c>
      <c r="X73">
        <v>0</v>
      </c>
      <c r="Y73">
        <v>0</v>
      </c>
      <c r="Z73">
        <v>0</v>
      </c>
      <c r="AA73">
        <v>0</v>
      </c>
      <c r="AB73">
        <v>0</v>
      </c>
      <c r="AC73">
        <v>0</v>
      </c>
      <c r="AD73">
        <v>0</v>
      </c>
      <c r="AE73">
        <v>0</v>
      </c>
      <c r="AF73">
        <v>0</v>
      </c>
      <c r="AH73" t="s">
        <v>636</v>
      </c>
      <c r="AI73" t="s">
        <v>1341</v>
      </c>
    </row>
    <row r="74" spans="1:35" x14ac:dyDescent="0.25">
      <c r="A74">
        <v>0</v>
      </c>
      <c r="B74">
        <v>0</v>
      </c>
      <c r="C74">
        <v>0</v>
      </c>
      <c r="D74">
        <v>0</v>
      </c>
      <c r="E74">
        <v>0</v>
      </c>
      <c r="F74">
        <v>0</v>
      </c>
      <c r="G74">
        <v>0</v>
      </c>
      <c r="H74">
        <v>0</v>
      </c>
      <c r="I74">
        <v>0</v>
      </c>
      <c r="J74">
        <v>0</v>
      </c>
      <c r="L74">
        <v>0</v>
      </c>
      <c r="M74">
        <v>0</v>
      </c>
      <c r="N74">
        <v>0</v>
      </c>
      <c r="O74">
        <v>0</v>
      </c>
      <c r="P74">
        <v>-1.3596859031708342E-30</v>
      </c>
      <c r="Q74">
        <v>0</v>
      </c>
      <c r="R74">
        <v>5.4387436126833381E-30</v>
      </c>
      <c r="S74">
        <v>1.0877487225366676E-29</v>
      </c>
      <c r="T74">
        <v>-6.9583236393962958E-29</v>
      </c>
      <c r="U74">
        <v>-1.0050911923572427E-28</v>
      </c>
      <c r="W74">
        <v>1.0877487225366676E-29</v>
      </c>
      <c r="X74">
        <v>1.0877487225366676E-29</v>
      </c>
      <c r="Y74">
        <v>2.1754974450733347E-29</v>
      </c>
      <c r="Z74">
        <v>0</v>
      </c>
      <c r="AA74">
        <v>0</v>
      </c>
      <c r="AB74">
        <v>1.0877487225366676E-29</v>
      </c>
      <c r="AC74">
        <v>-5.4387436126833381E-30</v>
      </c>
      <c r="AD74">
        <v>-5.4387436126833381E-30</v>
      </c>
      <c r="AE74">
        <v>0</v>
      </c>
      <c r="AF74">
        <v>0</v>
      </c>
      <c r="AH74" t="s">
        <v>639</v>
      </c>
      <c r="AI74" s="60" t="s">
        <v>1342</v>
      </c>
    </row>
    <row r="75" spans="1:35" x14ac:dyDescent="0.25">
      <c r="A75">
        <v>0</v>
      </c>
      <c r="B75">
        <v>0</v>
      </c>
      <c r="C75">
        <v>0</v>
      </c>
      <c r="D75">
        <v>0</v>
      </c>
      <c r="E75">
        <v>0</v>
      </c>
      <c r="F75">
        <v>0</v>
      </c>
      <c r="G75">
        <v>0</v>
      </c>
      <c r="H75">
        <v>0</v>
      </c>
      <c r="I75">
        <v>0</v>
      </c>
      <c r="J75">
        <v>0</v>
      </c>
      <c r="L75">
        <v>0</v>
      </c>
      <c r="M75">
        <v>0</v>
      </c>
      <c r="N75">
        <v>2.3181543409159933E-30</v>
      </c>
      <c r="O75">
        <v>0</v>
      </c>
      <c r="P75">
        <v>1.1590771704579968E-30</v>
      </c>
      <c r="Q75">
        <v>1.8545234727327943E-29</v>
      </c>
      <c r="R75">
        <v>0</v>
      </c>
      <c r="S75">
        <v>1.8545234727327946E-29</v>
      </c>
      <c r="T75">
        <v>-7.070366696488339E-29</v>
      </c>
      <c r="U75">
        <v>-1.0061675683464175E-28</v>
      </c>
      <c r="W75">
        <v>-2.7817852090991915E-29</v>
      </c>
      <c r="X75">
        <v>0</v>
      </c>
      <c r="Y75">
        <v>-9.272617363663973E-30</v>
      </c>
      <c r="Z75">
        <v>-9.272617363663973E-30</v>
      </c>
      <c r="AA75">
        <v>-9.272617363663973E-30</v>
      </c>
      <c r="AB75">
        <v>4.6363086818319865E-30</v>
      </c>
      <c r="AC75">
        <v>-9.272617363663973E-30</v>
      </c>
      <c r="AD75">
        <v>-4.6363086818319865E-30</v>
      </c>
      <c r="AE75">
        <v>0</v>
      </c>
      <c r="AF75">
        <v>0</v>
      </c>
      <c r="AH75" t="s">
        <v>642</v>
      </c>
      <c r="AI75" s="60" t="s">
        <v>1348</v>
      </c>
    </row>
    <row r="76" spans="1:35" x14ac:dyDescent="0.25">
      <c r="A76">
        <v>0</v>
      </c>
      <c r="B76">
        <v>0</v>
      </c>
      <c r="C76">
        <v>0</v>
      </c>
      <c r="D76">
        <v>0</v>
      </c>
      <c r="E76">
        <v>0</v>
      </c>
      <c r="F76">
        <v>0</v>
      </c>
      <c r="G76">
        <v>0</v>
      </c>
      <c r="H76">
        <v>0</v>
      </c>
      <c r="I76">
        <v>0</v>
      </c>
      <c r="J76">
        <v>0</v>
      </c>
      <c r="L76">
        <v>0</v>
      </c>
      <c r="M76">
        <v>0</v>
      </c>
      <c r="N76">
        <v>0</v>
      </c>
      <c r="O76">
        <v>0</v>
      </c>
      <c r="P76">
        <v>0</v>
      </c>
      <c r="Q76">
        <v>0</v>
      </c>
      <c r="R76">
        <v>0</v>
      </c>
      <c r="S76">
        <v>0</v>
      </c>
      <c r="T76">
        <v>0</v>
      </c>
      <c r="U76">
        <v>0</v>
      </c>
      <c r="W76">
        <v>0</v>
      </c>
      <c r="X76">
        <v>0</v>
      </c>
      <c r="Y76">
        <v>0</v>
      </c>
      <c r="Z76">
        <v>0</v>
      </c>
      <c r="AA76">
        <v>0</v>
      </c>
      <c r="AB76">
        <v>0</v>
      </c>
      <c r="AC76">
        <v>0</v>
      </c>
      <c r="AD76">
        <v>0</v>
      </c>
      <c r="AE76">
        <v>0</v>
      </c>
      <c r="AF76">
        <v>0</v>
      </c>
      <c r="AH76" t="s">
        <v>646</v>
      </c>
      <c r="AI76" s="60" t="s">
        <v>1353</v>
      </c>
    </row>
    <row r="77" spans="1:35" x14ac:dyDescent="0.25">
      <c r="A77">
        <v>0</v>
      </c>
      <c r="B77">
        <v>0</v>
      </c>
      <c r="C77">
        <v>0</v>
      </c>
      <c r="D77">
        <v>0</v>
      </c>
      <c r="E77">
        <v>0</v>
      </c>
      <c r="F77">
        <v>0</v>
      </c>
      <c r="G77">
        <v>0</v>
      </c>
      <c r="H77">
        <v>0</v>
      </c>
      <c r="I77">
        <v>0</v>
      </c>
      <c r="J77">
        <v>0</v>
      </c>
      <c r="L77">
        <v>0</v>
      </c>
      <c r="M77">
        <v>0</v>
      </c>
      <c r="N77">
        <v>0</v>
      </c>
      <c r="O77">
        <v>0</v>
      </c>
      <c r="P77">
        <v>0</v>
      </c>
      <c r="Q77">
        <v>0</v>
      </c>
      <c r="R77">
        <v>0</v>
      </c>
      <c r="S77">
        <v>0</v>
      </c>
      <c r="T77">
        <v>0</v>
      </c>
      <c r="U77">
        <v>0</v>
      </c>
      <c r="W77">
        <v>0</v>
      </c>
      <c r="X77">
        <v>0</v>
      </c>
      <c r="Y77">
        <v>0</v>
      </c>
      <c r="Z77">
        <v>0</v>
      </c>
      <c r="AA77">
        <v>0</v>
      </c>
      <c r="AB77">
        <v>0</v>
      </c>
      <c r="AC77">
        <v>0</v>
      </c>
      <c r="AD77">
        <v>0</v>
      </c>
      <c r="AE77">
        <v>0</v>
      </c>
      <c r="AF77">
        <v>0</v>
      </c>
      <c r="AH77" t="s">
        <v>649</v>
      </c>
      <c r="AI77" s="60" t="s">
        <v>1357</v>
      </c>
    </row>
    <row r="78" spans="1:35" x14ac:dyDescent="0.25">
      <c r="A78">
        <v>-7.5785689013962647E-14</v>
      </c>
      <c r="B78">
        <v>0.99999999999998146</v>
      </c>
      <c r="C78">
        <v>1.9999999999999416</v>
      </c>
      <c r="D78">
        <v>2.9999999999999583</v>
      </c>
      <c r="E78">
        <v>4.0000000000000222</v>
      </c>
      <c r="F78">
        <v>4.9999999999999307</v>
      </c>
      <c r="G78">
        <v>5.9999999999999591</v>
      </c>
      <c r="H78">
        <v>6.9999999999999662</v>
      </c>
      <c r="I78">
        <v>7.9737545565006087</v>
      </c>
      <c r="J78">
        <v>7.9786148238153105</v>
      </c>
      <c r="L78">
        <v>-8.7295644329467031E-14</v>
      </c>
      <c r="M78">
        <v>0.99999999999999378</v>
      </c>
      <c r="N78">
        <v>1.9999999999998923</v>
      </c>
      <c r="O78">
        <v>2.9999999999999014</v>
      </c>
      <c r="P78">
        <v>3.9999999999999085</v>
      </c>
      <c r="Q78">
        <v>4.9999999999999272</v>
      </c>
      <c r="R78">
        <v>6.0000000000000018</v>
      </c>
      <c r="S78">
        <v>6.9999999999999343</v>
      </c>
      <c r="T78">
        <v>7.9737545565006069</v>
      </c>
      <c r="U78">
        <v>7.9786148238153123</v>
      </c>
      <c r="W78">
        <v>-8.282338468243417E-14</v>
      </c>
      <c r="X78">
        <v>1.0000000000000651</v>
      </c>
      <c r="Y78">
        <v>1.999999999999942</v>
      </c>
      <c r="Z78">
        <v>2.9999999999999623</v>
      </c>
      <c r="AA78">
        <v>3.9999999999999551</v>
      </c>
      <c r="AB78">
        <v>4.9999999999999325</v>
      </c>
      <c r="AC78">
        <v>5.9999999999999458</v>
      </c>
      <c r="AD78">
        <v>6.9999999999999618</v>
      </c>
      <c r="AE78">
        <v>7.974007220216607</v>
      </c>
      <c r="AF78">
        <v>7.9884476534296027</v>
      </c>
      <c r="AH78" t="s">
        <v>653</v>
      </c>
      <c r="AI78" s="60" t="s">
        <v>1362</v>
      </c>
    </row>
    <row r="79" spans="1:35" x14ac:dyDescent="0.25">
      <c r="A79">
        <v>0</v>
      </c>
      <c r="B79">
        <v>0</v>
      </c>
      <c r="C79">
        <v>0</v>
      </c>
      <c r="D79">
        <v>0</v>
      </c>
      <c r="E79">
        <v>0</v>
      </c>
      <c r="F79">
        <v>0</v>
      </c>
      <c r="G79">
        <v>0</v>
      </c>
      <c r="H79">
        <v>0</v>
      </c>
      <c r="I79">
        <v>0</v>
      </c>
      <c r="J79">
        <v>0</v>
      </c>
      <c r="L79">
        <v>0</v>
      </c>
      <c r="M79">
        <v>0</v>
      </c>
      <c r="N79">
        <v>0</v>
      </c>
      <c r="O79">
        <v>0</v>
      </c>
      <c r="P79">
        <v>-1.3596859031708338E-30</v>
      </c>
      <c r="Q79">
        <v>0</v>
      </c>
      <c r="R79">
        <v>5.4387436126833388E-30</v>
      </c>
      <c r="S79">
        <v>1.0877487225366678E-29</v>
      </c>
      <c r="T79">
        <v>-6.7962730718456097E-29</v>
      </c>
      <c r="U79">
        <v>-1.0068552699030533E-28</v>
      </c>
      <c r="W79">
        <v>0</v>
      </c>
      <c r="X79">
        <v>0</v>
      </c>
      <c r="Y79">
        <v>0</v>
      </c>
      <c r="Z79">
        <v>0</v>
      </c>
      <c r="AA79">
        <v>0</v>
      </c>
      <c r="AB79">
        <v>0</v>
      </c>
      <c r="AC79">
        <v>0</v>
      </c>
      <c r="AD79">
        <v>0</v>
      </c>
      <c r="AE79">
        <v>0</v>
      </c>
      <c r="AF79">
        <v>0</v>
      </c>
      <c r="AH79" t="s">
        <v>656</v>
      </c>
      <c r="AI79" s="60" t="s">
        <v>1365</v>
      </c>
    </row>
    <row r="80" spans="1:35" x14ac:dyDescent="0.25">
      <c r="A80">
        <v>0</v>
      </c>
      <c r="B80">
        <v>0</v>
      </c>
      <c r="C80">
        <v>0</v>
      </c>
      <c r="D80">
        <v>0</v>
      </c>
      <c r="E80">
        <v>0</v>
      </c>
      <c r="F80">
        <v>0</v>
      </c>
      <c r="G80">
        <v>0</v>
      </c>
      <c r="H80">
        <v>0</v>
      </c>
      <c r="I80">
        <v>0</v>
      </c>
      <c r="J80">
        <v>0</v>
      </c>
      <c r="L80">
        <v>0</v>
      </c>
      <c r="M80">
        <v>0</v>
      </c>
      <c r="N80">
        <v>0</v>
      </c>
      <c r="O80">
        <v>0</v>
      </c>
      <c r="P80">
        <v>0</v>
      </c>
      <c r="Q80">
        <v>0</v>
      </c>
      <c r="R80">
        <v>0</v>
      </c>
      <c r="S80">
        <v>0</v>
      </c>
      <c r="T80">
        <v>0</v>
      </c>
      <c r="U80">
        <v>0</v>
      </c>
      <c r="W80">
        <v>0</v>
      </c>
      <c r="X80">
        <v>0</v>
      </c>
      <c r="Y80">
        <v>0</v>
      </c>
      <c r="Z80">
        <v>0</v>
      </c>
      <c r="AA80">
        <v>0</v>
      </c>
      <c r="AB80">
        <v>0</v>
      </c>
      <c r="AC80">
        <v>0</v>
      </c>
      <c r="AD80">
        <v>0</v>
      </c>
      <c r="AE80">
        <v>0</v>
      </c>
      <c r="AF80">
        <v>0</v>
      </c>
      <c r="AH80" t="s">
        <v>660</v>
      </c>
      <c r="AI80" s="60" t="s">
        <v>1374</v>
      </c>
    </row>
    <row r="81" spans="1:35" x14ac:dyDescent="0.25">
      <c r="A81">
        <v>-7.5785689013962521E-14</v>
      </c>
      <c r="B81">
        <v>0.99999999999998135</v>
      </c>
      <c r="C81">
        <v>1.9999999999999416</v>
      </c>
      <c r="D81">
        <v>2.9999999999999578</v>
      </c>
      <c r="E81">
        <v>4.0000000000000222</v>
      </c>
      <c r="F81">
        <v>4.9999999999999298</v>
      </c>
      <c r="G81">
        <v>5.9999999999999583</v>
      </c>
      <c r="H81">
        <v>6.9999999999999662</v>
      </c>
      <c r="I81">
        <v>7.9737545565006087</v>
      </c>
      <c r="J81">
        <v>7.9786148238153105</v>
      </c>
      <c r="L81">
        <v>-8.7295644329467018E-14</v>
      </c>
      <c r="M81">
        <v>0.999999999999994</v>
      </c>
      <c r="N81">
        <v>1.9999999999998923</v>
      </c>
      <c r="O81">
        <v>2.9999999999999019</v>
      </c>
      <c r="P81">
        <v>3.9999999999999081</v>
      </c>
      <c r="Q81">
        <v>4.9999999999999272</v>
      </c>
      <c r="R81">
        <v>6.0000000000000018</v>
      </c>
      <c r="S81">
        <v>6.9999999999999334</v>
      </c>
      <c r="T81">
        <v>7.9737545565006078</v>
      </c>
      <c r="U81">
        <v>7.9786148238153114</v>
      </c>
      <c r="W81">
        <v>-8.282338468243417E-14</v>
      </c>
      <c r="X81">
        <v>1.0000000000000651</v>
      </c>
      <c r="Y81">
        <v>1.9999999999999416</v>
      </c>
      <c r="Z81">
        <v>2.9999999999999618</v>
      </c>
      <c r="AA81">
        <v>3.9999999999999551</v>
      </c>
      <c r="AB81">
        <v>4.9999999999999316</v>
      </c>
      <c r="AC81">
        <v>5.9999999999999458</v>
      </c>
      <c r="AD81">
        <v>6.9999999999999627</v>
      </c>
      <c r="AE81">
        <v>7.974007220216607</v>
      </c>
      <c r="AF81">
        <v>7.9884476534296036</v>
      </c>
      <c r="AH81" t="s">
        <v>665</v>
      </c>
      <c r="AI81" s="60" t="s">
        <v>1378</v>
      </c>
    </row>
    <row r="82" spans="1:35" x14ac:dyDescent="0.25">
      <c r="A82">
        <v>-3.7892844506981292E-14</v>
      </c>
      <c r="B82">
        <v>0.49999999999999067</v>
      </c>
      <c r="C82">
        <v>0.9999999999999708</v>
      </c>
      <c r="D82">
        <v>1.4999999999999791</v>
      </c>
      <c r="E82">
        <v>2.0000000000000111</v>
      </c>
      <c r="F82">
        <v>2.4999999999999649</v>
      </c>
      <c r="G82">
        <v>2.9999999999999796</v>
      </c>
      <c r="H82">
        <v>3.4999999999999831</v>
      </c>
      <c r="I82">
        <v>3.9868772782503039</v>
      </c>
      <c r="J82">
        <v>3.9893074119076553</v>
      </c>
      <c r="L82">
        <v>-4.3647822164733503E-14</v>
      </c>
      <c r="M82">
        <v>0.49999999999999695</v>
      </c>
      <c r="N82">
        <v>0.99999999999994615</v>
      </c>
      <c r="O82">
        <v>1.4999999999999507</v>
      </c>
      <c r="P82">
        <v>1.999999999999954</v>
      </c>
      <c r="Q82">
        <v>2.4999999999999636</v>
      </c>
      <c r="R82">
        <v>3.0000000000000009</v>
      </c>
      <c r="S82">
        <v>3.4999999999999671</v>
      </c>
      <c r="T82">
        <v>3.9868772782503039</v>
      </c>
      <c r="U82">
        <v>3.9893074119076553</v>
      </c>
      <c r="W82">
        <v>-4.1411692341217072E-14</v>
      </c>
      <c r="X82">
        <v>0.50000000000003253</v>
      </c>
      <c r="Y82">
        <v>0.9999999999999708</v>
      </c>
      <c r="Z82">
        <v>1.4999999999999811</v>
      </c>
      <c r="AA82">
        <v>1.9999999999999776</v>
      </c>
      <c r="AB82">
        <v>2.4999999999999658</v>
      </c>
      <c r="AC82">
        <v>2.9999999999999729</v>
      </c>
      <c r="AD82">
        <v>3.4999999999999813</v>
      </c>
      <c r="AE82">
        <v>3.9870036101083031</v>
      </c>
      <c r="AF82">
        <v>3.9942238267148018</v>
      </c>
      <c r="AH82" t="s">
        <v>668</v>
      </c>
      <c r="AI82" s="60" t="s">
        <v>1384</v>
      </c>
    </row>
    <row r="83" spans="1:35" x14ac:dyDescent="0.25">
      <c r="A83">
        <v>0</v>
      </c>
      <c r="B83">
        <v>0</v>
      </c>
      <c r="C83">
        <v>0</v>
      </c>
      <c r="D83">
        <v>0</v>
      </c>
      <c r="E83">
        <v>0</v>
      </c>
      <c r="F83">
        <v>0</v>
      </c>
      <c r="G83">
        <v>0</v>
      </c>
      <c r="H83">
        <v>0</v>
      </c>
      <c r="I83">
        <v>0</v>
      </c>
      <c r="J83">
        <v>0</v>
      </c>
      <c r="L83">
        <v>0</v>
      </c>
      <c r="M83">
        <v>0</v>
      </c>
      <c r="N83">
        <v>0</v>
      </c>
      <c r="O83">
        <v>0</v>
      </c>
      <c r="P83">
        <v>0</v>
      </c>
      <c r="Q83">
        <v>0</v>
      </c>
      <c r="R83">
        <v>0</v>
      </c>
      <c r="S83">
        <v>0</v>
      </c>
      <c r="T83">
        <v>0</v>
      </c>
      <c r="U83">
        <v>0</v>
      </c>
      <c r="W83">
        <v>0</v>
      </c>
      <c r="X83">
        <v>0</v>
      </c>
      <c r="Y83">
        <v>0</v>
      </c>
      <c r="Z83">
        <v>0</v>
      </c>
      <c r="AA83">
        <v>0</v>
      </c>
      <c r="AB83">
        <v>0</v>
      </c>
      <c r="AC83">
        <v>0</v>
      </c>
      <c r="AD83">
        <v>0</v>
      </c>
      <c r="AE83">
        <v>0</v>
      </c>
      <c r="AF83">
        <v>0</v>
      </c>
      <c r="AH83" t="s">
        <v>672</v>
      </c>
      <c r="AI83" t="s">
        <v>1389</v>
      </c>
    </row>
    <row r="84" spans="1:35" x14ac:dyDescent="0.25">
      <c r="A84">
        <v>0</v>
      </c>
      <c r="B84">
        <v>0</v>
      </c>
      <c r="C84">
        <v>0</v>
      </c>
      <c r="D84">
        <v>0</v>
      </c>
      <c r="E84">
        <v>0</v>
      </c>
      <c r="F84">
        <v>0</v>
      </c>
      <c r="G84">
        <v>0</v>
      </c>
      <c r="H84">
        <v>0</v>
      </c>
      <c r="I84">
        <v>0</v>
      </c>
      <c r="J84">
        <v>0</v>
      </c>
      <c r="L84">
        <v>0</v>
      </c>
      <c r="M84">
        <v>0</v>
      </c>
      <c r="N84">
        <v>0</v>
      </c>
      <c r="O84">
        <v>0</v>
      </c>
      <c r="P84">
        <v>0</v>
      </c>
      <c r="Q84">
        <v>0</v>
      </c>
      <c r="R84">
        <v>0</v>
      </c>
      <c r="S84">
        <v>0</v>
      </c>
      <c r="T84">
        <v>0</v>
      </c>
      <c r="U84">
        <v>0</v>
      </c>
      <c r="W84">
        <v>0</v>
      </c>
      <c r="X84">
        <v>0</v>
      </c>
      <c r="Y84">
        <v>0</v>
      </c>
      <c r="Z84">
        <v>0</v>
      </c>
      <c r="AA84">
        <v>0</v>
      </c>
      <c r="AB84">
        <v>0</v>
      </c>
      <c r="AC84">
        <v>0</v>
      </c>
      <c r="AD84">
        <v>0</v>
      </c>
      <c r="AE84">
        <v>0</v>
      </c>
      <c r="AF84">
        <v>0</v>
      </c>
      <c r="AH84" t="s">
        <v>676</v>
      </c>
      <c r="AI84" t="s">
        <v>1393</v>
      </c>
    </row>
    <row r="85" spans="1:35" x14ac:dyDescent="0.25">
      <c r="A85">
        <v>0</v>
      </c>
      <c r="B85">
        <v>0</v>
      </c>
      <c r="C85">
        <v>0</v>
      </c>
      <c r="D85">
        <v>0</v>
      </c>
      <c r="E85">
        <v>0</v>
      </c>
      <c r="F85">
        <v>0</v>
      </c>
      <c r="G85">
        <v>0</v>
      </c>
      <c r="H85">
        <v>0</v>
      </c>
      <c r="I85">
        <v>0</v>
      </c>
      <c r="J85">
        <v>0</v>
      </c>
      <c r="L85">
        <v>0</v>
      </c>
      <c r="M85">
        <v>0</v>
      </c>
      <c r="N85">
        <v>0</v>
      </c>
      <c r="O85">
        <v>0</v>
      </c>
      <c r="P85">
        <v>0</v>
      </c>
      <c r="Q85">
        <v>0</v>
      </c>
      <c r="R85">
        <v>0</v>
      </c>
      <c r="S85">
        <v>0</v>
      </c>
      <c r="T85">
        <v>0</v>
      </c>
      <c r="U85">
        <v>0</v>
      </c>
      <c r="W85">
        <v>0</v>
      </c>
      <c r="X85">
        <v>0</v>
      </c>
      <c r="Y85">
        <v>0</v>
      </c>
      <c r="Z85">
        <v>0</v>
      </c>
      <c r="AA85">
        <v>0</v>
      </c>
      <c r="AB85">
        <v>0</v>
      </c>
      <c r="AC85">
        <v>0</v>
      </c>
      <c r="AD85">
        <v>0</v>
      </c>
      <c r="AE85">
        <v>0</v>
      </c>
      <c r="AF85">
        <v>0</v>
      </c>
      <c r="AH85" t="s">
        <v>679</v>
      </c>
      <c r="AI85" s="69" t="s">
        <v>1397</v>
      </c>
    </row>
    <row r="86" spans="1:35" x14ac:dyDescent="0.25">
      <c r="A86">
        <v>0</v>
      </c>
      <c r="B86">
        <v>0</v>
      </c>
      <c r="C86">
        <v>0</v>
      </c>
      <c r="D86">
        <v>0</v>
      </c>
      <c r="E86">
        <v>0</v>
      </c>
      <c r="F86">
        <v>0</v>
      </c>
      <c r="G86">
        <v>0</v>
      </c>
      <c r="H86">
        <v>0</v>
      </c>
      <c r="I86">
        <v>0</v>
      </c>
      <c r="J86">
        <v>0</v>
      </c>
      <c r="L86">
        <v>0</v>
      </c>
      <c r="M86">
        <v>0</v>
      </c>
      <c r="N86">
        <v>0</v>
      </c>
      <c r="O86">
        <v>0</v>
      </c>
      <c r="P86">
        <v>0</v>
      </c>
      <c r="Q86">
        <v>0</v>
      </c>
      <c r="R86">
        <v>0</v>
      </c>
      <c r="S86">
        <v>0</v>
      </c>
      <c r="T86">
        <v>0</v>
      </c>
      <c r="U86">
        <v>0</v>
      </c>
      <c r="W86">
        <v>0</v>
      </c>
      <c r="X86">
        <v>0</v>
      </c>
      <c r="Y86">
        <v>0</v>
      </c>
      <c r="Z86">
        <v>0</v>
      </c>
      <c r="AA86">
        <v>0</v>
      </c>
      <c r="AB86">
        <v>0</v>
      </c>
      <c r="AC86">
        <v>0</v>
      </c>
      <c r="AD86">
        <v>0</v>
      </c>
      <c r="AE86">
        <v>0</v>
      </c>
      <c r="AF86">
        <v>0</v>
      </c>
      <c r="AH86" t="s">
        <v>682</v>
      </c>
      <c r="AI86" t="s">
        <v>1401</v>
      </c>
    </row>
    <row r="87" spans="1:35" x14ac:dyDescent="0.25">
      <c r="A87">
        <v>9.9999999999999485</v>
      </c>
      <c r="B87">
        <v>8.9999999999999893</v>
      </c>
      <c r="C87">
        <v>7.9999999999999574</v>
      </c>
      <c r="D87">
        <v>6.999999999999968</v>
      </c>
      <c r="E87">
        <v>6.0000000000000124</v>
      </c>
      <c r="F87">
        <v>4.999999999999952</v>
      </c>
      <c r="G87">
        <v>3.9999999999999711</v>
      </c>
      <c r="H87">
        <v>2.9999999999999765</v>
      </c>
      <c r="I87">
        <v>1.9912515188335362</v>
      </c>
      <c r="J87">
        <v>0.65953827460510317</v>
      </c>
      <c r="L87">
        <v>19.999999999999943</v>
      </c>
      <c r="M87">
        <v>18.999999999999989</v>
      </c>
      <c r="N87">
        <v>17.999999999999925</v>
      </c>
      <c r="O87">
        <v>16.999999999999929</v>
      </c>
      <c r="P87">
        <v>15.999999999999934</v>
      </c>
      <c r="Q87">
        <v>14.999999999999952</v>
      </c>
      <c r="R87">
        <v>14</v>
      </c>
      <c r="S87">
        <v>12.999999999999954</v>
      </c>
      <c r="T87">
        <v>11.991251518833527</v>
      </c>
      <c r="U87">
        <v>10.65953827460509</v>
      </c>
      <c r="W87">
        <v>19.99999999999994</v>
      </c>
      <c r="X87">
        <v>19.000000000000043</v>
      </c>
      <c r="Y87">
        <v>17.999999999999957</v>
      </c>
      <c r="Z87">
        <v>16.999999999999972</v>
      </c>
      <c r="AA87">
        <v>15.999999999999966</v>
      </c>
      <c r="AB87">
        <v>14.999999999999952</v>
      </c>
      <c r="AC87">
        <v>13.999999999999959</v>
      </c>
      <c r="AD87">
        <v>12.999999999999972</v>
      </c>
      <c r="AE87">
        <v>11.97400722021659</v>
      </c>
      <c r="AF87">
        <v>9.9884476534295867</v>
      </c>
      <c r="AH87" t="s">
        <v>685</v>
      </c>
      <c r="AI87" t="s">
        <v>1407</v>
      </c>
    </row>
    <row r="88" spans="1:35" x14ac:dyDescent="0.25">
      <c r="A88">
        <v>9.9999999999999236</v>
      </c>
      <c r="B88">
        <v>8.999999999999984</v>
      </c>
      <c r="C88">
        <v>7.9999999999999387</v>
      </c>
      <c r="D88">
        <v>6.9999999999999538</v>
      </c>
      <c r="E88">
        <v>6.0000000000000213</v>
      </c>
      <c r="F88">
        <v>4.9999999999999289</v>
      </c>
      <c r="G88">
        <v>3.9999999999999583</v>
      </c>
      <c r="H88">
        <v>2.9999999999999658</v>
      </c>
      <c r="I88">
        <v>1.9912515188335362</v>
      </c>
      <c r="J88">
        <v>0.65953827460510306</v>
      </c>
      <c r="L88">
        <v>9.9999999999999201</v>
      </c>
      <c r="M88">
        <v>8.9999999999999876</v>
      </c>
      <c r="N88">
        <v>7.999999999999889</v>
      </c>
      <c r="O88">
        <v>6.9999999999998996</v>
      </c>
      <c r="P88">
        <v>5.9999999999999041</v>
      </c>
      <c r="Q88">
        <v>4.9999999999999272</v>
      </c>
      <c r="R88">
        <v>4.0000000000000018</v>
      </c>
      <c r="S88">
        <v>2.9999999999999338</v>
      </c>
      <c r="T88">
        <v>1.9912515188335307</v>
      </c>
      <c r="U88">
        <v>0.65953827460509196</v>
      </c>
      <c r="W88">
        <v>19.999999999999915</v>
      </c>
      <c r="X88">
        <v>19.000000000000064</v>
      </c>
      <c r="Y88">
        <v>17.999999999999936</v>
      </c>
      <c r="Z88">
        <v>16.999999999999957</v>
      </c>
      <c r="AA88">
        <v>15.999999999999952</v>
      </c>
      <c r="AB88">
        <v>14.999999999999932</v>
      </c>
      <c r="AC88">
        <v>13.999999999999943</v>
      </c>
      <c r="AD88">
        <v>12.999999999999963</v>
      </c>
      <c r="AE88">
        <v>11.974007220216604</v>
      </c>
      <c r="AF88">
        <v>9.9884476534296027</v>
      </c>
      <c r="AH88" t="s">
        <v>689</v>
      </c>
      <c r="AI88" t="s">
        <v>1412</v>
      </c>
    </row>
    <row r="89" spans="1:35" x14ac:dyDescent="0.25">
      <c r="A89">
        <v>10</v>
      </c>
      <c r="B89">
        <v>9</v>
      </c>
      <c r="C89">
        <v>7.9999999999999991</v>
      </c>
      <c r="D89">
        <v>6.9999999999999991</v>
      </c>
      <c r="E89">
        <v>5.9999999999999991</v>
      </c>
      <c r="F89">
        <v>5</v>
      </c>
      <c r="G89">
        <v>3.9999999999999996</v>
      </c>
      <c r="H89">
        <v>2.9999999999999996</v>
      </c>
      <c r="I89">
        <v>1.9999999999999998</v>
      </c>
      <c r="J89">
        <v>0.99999999999999989</v>
      </c>
      <c r="L89">
        <v>10.000000000000002</v>
      </c>
      <c r="M89">
        <v>9</v>
      </c>
      <c r="N89">
        <v>7.9999999999999991</v>
      </c>
      <c r="O89">
        <v>6.9999999999999991</v>
      </c>
      <c r="P89">
        <v>6</v>
      </c>
      <c r="Q89">
        <v>5</v>
      </c>
      <c r="R89">
        <v>3.9999999999999996</v>
      </c>
      <c r="S89">
        <v>2.9999999999999996</v>
      </c>
      <c r="T89">
        <v>1.9999999999999998</v>
      </c>
      <c r="U89">
        <v>0.99999999999999989</v>
      </c>
      <c r="W89">
        <v>10</v>
      </c>
      <c r="X89">
        <v>9</v>
      </c>
      <c r="Y89">
        <v>7.9999999999999991</v>
      </c>
      <c r="Z89">
        <v>6.9999999999999991</v>
      </c>
      <c r="AA89">
        <v>5.9999999999999991</v>
      </c>
      <c r="AB89">
        <v>5</v>
      </c>
      <c r="AC89">
        <v>3.9999999999999996</v>
      </c>
      <c r="AD89">
        <v>2.9999999999999996</v>
      </c>
      <c r="AE89">
        <v>1.9999999999999998</v>
      </c>
      <c r="AF89">
        <v>1</v>
      </c>
      <c r="AH89" t="s">
        <v>692</v>
      </c>
      <c r="AI89" t="s">
        <v>1417</v>
      </c>
    </row>
    <row r="90" spans="1:35" x14ac:dyDescent="0.25">
      <c r="A90">
        <v>0</v>
      </c>
      <c r="B90">
        <v>0</v>
      </c>
      <c r="C90">
        <v>0</v>
      </c>
      <c r="D90">
        <v>0</v>
      </c>
      <c r="E90">
        <v>0</v>
      </c>
      <c r="F90">
        <v>0</v>
      </c>
      <c r="G90">
        <v>0</v>
      </c>
      <c r="H90">
        <v>0</v>
      </c>
      <c r="I90">
        <v>0</v>
      </c>
      <c r="J90">
        <v>0</v>
      </c>
      <c r="L90">
        <v>0</v>
      </c>
      <c r="M90">
        <v>0</v>
      </c>
      <c r="N90">
        <v>0</v>
      </c>
      <c r="O90">
        <v>0</v>
      </c>
      <c r="P90">
        <v>0</v>
      </c>
      <c r="Q90">
        <v>0</v>
      </c>
      <c r="R90">
        <v>0</v>
      </c>
      <c r="S90">
        <v>0</v>
      </c>
      <c r="T90">
        <v>0</v>
      </c>
      <c r="U90">
        <v>0</v>
      </c>
      <c r="W90">
        <v>0</v>
      </c>
      <c r="X90">
        <v>0</v>
      </c>
      <c r="Y90">
        <v>0</v>
      </c>
      <c r="Z90">
        <v>0</v>
      </c>
      <c r="AA90">
        <v>0</v>
      </c>
      <c r="AB90">
        <v>0</v>
      </c>
      <c r="AC90">
        <v>0</v>
      </c>
      <c r="AD90">
        <v>0</v>
      </c>
      <c r="AE90">
        <v>0</v>
      </c>
      <c r="AF90">
        <v>0</v>
      </c>
      <c r="AH90" t="s">
        <v>695</v>
      </c>
      <c r="AI90" t="s">
        <v>1424</v>
      </c>
    </row>
    <row r="91" spans="1:35" x14ac:dyDescent="0.25">
      <c r="A91">
        <v>0</v>
      </c>
      <c r="B91">
        <v>0</v>
      </c>
      <c r="C91">
        <v>0</v>
      </c>
      <c r="D91">
        <v>0</v>
      </c>
      <c r="E91">
        <v>0</v>
      </c>
      <c r="F91">
        <v>0</v>
      </c>
      <c r="G91">
        <v>0</v>
      </c>
      <c r="H91">
        <v>0</v>
      </c>
      <c r="I91">
        <v>0</v>
      </c>
      <c r="J91">
        <v>0</v>
      </c>
      <c r="L91">
        <v>0</v>
      </c>
      <c r="M91">
        <v>0</v>
      </c>
      <c r="N91">
        <v>0</v>
      </c>
      <c r="O91">
        <v>0</v>
      </c>
      <c r="P91">
        <v>0</v>
      </c>
      <c r="Q91">
        <v>0</v>
      </c>
      <c r="R91">
        <v>0</v>
      </c>
      <c r="S91">
        <v>0</v>
      </c>
      <c r="T91">
        <v>0</v>
      </c>
      <c r="U91">
        <v>0</v>
      </c>
      <c r="W91">
        <v>0</v>
      </c>
      <c r="X91">
        <v>0</v>
      </c>
      <c r="Y91">
        <v>0</v>
      </c>
      <c r="Z91">
        <v>0</v>
      </c>
      <c r="AA91">
        <v>0</v>
      </c>
      <c r="AB91">
        <v>0</v>
      </c>
      <c r="AC91">
        <v>0</v>
      </c>
      <c r="AD91">
        <v>0</v>
      </c>
      <c r="AE91">
        <v>0</v>
      </c>
      <c r="AF91">
        <v>0</v>
      </c>
      <c r="AH91" t="s">
        <v>698</v>
      </c>
      <c r="AI91" t="s">
        <v>1429</v>
      </c>
    </row>
    <row r="92" spans="1:35" x14ac:dyDescent="0.25">
      <c r="A92">
        <v>0</v>
      </c>
      <c r="B92">
        <v>0</v>
      </c>
      <c r="C92">
        <v>0</v>
      </c>
      <c r="D92">
        <v>0</v>
      </c>
      <c r="E92">
        <v>0</v>
      </c>
      <c r="F92">
        <v>0</v>
      </c>
      <c r="G92">
        <v>0</v>
      </c>
      <c r="H92">
        <v>0</v>
      </c>
      <c r="I92">
        <v>0</v>
      </c>
      <c r="J92">
        <v>0</v>
      </c>
      <c r="L92">
        <v>0</v>
      </c>
      <c r="M92">
        <v>0</v>
      </c>
      <c r="N92">
        <v>0</v>
      </c>
      <c r="O92">
        <v>0</v>
      </c>
      <c r="P92">
        <v>0</v>
      </c>
      <c r="Q92">
        <v>0</v>
      </c>
      <c r="R92">
        <v>0</v>
      </c>
      <c r="S92">
        <v>0</v>
      </c>
      <c r="T92">
        <v>0</v>
      </c>
      <c r="U92">
        <v>0</v>
      </c>
      <c r="W92">
        <v>0</v>
      </c>
      <c r="X92">
        <v>0</v>
      </c>
      <c r="Y92">
        <v>0</v>
      </c>
      <c r="Z92">
        <v>0</v>
      </c>
      <c r="AA92">
        <v>0</v>
      </c>
      <c r="AB92">
        <v>0</v>
      </c>
      <c r="AC92">
        <v>0</v>
      </c>
      <c r="AD92">
        <v>0</v>
      </c>
      <c r="AE92">
        <v>0</v>
      </c>
      <c r="AF92">
        <v>0</v>
      </c>
      <c r="AH92" t="s">
        <v>701</v>
      </c>
      <c r="AI92" t="s">
        <v>1435</v>
      </c>
    </row>
    <row r="93" spans="1:35" x14ac:dyDescent="0.25">
      <c r="A93">
        <v>0</v>
      </c>
      <c r="B93">
        <v>0</v>
      </c>
      <c r="C93">
        <v>0</v>
      </c>
      <c r="D93">
        <v>0</v>
      </c>
      <c r="E93">
        <v>0</v>
      </c>
      <c r="F93">
        <v>0</v>
      </c>
      <c r="G93">
        <v>0</v>
      </c>
      <c r="H93">
        <v>0</v>
      </c>
      <c r="I93">
        <v>0</v>
      </c>
      <c r="J93">
        <v>0</v>
      </c>
      <c r="L93">
        <v>0</v>
      </c>
      <c r="M93">
        <v>0</v>
      </c>
      <c r="N93">
        <v>0</v>
      </c>
      <c r="O93">
        <v>0</v>
      </c>
      <c r="P93">
        <v>0</v>
      </c>
      <c r="Q93">
        <v>0</v>
      </c>
      <c r="R93">
        <v>0</v>
      </c>
      <c r="S93">
        <v>0</v>
      </c>
      <c r="T93">
        <v>0</v>
      </c>
      <c r="U93">
        <v>0</v>
      </c>
      <c r="W93">
        <v>0</v>
      </c>
      <c r="X93">
        <v>0</v>
      </c>
      <c r="Y93">
        <v>0</v>
      </c>
      <c r="Z93">
        <v>0</v>
      </c>
      <c r="AA93">
        <v>0</v>
      </c>
      <c r="AB93">
        <v>0</v>
      </c>
      <c r="AC93">
        <v>0</v>
      </c>
      <c r="AD93">
        <v>0</v>
      </c>
      <c r="AE93">
        <v>0</v>
      </c>
      <c r="AF93">
        <v>0</v>
      </c>
      <c r="AH93" t="s">
        <v>705</v>
      </c>
      <c r="AI93" t="s">
        <v>1440</v>
      </c>
    </row>
    <row r="94" spans="1:35" x14ac:dyDescent="0.25">
      <c r="A94">
        <v>34.999999999999886</v>
      </c>
      <c r="B94">
        <v>31.749999999999975</v>
      </c>
      <c r="C94">
        <v>28.499999999999908</v>
      </c>
      <c r="D94">
        <v>25.249999999999932</v>
      </c>
      <c r="E94">
        <v>22.000000000000028</v>
      </c>
      <c r="F94">
        <v>18.749999999999901</v>
      </c>
      <c r="G94">
        <v>15.499999999999938</v>
      </c>
      <c r="H94">
        <v>12.249999999999948</v>
      </c>
      <c r="I94">
        <v>8.9803159173754565</v>
      </c>
      <c r="J94">
        <v>4.9839611178614831</v>
      </c>
      <c r="L94">
        <v>44.999999999999879</v>
      </c>
      <c r="M94">
        <v>41.749999999999979</v>
      </c>
      <c r="N94">
        <v>38.499999999999837</v>
      </c>
      <c r="O94">
        <v>35.249999999999851</v>
      </c>
      <c r="P94">
        <v>31.999999999999861</v>
      </c>
      <c r="Q94">
        <v>28.749999999999897</v>
      </c>
      <c r="R94">
        <v>25.5</v>
      </c>
      <c r="S94">
        <v>22.249999999999901</v>
      </c>
      <c r="T94">
        <v>18.980315917375439</v>
      </c>
      <c r="U94">
        <v>14.983961117861458</v>
      </c>
      <c r="W94">
        <v>49.999999999999872</v>
      </c>
      <c r="X94">
        <v>46.750000000000085</v>
      </c>
      <c r="Y94">
        <v>43.499999999999908</v>
      </c>
      <c r="Z94">
        <v>40.249999999999943</v>
      </c>
      <c r="AA94">
        <v>36.999999999999929</v>
      </c>
      <c r="AB94">
        <v>33.749999999999893</v>
      </c>
      <c r="AC94">
        <v>30.499999999999915</v>
      </c>
      <c r="AD94">
        <v>27.249999999999943</v>
      </c>
      <c r="AE94">
        <v>23.954512635379032</v>
      </c>
      <c r="AF94">
        <v>18.979783393501776</v>
      </c>
      <c r="AH94" t="s">
        <v>709</v>
      </c>
      <c r="AI94" t="s">
        <v>1444</v>
      </c>
    </row>
    <row r="95" spans="1:35" x14ac:dyDescent="0.25">
      <c r="A95">
        <v>-1.2571329116877653E-14</v>
      </c>
      <c r="B95">
        <v>-2.7322382656114267E-15</v>
      </c>
      <c r="C95">
        <v>-9.620014640367273E-15</v>
      </c>
      <c r="D95">
        <v>-7.1284677014411764E-15</v>
      </c>
      <c r="E95">
        <v>4.1164040664225375E-15</v>
      </c>
      <c r="F95">
        <v>-1.1398760195630924E-14</v>
      </c>
      <c r="G95">
        <v>-6.5366262759931039E-15</v>
      </c>
      <c r="H95">
        <v>-5.377531222314328E-15</v>
      </c>
      <c r="I95">
        <v>8.0887694440063808E-16</v>
      </c>
      <c r="J95">
        <v>9.3332604277782155E-17</v>
      </c>
      <c r="L95">
        <v>-1.36201459556046E-14</v>
      </c>
      <c r="M95">
        <v>-1.2524806129122091E-15</v>
      </c>
      <c r="N95">
        <v>-1.7973912990554745E-14</v>
      </c>
      <c r="O95">
        <v>-1.6753211635586636E-14</v>
      </c>
      <c r="P95">
        <v>-1.5169222060144353E-14</v>
      </c>
      <c r="Q95">
        <v>-1.1782182744545531E-14</v>
      </c>
      <c r="R95">
        <v>3.491676913244049E-16</v>
      </c>
      <c r="S95">
        <v>-1.0676741187877233E-14</v>
      </c>
      <c r="T95">
        <v>-4.5249703879623618E-15</v>
      </c>
      <c r="U95">
        <v>-8.5987468272831261E-15</v>
      </c>
      <c r="W95">
        <v>-1.3939661236358362E-14</v>
      </c>
      <c r="X95">
        <v>1.1133411933037178E-14</v>
      </c>
      <c r="Y95">
        <v>-9.5013382319796348E-15</v>
      </c>
      <c r="Z95">
        <v>-6.2151582402900083E-15</v>
      </c>
      <c r="AA95">
        <v>-7.3652796448003012E-15</v>
      </c>
      <c r="AB95">
        <v>-1.1111195584446312E-14</v>
      </c>
      <c r="AC95">
        <v>-8.9557694222267998E-15</v>
      </c>
      <c r="AD95">
        <v>-6.1709807451260543E-15</v>
      </c>
      <c r="AE95">
        <v>-7.933475816163859E-15</v>
      </c>
      <c r="AF95">
        <v>-8.3310258807735846E-15</v>
      </c>
      <c r="AH95" t="s">
        <v>712</v>
      </c>
      <c r="AI95" t="s">
        <v>1446</v>
      </c>
    </row>
    <row r="96" spans="1:35" x14ac:dyDescent="0.25">
      <c r="A96">
        <v>44.999999999999943</v>
      </c>
      <c r="B96">
        <v>40.749999999999993</v>
      </c>
      <c r="C96">
        <v>36.499999999999964</v>
      </c>
      <c r="D96">
        <v>32.249999999999964</v>
      </c>
      <c r="E96">
        <v>28.000000000000011</v>
      </c>
      <c r="F96">
        <v>23.749999999999957</v>
      </c>
      <c r="G96">
        <v>19.499999999999972</v>
      </c>
      <c r="H96">
        <v>15.249999999999979</v>
      </c>
      <c r="I96">
        <v>10.989064398541922</v>
      </c>
      <c r="J96">
        <v>6.3244228432563805</v>
      </c>
      <c r="L96">
        <v>54.999999999999957</v>
      </c>
      <c r="M96">
        <v>50.749999999999979</v>
      </c>
      <c r="N96">
        <v>46.499999999999922</v>
      </c>
      <c r="O96">
        <v>42.249999999999929</v>
      </c>
      <c r="P96">
        <v>37.999999999999936</v>
      </c>
      <c r="Q96">
        <v>33.749999999999957</v>
      </c>
      <c r="R96">
        <v>29.500000000000004</v>
      </c>
      <c r="S96">
        <v>25.249999999999947</v>
      </c>
      <c r="T96">
        <v>20.989064398541906</v>
      </c>
      <c r="U96">
        <v>16.32442284325635</v>
      </c>
      <c r="W96">
        <v>59.999999999999943</v>
      </c>
      <c r="X96">
        <v>55.750000000000043</v>
      </c>
      <c r="Y96">
        <v>51.49999999999995</v>
      </c>
      <c r="Z96">
        <v>47.249999999999979</v>
      </c>
      <c r="AA96">
        <v>42.999999999999972</v>
      </c>
      <c r="AB96">
        <v>38.749999999999957</v>
      </c>
      <c r="AC96">
        <v>34.499999999999957</v>
      </c>
      <c r="AD96">
        <v>30.249999999999972</v>
      </c>
      <c r="AE96">
        <v>25.980505415162433</v>
      </c>
      <c r="AF96">
        <v>20.991335740072184</v>
      </c>
      <c r="AH96" t="s">
        <v>254</v>
      </c>
      <c r="AI96" s="60" t="s">
        <v>1450</v>
      </c>
    </row>
    <row r="97" spans="1:35" x14ac:dyDescent="0.25">
      <c r="A97">
        <v>10</v>
      </c>
      <c r="B97">
        <v>10</v>
      </c>
      <c r="C97">
        <v>10</v>
      </c>
      <c r="D97">
        <v>9.9999999999999982</v>
      </c>
      <c r="E97">
        <v>9.9999999999999982</v>
      </c>
      <c r="F97">
        <v>9.9999999999999982</v>
      </c>
      <c r="G97">
        <v>9.9999999999999982</v>
      </c>
      <c r="H97">
        <v>9.9999999999999982</v>
      </c>
      <c r="I97">
        <v>9.9825030376670707</v>
      </c>
      <c r="J97">
        <v>9.3190765492102088</v>
      </c>
      <c r="L97">
        <v>9.9999999999999982</v>
      </c>
      <c r="M97">
        <v>9.9999999999999982</v>
      </c>
      <c r="N97">
        <v>9.9999999999999982</v>
      </c>
      <c r="O97">
        <v>9.9999999999999982</v>
      </c>
      <c r="P97">
        <v>9.9999999999999947</v>
      </c>
      <c r="Q97">
        <v>9.9999999999999982</v>
      </c>
      <c r="R97">
        <v>10</v>
      </c>
      <c r="S97">
        <v>9.9999999999999982</v>
      </c>
      <c r="T97">
        <v>9.9825030376670778</v>
      </c>
      <c r="U97">
        <v>9.3190765492102177</v>
      </c>
      <c r="W97">
        <v>9.9999999999999982</v>
      </c>
      <c r="X97">
        <v>9.9999999999999982</v>
      </c>
      <c r="Y97">
        <v>9.9999999999999982</v>
      </c>
      <c r="Z97">
        <v>9.9999999999999982</v>
      </c>
      <c r="AA97">
        <v>9.9999999999999982</v>
      </c>
      <c r="AB97">
        <v>9.9999999999999982</v>
      </c>
      <c r="AC97">
        <v>9.9999999999999982</v>
      </c>
      <c r="AD97">
        <v>9.9999999999999982</v>
      </c>
      <c r="AE97">
        <v>9.9999999999999982</v>
      </c>
      <c r="AF97">
        <v>9.9999999999999982</v>
      </c>
      <c r="AH97" t="s">
        <v>718</v>
      </c>
      <c r="AI97" s="73" t="s">
        <v>1453</v>
      </c>
    </row>
    <row r="98" spans="1:35" x14ac:dyDescent="0.25">
      <c r="A98">
        <v>0</v>
      </c>
      <c r="B98">
        <v>0</v>
      </c>
      <c r="C98">
        <v>0</v>
      </c>
      <c r="D98">
        <v>0</v>
      </c>
      <c r="E98">
        <v>0</v>
      </c>
      <c r="F98">
        <v>0</v>
      </c>
      <c r="G98">
        <v>0</v>
      </c>
      <c r="H98">
        <v>0</v>
      </c>
      <c r="I98">
        <v>0</v>
      </c>
      <c r="J98">
        <v>0</v>
      </c>
      <c r="L98">
        <v>0</v>
      </c>
      <c r="M98">
        <v>0</v>
      </c>
      <c r="N98">
        <v>0</v>
      </c>
      <c r="O98">
        <v>0</v>
      </c>
      <c r="P98">
        <v>0</v>
      </c>
      <c r="Q98">
        <v>0</v>
      </c>
      <c r="R98">
        <v>0</v>
      </c>
      <c r="S98">
        <v>0</v>
      </c>
      <c r="T98">
        <v>0</v>
      </c>
      <c r="U98">
        <v>0</v>
      </c>
      <c r="W98">
        <v>0</v>
      </c>
      <c r="X98">
        <v>0</v>
      </c>
      <c r="Y98">
        <v>0</v>
      </c>
      <c r="Z98">
        <v>0</v>
      </c>
      <c r="AA98">
        <v>0</v>
      </c>
      <c r="AB98">
        <v>0</v>
      </c>
      <c r="AC98">
        <v>0</v>
      </c>
      <c r="AD98">
        <v>0</v>
      </c>
      <c r="AE98">
        <v>0</v>
      </c>
      <c r="AF98">
        <v>0</v>
      </c>
      <c r="AH98" t="s">
        <v>722</v>
      </c>
      <c r="AI98" s="60" t="s">
        <v>1456</v>
      </c>
    </row>
    <row r="99" spans="1:35" x14ac:dyDescent="0.25">
      <c r="A99">
        <v>2.9296397896698396E-28</v>
      </c>
      <c r="B99">
        <v>-1.177383538112596E-27</v>
      </c>
      <c r="C99">
        <v>5.8592795793396792E-28</v>
      </c>
      <c r="D99">
        <v>0</v>
      </c>
      <c r="E99">
        <v>1.4648198948349198E-28</v>
      </c>
      <c r="F99">
        <v>1.4711311337297323E-28</v>
      </c>
      <c r="G99">
        <v>-2.7638111223300373E-29</v>
      </c>
      <c r="H99">
        <v>-1.1055244489320149E-28</v>
      </c>
      <c r="I99">
        <v>1.6177538888012898E-15</v>
      </c>
      <c r="J99">
        <v>1.8666520855559155E-16</v>
      </c>
      <c r="L99">
        <v>-1.7640024488271465E-27</v>
      </c>
      <c r="M99">
        <v>-1.9477095193645213E-27</v>
      </c>
      <c r="N99">
        <v>-2.6532586774368359E-28</v>
      </c>
      <c r="O99">
        <v>4.3944596845047598E-28</v>
      </c>
      <c r="P99">
        <v>8.0703284772037095E-28</v>
      </c>
      <c r="Q99">
        <v>8.3950762840774893E-29</v>
      </c>
      <c r="R99">
        <v>1.1884387826019161E-28</v>
      </c>
      <c r="S99">
        <v>2.6808967886601362E-28</v>
      </c>
      <c r="T99">
        <v>-9.0499407759248104E-15</v>
      </c>
      <c r="U99">
        <v>-1.7197493654566442E-14</v>
      </c>
      <c r="W99">
        <v>4.3530025176698092E-29</v>
      </c>
      <c r="X99">
        <v>4.9748600201940676E-29</v>
      </c>
      <c r="Y99">
        <v>4.7330265469901892E-29</v>
      </c>
      <c r="Z99">
        <v>7.2550041961163482E-29</v>
      </c>
      <c r="AA99">
        <v>8.3950762840774893E-29</v>
      </c>
      <c r="AB99">
        <v>2.4183347320387828E-30</v>
      </c>
      <c r="AC99">
        <v>1.9001201466019007E-30</v>
      </c>
      <c r="AD99">
        <v>2.9279124077183834E-29</v>
      </c>
      <c r="AE99">
        <v>-3.2820257077669196E-30</v>
      </c>
      <c r="AF99">
        <v>-2.116042890533935E-29</v>
      </c>
      <c r="AH99" t="s">
        <v>726</v>
      </c>
      <c r="AI99" t="s">
        <v>1461</v>
      </c>
    </row>
    <row r="100" spans="1:35" x14ac:dyDescent="0.25">
      <c r="A100">
        <v>0</v>
      </c>
      <c r="B100">
        <v>0</v>
      </c>
      <c r="C100">
        <v>0</v>
      </c>
      <c r="D100">
        <v>0</v>
      </c>
      <c r="E100">
        <v>0</v>
      </c>
      <c r="F100">
        <v>0</v>
      </c>
      <c r="G100">
        <v>0</v>
      </c>
      <c r="H100">
        <v>0</v>
      </c>
      <c r="I100">
        <v>1.6177538888012842E-15</v>
      </c>
      <c r="J100">
        <v>1.8666520855557082E-16</v>
      </c>
      <c r="L100">
        <v>0</v>
      </c>
      <c r="M100">
        <v>0</v>
      </c>
      <c r="N100">
        <v>0</v>
      </c>
      <c r="O100">
        <v>0</v>
      </c>
      <c r="P100">
        <v>0</v>
      </c>
      <c r="Q100">
        <v>0</v>
      </c>
      <c r="R100">
        <v>0</v>
      </c>
      <c r="S100">
        <v>0</v>
      </c>
      <c r="T100">
        <v>-9.0499407759248025E-15</v>
      </c>
      <c r="U100">
        <v>-1.7197493654566426E-14</v>
      </c>
      <c r="W100">
        <v>0</v>
      </c>
      <c r="X100">
        <v>0</v>
      </c>
      <c r="Y100">
        <v>0</v>
      </c>
      <c r="Z100">
        <v>0</v>
      </c>
      <c r="AA100">
        <v>0</v>
      </c>
      <c r="AB100">
        <v>0</v>
      </c>
      <c r="AC100">
        <v>0</v>
      </c>
      <c r="AD100">
        <v>0</v>
      </c>
      <c r="AE100">
        <v>0</v>
      </c>
      <c r="AF100">
        <v>0</v>
      </c>
      <c r="AH100" t="s">
        <v>729</v>
      </c>
      <c r="AI100" t="s">
        <v>1465</v>
      </c>
    </row>
    <row r="101" spans="1:35" x14ac:dyDescent="0.25">
      <c r="A101">
        <v>1.2743967693429256E-28</v>
      </c>
      <c r="B101">
        <v>8.9426241871606427E-28</v>
      </c>
      <c r="C101">
        <v>-2.8692132978349296E-28</v>
      </c>
      <c r="D101">
        <v>9.6125927744723524E-29</v>
      </c>
      <c r="E101">
        <v>1.5875342612386157E-28</v>
      </c>
      <c r="F101">
        <v>9.5761814382054112E-29</v>
      </c>
      <c r="G101">
        <v>7.6463806160575526E-30</v>
      </c>
      <c r="H101">
        <v>3.604722290427132E-29</v>
      </c>
      <c r="I101">
        <v>1.4564534506776292E-30</v>
      </c>
      <c r="J101">
        <v>0</v>
      </c>
      <c r="L101">
        <v>1.706599330831512E-27</v>
      </c>
      <c r="M101">
        <v>1.88301225504484E-27</v>
      </c>
      <c r="N101">
        <v>1.747744140813155E-28</v>
      </c>
      <c r="O101">
        <v>-4.7189091801955181E-28</v>
      </c>
      <c r="P101">
        <v>-1.0020399740662088E-27</v>
      </c>
      <c r="Q101">
        <v>-8.8115433765996563E-29</v>
      </c>
      <c r="R101">
        <v>-1.3399371746234188E-28</v>
      </c>
      <c r="S101">
        <v>-2.7090034182603901E-28</v>
      </c>
      <c r="T101">
        <v>1.456453450677629E-29</v>
      </c>
      <c r="U101">
        <v>4.4421830245667689E-29</v>
      </c>
      <c r="W101">
        <v>0</v>
      </c>
      <c r="X101">
        <v>0</v>
      </c>
      <c r="Y101">
        <v>0</v>
      </c>
      <c r="Z101">
        <v>0</v>
      </c>
      <c r="AA101">
        <v>0</v>
      </c>
      <c r="AB101">
        <v>0</v>
      </c>
      <c r="AC101">
        <v>0</v>
      </c>
      <c r="AD101">
        <v>0</v>
      </c>
      <c r="AE101">
        <v>0</v>
      </c>
      <c r="AF101">
        <v>0</v>
      </c>
      <c r="AH101" t="s">
        <v>733</v>
      </c>
      <c r="AI101" t="s">
        <v>1469</v>
      </c>
    </row>
    <row r="102" spans="1:35" x14ac:dyDescent="0.25">
      <c r="A102">
        <v>0</v>
      </c>
      <c r="B102">
        <v>0</v>
      </c>
      <c r="C102">
        <v>0</v>
      </c>
      <c r="D102">
        <v>0</v>
      </c>
      <c r="E102">
        <v>0</v>
      </c>
      <c r="F102">
        <v>0</v>
      </c>
      <c r="G102">
        <v>0</v>
      </c>
      <c r="H102">
        <v>0</v>
      </c>
      <c r="I102">
        <v>0</v>
      </c>
      <c r="J102">
        <v>0</v>
      </c>
      <c r="L102">
        <v>0</v>
      </c>
      <c r="M102">
        <v>0</v>
      </c>
      <c r="N102">
        <v>0</v>
      </c>
      <c r="O102">
        <v>0</v>
      </c>
      <c r="P102">
        <v>0</v>
      </c>
      <c r="Q102">
        <v>0</v>
      </c>
      <c r="R102">
        <v>0</v>
      </c>
      <c r="S102">
        <v>0</v>
      </c>
      <c r="T102">
        <v>0</v>
      </c>
      <c r="U102">
        <v>0</v>
      </c>
      <c r="W102">
        <v>0</v>
      </c>
      <c r="X102">
        <v>0</v>
      </c>
      <c r="Y102">
        <v>0</v>
      </c>
      <c r="Z102">
        <v>0</v>
      </c>
      <c r="AA102">
        <v>0</v>
      </c>
      <c r="AB102">
        <v>0</v>
      </c>
      <c r="AC102">
        <v>0</v>
      </c>
      <c r="AD102">
        <v>0</v>
      </c>
      <c r="AE102">
        <v>0</v>
      </c>
      <c r="AF102">
        <v>0</v>
      </c>
      <c r="AH102" t="s">
        <v>737</v>
      </c>
      <c r="AI102" t="s">
        <v>1473</v>
      </c>
    </row>
    <row r="103" spans="1:35" x14ac:dyDescent="0.25">
      <c r="A103">
        <v>0</v>
      </c>
      <c r="B103">
        <v>0</v>
      </c>
      <c r="C103">
        <v>0</v>
      </c>
      <c r="D103">
        <v>0</v>
      </c>
      <c r="E103">
        <v>0</v>
      </c>
      <c r="F103">
        <v>0</v>
      </c>
      <c r="G103">
        <v>0</v>
      </c>
      <c r="H103">
        <v>0</v>
      </c>
      <c r="I103">
        <v>0</v>
      </c>
      <c r="J103">
        <v>0</v>
      </c>
      <c r="L103">
        <v>0</v>
      </c>
      <c r="M103">
        <v>0</v>
      </c>
      <c r="N103">
        <v>0</v>
      </c>
      <c r="O103">
        <v>0</v>
      </c>
      <c r="P103">
        <v>0</v>
      </c>
      <c r="Q103">
        <v>0</v>
      </c>
      <c r="R103">
        <v>0</v>
      </c>
      <c r="S103">
        <v>0</v>
      </c>
      <c r="T103">
        <v>0</v>
      </c>
      <c r="U103">
        <v>0</v>
      </c>
      <c r="W103">
        <v>0</v>
      </c>
      <c r="X103">
        <v>0</v>
      </c>
      <c r="Y103">
        <v>0</v>
      </c>
      <c r="Z103">
        <v>0</v>
      </c>
      <c r="AA103">
        <v>0</v>
      </c>
      <c r="AB103">
        <v>0</v>
      </c>
      <c r="AC103">
        <v>0</v>
      </c>
      <c r="AD103">
        <v>0</v>
      </c>
      <c r="AE103">
        <v>0</v>
      </c>
      <c r="AF103">
        <v>0</v>
      </c>
      <c r="AH103" t="s">
        <v>741</v>
      </c>
      <c r="AI103" t="s">
        <v>1476</v>
      </c>
    </row>
    <row r="104" spans="1:35" x14ac:dyDescent="0.25">
      <c r="A104">
        <v>0</v>
      </c>
      <c r="B104">
        <v>0</v>
      </c>
      <c r="C104">
        <v>0</v>
      </c>
      <c r="D104">
        <v>0</v>
      </c>
      <c r="E104">
        <v>0</v>
      </c>
      <c r="F104">
        <v>0</v>
      </c>
      <c r="G104">
        <v>0</v>
      </c>
      <c r="H104">
        <v>0</v>
      </c>
      <c r="I104">
        <v>-7.094785234913829E-30</v>
      </c>
      <c r="J104">
        <v>-3.5473926174569145E-30</v>
      </c>
      <c r="L104">
        <v>0</v>
      </c>
      <c r="M104">
        <v>0</v>
      </c>
      <c r="N104">
        <v>0</v>
      </c>
      <c r="O104">
        <v>0</v>
      </c>
      <c r="P104">
        <v>0</v>
      </c>
      <c r="Q104">
        <v>0</v>
      </c>
      <c r="R104">
        <v>0</v>
      </c>
      <c r="S104">
        <v>0</v>
      </c>
      <c r="T104">
        <v>0</v>
      </c>
      <c r="U104">
        <v>0</v>
      </c>
      <c r="W104">
        <v>0</v>
      </c>
      <c r="X104">
        <v>0</v>
      </c>
      <c r="Y104">
        <v>0</v>
      </c>
      <c r="Z104">
        <v>0</v>
      </c>
      <c r="AA104">
        <v>0</v>
      </c>
      <c r="AB104">
        <v>0</v>
      </c>
      <c r="AC104">
        <v>0</v>
      </c>
      <c r="AD104">
        <v>0</v>
      </c>
      <c r="AE104">
        <v>0</v>
      </c>
      <c r="AF104">
        <v>0</v>
      </c>
      <c r="AH104" t="s">
        <v>746</v>
      </c>
      <c r="AI104" t="s">
        <v>1480</v>
      </c>
    </row>
    <row r="105" spans="1:35" x14ac:dyDescent="0.25">
      <c r="A105">
        <v>10</v>
      </c>
      <c r="B105">
        <v>10</v>
      </c>
      <c r="C105">
        <v>10</v>
      </c>
      <c r="D105">
        <v>10</v>
      </c>
      <c r="E105">
        <v>10</v>
      </c>
      <c r="F105">
        <v>10</v>
      </c>
      <c r="G105">
        <v>10</v>
      </c>
      <c r="H105">
        <v>10</v>
      </c>
      <c r="I105">
        <v>10</v>
      </c>
      <c r="J105">
        <v>10</v>
      </c>
      <c r="L105">
        <v>10</v>
      </c>
      <c r="M105">
        <v>10</v>
      </c>
      <c r="N105">
        <v>10</v>
      </c>
      <c r="O105">
        <v>10</v>
      </c>
      <c r="P105">
        <v>10</v>
      </c>
      <c r="Q105">
        <v>10</v>
      </c>
      <c r="R105">
        <v>10</v>
      </c>
      <c r="S105">
        <v>10</v>
      </c>
      <c r="T105">
        <v>10</v>
      </c>
      <c r="U105">
        <v>10</v>
      </c>
      <c r="W105">
        <v>10</v>
      </c>
      <c r="X105">
        <v>10</v>
      </c>
      <c r="Y105">
        <v>10</v>
      </c>
      <c r="Z105">
        <v>10</v>
      </c>
      <c r="AA105">
        <v>10</v>
      </c>
      <c r="AB105">
        <v>10</v>
      </c>
      <c r="AC105">
        <v>10</v>
      </c>
      <c r="AD105">
        <v>10</v>
      </c>
      <c r="AE105">
        <v>10</v>
      </c>
      <c r="AF105">
        <v>10</v>
      </c>
      <c r="AH105" t="s">
        <v>751</v>
      </c>
      <c r="AI105" t="s">
        <v>1507</v>
      </c>
    </row>
    <row r="106" spans="1:35" x14ac:dyDescent="0.25">
      <c r="A106">
        <v>-19.999999999999886</v>
      </c>
      <c r="B106">
        <v>-20.499999999999961</v>
      </c>
      <c r="C106">
        <v>-20.999999999999904</v>
      </c>
      <c r="D106">
        <v>-21.499999999999936</v>
      </c>
      <c r="E106">
        <v>-22.000000000000036</v>
      </c>
      <c r="F106">
        <v>-22.499999999999893</v>
      </c>
      <c r="G106">
        <v>-22.999999999999936</v>
      </c>
      <c r="H106">
        <v>-23.49999999999994</v>
      </c>
      <c r="I106">
        <v>-23.951883353584442</v>
      </c>
      <c r="J106">
        <v>-22.627460510328071</v>
      </c>
      <c r="L106">
        <v>-19.999999999999865</v>
      </c>
      <c r="M106">
        <v>-20.499999999999986</v>
      </c>
      <c r="N106">
        <v>-20.999999999999829</v>
      </c>
      <c r="O106">
        <v>-21.499999999999844</v>
      </c>
      <c r="P106">
        <v>-21.999999999999861</v>
      </c>
      <c r="Q106">
        <v>-22.499999999999886</v>
      </c>
      <c r="R106">
        <v>-23</v>
      </c>
      <c r="S106">
        <v>-23.499999999999904</v>
      </c>
      <c r="T106">
        <v>-23.951883353584449</v>
      </c>
      <c r="U106">
        <v>-22.627460510328078</v>
      </c>
      <c r="W106">
        <v>-19.999999999999893</v>
      </c>
      <c r="X106">
        <v>-20.500000000000082</v>
      </c>
      <c r="Y106">
        <v>-20.999999999999908</v>
      </c>
      <c r="Z106">
        <v>-21.499999999999925</v>
      </c>
      <c r="AA106">
        <v>-21.999999999999922</v>
      </c>
      <c r="AB106">
        <v>-22.499999999999886</v>
      </c>
      <c r="AC106">
        <v>-22.999999999999922</v>
      </c>
      <c r="AD106">
        <v>-23.49999999999995</v>
      </c>
      <c r="AE106">
        <v>-23.935018050541498</v>
      </c>
      <c r="AF106">
        <v>-21.971119133573989</v>
      </c>
      <c r="AH106" t="s">
        <v>756</v>
      </c>
      <c r="AI106" t="s">
        <v>1508</v>
      </c>
    </row>
    <row r="107" spans="1:35" x14ac:dyDescent="0.25">
      <c r="A107">
        <v>-8.1712414612411521E-14</v>
      </c>
      <c r="B107">
        <v>0.99999999999999645</v>
      </c>
      <c r="C107">
        <v>1.9999999999999165</v>
      </c>
      <c r="D107">
        <v>2.9999999999999432</v>
      </c>
      <c r="E107">
        <v>4.000000000000024</v>
      </c>
      <c r="F107">
        <v>4.9999999999999245</v>
      </c>
      <c r="G107">
        <v>5.999999999999944</v>
      </c>
      <c r="H107">
        <v>6.9999999999999627</v>
      </c>
      <c r="I107">
        <v>7.9737545565005998</v>
      </c>
      <c r="J107">
        <v>7.9786148238153061</v>
      </c>
      <c r="L107">
        <v>-1.2069688159364141E-13</v>
      </c>
      <c r="M107">
        <v>0.99999999999998312</v>
      </c>
      <c r="N107">
        <v>1.999999999999883</v>
      </c>
      <c r="O107">
        <v>2.9999999999999161</v>
      </c>
      <c r="P107">
        <v>3.9999999999998677</v>
      </c>
      <c r="Q107">
        <v>4.9999999999998828</v>
      </c>
      <c r="R107">
        <v>5.9999999999999769</v>
      </c>
      <c r="S107">
        <v>6.9999999999999307</v>
      </c>
      <c r="T107">
        <v>7.9737545565005936</v>
      </c>
      <c r="U107">
        <v>7.9786148238153345</v>
      </c>
      <c r="W107">
        <v>-9.4727533181900874E-14</v>
      </c>
      <c r="X107">
        <v>1.000000000000046</v>
      </c>
      <c r="Y107">
        <v>1.9999999999999387</v>
      </c>
      <c r="Z107">
        <v>2.9999999999999427</v>
      </c>
      <c r="AA107">
        <v>3.999999999999897</v>
      </c>
      <c r="AB107">
        <v>4.9999999999999121</v>
      </c>
      <c r="AC107">
        <v>5.9999999999999334</v>
      </c>
      <c r="AD107">
        <v>6.9999999999999503</v>
      </c>
      <c r="AE107">
        <v>7.9220216606498388</v>
      </c>
      <c r="AF107">
        <v>5.9653429602888215</v>
      </c>
      <c r="AH107" t="s">
        <v>760</v>
      </c>
      <c r="AI107" t="s">
        <v>1509</v>
      </c>
    </row>
    <row r="108" spans="1:35" x14ac:dyDescent="0.25">
      <c r="A108">
        <v>20</v>
      </c>
      <c r="B108">
        <v>19</v>
      </c>
      <c r="C108">
        <v>18</v>
      </c>
      <c r="D108">
        <v>17</v>
      </c>
      <c r="E108">
        <v>16</v>
      </c>
      <c r="F108">
        <v>15</v>
      </c>
      <c r="G108">
        <v>14</v>
      </c>
      <c r="H108">
        <v>13</v>
      </c>
      <c r="I108">
        <v>12</v>
      </c>
      <c r="J108">
        <v>11</v>
      </c>
      <c r="L108">
        <v>20</v>
      </c>
      <c r="M108">
        <v>19</v>
      </c>
      <c r="N108">
        <v>18</v>
      </c>
      <c r="O108">
        <v>17</v>
      </c>
      <c r="P108">
        <v>16</v>
      </c>
      <c r="Q108">
        <v>15</v>
      </c>
      <c r="R108">
        <v>14</v>
      </c>
      <c r="S108">
        <v>13</v>
      </c>
      <c r="T108">
        <v>12</v>
      </c>
      <c r="U108">
        <v>11</v>
      </c>
      <c r="W108">
        <v>20</v>
      </c>
      <c r="X108">
        <v>19</v>
      </c>
      <c r="Y108">
        <v>18</v>
      </c>
      <c r="Z108">
        <v>17</v>
      </c>
      <c r="AA108">
        <v>16</v>
      </c>
      <c r="AB108">
        <v>15</v>
      </c>
      <c r="AC108">
        <v>14</v>
      </c>
      <c r="AD108">
        <v>13</v>
      </c>
      <c r="AE108">
        <v>12</v>
      </c>
      <c r="AF108">
        <v>11</v>
      </c>
      <c r="AH108" t="s">
        <v>765</v>
      </c>
      <c r="AI108" t="s">
        <v>1510</v>
      </c>
    </row>
    <row r="109" spans="1:35" x14ac:dyDescent="0.25">
      <c r="A109">
        <v>0</v>
      </c>
      <c r="B109">
        <v>0</v>
      </c>
      <c r="C109">
        <v>0</v>
      </c>
      <c r="D109">
        <v>0</v>
      </c>
      <c r="E109">
        <v>0</v>
      </c>
      <c r="F109">
        <v>0</v>
      </c>
      <c r="G109">
        <v>0</v>
      </c>
      <c r="H109">
        <v>0</v>
      </c>
      <c r="I109">
        <v>1.74969623329293E-2</v>
      </c>
      <c r="J109">
        <v>0.68092345078979299</v>
      </c>
      <c r="L109">
        <v>0</v>
      </c>
      <c r="M109">
        <v>0</v>
      </c>
      <c r="N109">
        <v>0</v>
      </c>
      <c r="O109">
        <v>0</v>
      </c>
      <c r="P109">
        <v>0</v>
      </c>
      <c r="Q109">
        <v>0</v>
      </c>
      <c r="R109">
        <v>0</v>
      </c>
      <c r="S109">
        <v>0</v>
      </c>
      <c r="T109">
        <v>1.7496962332920418E-2</v>
      </c>
      <c r="U109">
        <v>0.68092345078978056</v>
      </c>
      <c r="W109">
        <v>0</v>
      </c>
      <c r="X109">
        <v>0</v>
      </c>
      <c r="Y109">
        <v>0</v>
      </c>
      <c r="Z109">
        <v>0</v>
      </c>
      <c r="AA109">
        <v>0</v>
      </c>
      <c r="AB109">
        <v>0</v>
      </c>
      <c r="AC109">
        <v>0</v>
      </c>
      <c r="AD109">
        <v>0</v>
      </c>
      <c r="AE109">
        <v>0</v>
      </c>
      <c r="AF109">
        <v>0</v>
      </c>
      <c r="AH109" t="s">
        <v>770</v>
      </c>
      <c r="AI109" t="s">
        <v>1511</v>
      </c>
    </row>
    <row r="110" spans="1:35" x14ac:dyDescent="0.25">
      <c r="A110">
        <v>0</v>
      </c>
      <c r="B110">
        <v>0</v>
      </c>
      <c r="C110">
        <v>0</v>
      </c>
      <c r="D110">
        <v>0</v>
      </c>
      <c r="E110">
        <v>0</v>
      </c>
      <c r="F110">
        <v>0</v>
      </c>
      <c r="G110">
        <v>0</v>
      </c>
      <c r="H110">
        <v>0</v>
      </c>
      <c r="I110">
        <v>0</v>
      </c>
      <c r="J110">
        <v>0</v>
      </c>
      <c r="L110">
        <v>0</v>
      </c>
      <c r="M110">
        <v>0</v>
      </c>
      <c r="N110">
        <v>0</v>
      </c>
      <c r="O110">
        <v>0</v>
      </c>
      <c r="P110">
        <v>0</v>
      </c>
      <c r="Q110">
        <v>0</v>
      </c>
      <c r="R110">
        <v>0</v>
      </c>
      <c r="S110">
        <v>0</v>
      </c>
      <c r="T110">
        <v>0</v>
      </c>
      <c r="U110">
        <v>0</v>
      </c>
      <c r="W110">
        <v>0</v>
      </c>
      <c r="X110">
        <v>0</v>
      </c>
      <c r="Y110">
        <v>0</v>
      </c>
      <c r="Z110">
        <v>0</v>
      </c>
      <c r="AA110">
        <v>0</v>
      </c>
      <c r="AB110">
        <v>0</v>
      </c>
      <c r="AC110">
        <v>0</v>
      </c>
      <c r="AD110">
        <v>0</v>
      </c>
      <c r="AE110">
        <v>5.1985559566800885E-2</v>
      </c>
      <c r="AF110">
        <v>2.023104693140807</v>
      </c>
      <c r="AH110" t="s">
        <v>774</v>
      </c>
      <c r="AI110" t="s">
        <v>1512</v>
      </c>
    </row>
    <row r="111" spans="1:35" x14ac:dyDescent="0.25">
      <c r="A111">
        <v>0</v>
      </c>
      <c r="B111">
        <v>0</v>
      </c>
      <c r="C111">
        <v>0</v>
      </c>
      <c r="D111">
        <v>0</v>
      </c>
      <c r="E111">
        <v>0</v>
      </c>
      <c r="F111">
        <v>0</v>
      </c>
      <c r="G111">
        <v>0</v>
      </c>
      <c r="H111">
        <v>0</v>
      </c>
      <c r="I111">
        <v>0</v>
      </c>
      <c r="J111">
        <v>0</v>
      </c>
      <c r="L111">
        <v>0</v>
      </c>
      <c r="M111">
        <v>0</v>
      </c>
      <c r="N111">
        <v>0</v>
      </c>
      <c r="O111">
        <v>0</v>
      </c>
      <c r="P111">
        <v>0</v>
      </c>
      <c r="Q111">
        <v>0</v>
      </c>
      <c r="R111">
        <v>0</v>
      </c>
      <c r="S111">
        <v>0</v>
      </c>
      <c r="T111">
        <v>0</v>
      </c>
      <c r="U111">
        <v>0</v>
      </c>
      <c r="W111">
        <v>0</v>
      </c>
      <c r="X111">
        <v>0</v>
      </c>
      <c r="Y111">
        <v>0</v>
      </c>
      <c r="Z111">
        <v>0</v>
      </c>
      <c r="AA111">
        <v>0</v>
      </c>
      <c r="AB111">
        <v>0</v>
      </c>
      <c r="AC111">
        <v>0</v>
      </c>
      <c r="AD111">
        <v>0</v>
      </c>
      <c r="AE111">
        <v>0</v>
      </c>
      <c r="AF111">
        <v>0</v>
      </c>
      <c r="AH111" t="s">
        <v>778</v>
      </c>
      <c r="AI111" t="s">
        <v>1513</v>
      </c>
    </row>
    <row r="112" spans="1:35" x14ac:dyDescent="0.25">
      <c r="A112">
        <v>0</v>
      </c>
      <c r="B112">
        <v>0</v>
      </c>
      <c r="C112">
        <v>0</v>
      </c>
      <c r="D112">
        <v>0</v>
      </c>
      <c r="E112">
        <v>0</v>
      </c>
      <c r="F112">
        <v>0</v>
      </c>
      <c r="G112">
        <v>0</v>
      </c>
      <c r="H112">
        <v>0</v>
      </c>
      <c r="I112">
        <v>0</v>
      </c>
      <c r="J112">
        <v>0</v>
      </c>
      <c r="L112">
        <v>0</v>
      </c>
      <c r="M112">
        <v>0</v>
      </c>
      <c r="N112">
        <v>0</v>
      </c>
      <c r="O112">
        <v>0</v>
      </c>
      <c r="P112">
        <v>0</v>
      </c>
      <c r="Q112">
        <v>0</v>
      </c>
      <c r="R112">
        <v>0</v>
      </c>
      <c r="S112">
        <v>0</v>
      </c>
      <c r="T112">
        <v>0</v>
      </c>
      <c r="U112">
        <v>0</v>
      </c>
      <c r="W112">
        <v>0</v>
      </c>
      <c r="X112">
        <v>0</v>
      </c>
      <c r="Y112">
        <v>0</v>
      </c>
      <c r="Z112">
        <v>0</v>
      </c>
      <c r="AA112">
        <v>0</v>
      </c>
      <c r="AB112">
        <v>0</v>
      </c>
      <c r="AC112">
        <v>0</v>
      </c>
      <c r="AD112">
        <v>0</v>
      </c>
      <c r="AE112">
        <v>0</v>
      </c>
      <c r="AF112">
        <v>0</v>
      </c>
      <c r="AH112" t="s">
        <v>781</v>
      </c>
      <c r="AI112" t="s">
        <v>1514</v>
      </c>
    </row>
    <row r="113" spans="1:35" x14ac:dyDescent="0.25">
      <c r="A113">
        <v>0</v>
      </c>
      <c r="B113">
        <v>0</v>
      </c>
      <c r="C113">
        <v>0</v>
      </c>
      <c r="D113">
        <v>0</v>
      </c>
      <c r="E113">
        <v>0</v>
      </c>
      <c r="F113">
        <v>0</v>
      </c>
      <c r="G113">
        <v>0</v>
      </c>
      <c r="H113">
        <v>0</v>
      </c>
      <c r="I113">
        <v>0</v>
      </c>
      <c r="J113">
        <v>0</v>
      </c>
      <c r="L113">
        <v>0</v>
      </c>
      <c r="M113">
        <v>0</v>
      </c>
      <c r="N113">
        <v>0</v>
      </c>
      <c r="O113">
        <v>0</v>
      </c>
      <c r="P113">
        <v>0</v>
      </c>
      <c r="Q113">
        <v>0</v>
      </c>
      <c r="R113">
        <v>0</v>
      </c>
      <c r="S113">
        <v>0</v>
      </c>
      <c r="T113">
        <v>0</v>
      </c>
      <c r="U113">
        <v>0</v>
      </c>
      <c r="W113">
        <v>0</v>
      </c>
      <c r="X113">
        <v>0</v>
      </c>
      <c r="Y113">
        <v>0</v>
      </c>
      <c r="Z113">
        <v>0</v>
      </c>
      <c r="AA113">
        <v>0</v>
      </c>
      <c r="AB113">
        <v>0</v>
      </c>
      <c r="AC113">
        <v>0</v>
      </c>
      <c r="AD113">
        <v>0</v>
      </c>
      <c r="AE113">
        <v>0</v>
      </c>
      <c r="AF113">
        <v>0</v>
      </c>
      <c r="AH113" t="s">
        <v>785</v>
      </c>
      <c r="AI113" t="s">
        <v>1515</v>
      </c>
    </row>
    <row r="114" spans="1:35" x14ac:dyDescent="0.25">
      <c r="A114">
        <v>-7.5785689013962748E-14</v>
      </c>
      <c r="B114">
        <v>0.99999999999998157</v>
      </c>
      <c r="C114">
        <v>1.9999999999999414</v>
      </c>
      <c r="D114">
        <v>2.9999999999999583</v>
      </c>
      <c r="E114">
        <v>4.0000000000000231</v>
      </c>
      <c r="F114">
        <v>4.9999999999999298</v>
      </c>
      <c r="G114">
        <v>5.9999999999999591</v>
      </c>
      <c r="H114">
        <v>6.9999999999999662</v>
      </c>
      <c r="I114">
        <v>7.9737545565006087</v>
      </c>
      <c r="J114">
        <v>7.9786148238153114</v>
      </c>
      <c r="L114">
        <v>-8.7295644329467006E-14</v>
      </c>
      <c r="M114">
        <v>0.99999999999999378</v>
      </c>
      <c r="N114">
        <v>1.9999999999998921</v>
      </c>
      <c r="O114">
        <v>2.9999999999999014</v>
      </c>
      <c r="P114">
        <v>3.9999999999999085</v>
      </c>
      <c r="Q114">
        <v>4.9999999999999272</v>
      </c>
      <c r="R114">
        <v>6.0000000000000018</v>
      </c>
      <c r="S114">
        <v>6.9999999999999334</v>
      </c>
      <c r="T114">
        <v>7.9737545565006069</v>
      </c>
      <c r="U114">
        <v>7.9786148238153132</v>
      </c>
      <c r="W114">
        <v>-8.2823384682434132E-14</v>
      </c>
      <c r="X114">
        <v>1.0000000000000653</v>
      </c>
      <c r="Y114">
        <v>1.9999999999999418</v>
      </c>
      <c r="Z114">
        <v>2.9999999999999623</v>
      </c>
      <c r="AA114">
        <v>3.9999999999999551</v>
      </c>
      <c r="AB114">
        <v>4.9999999999999325</v>
      </c>
      <c r="AC114">
        <v>5.9999999999999458</v>
      </c>
      <c r="AD114">
        <v>6.9999999999999618</v>
      </c>
      <c r="AE114">
        <v>7.9740072202166079</v>
      </c>
      <c r="AF114">
        <v>7.9884476534296036</v>
      </c>
      <c r="AH114" t="s">
        <v>788</v>
      </c>
      <c r="AI114" s="60" t="s">
        <v>1516</v>
      </c>
    </row>
    <row r="115" spans="1:35" x14ac:dyDescent="0.25">
      <c r="A115">
        <v>0</v>
      </c>
      <c r="B115">
        <v>0</v>
      </c>
      <c r="C115">
        <v>0</v>
      </c>
      <c r="D115">
        <v>0</v>
      </c>
      <c r="E115">
        <v>0</v>
      </c>
      <c r="F115">
        <v>0</v>
      </c>
      <c r="G115">
        <v>0</v>
      </c>
      <c r="H115">
        <v>0</v>
      </c>
      <c r="I115">
        <v>0</v>
      </c>
      <c r="J115">
        <v>0</v>
      </c>
      <c r="L115">
        <v>0</v>
      </c>
      <c r="M115">
        <v>0</v>
      </c>
      <c r="N115">
        <v>0</v>
      </c>
      <c r="O115">
        <v>0</v>
      </c>
      <c r="P115">
        <v>0</v>
      </c>
      <c r="Q115">
        <v>0</v>
      </c>
      <c r="R115">
        <v>0</v>
      </c>
      <c r="S115">
        <v>0</v>
      </c>
      <c r="T115">
        <v>0</v>
      </c>
      <c r="U115">
        <v>0</v>
      </c>
      <c r="W115">
        <v>0</v>
      </c>
      <c r="X115">
        <v>0</v>
      </c>
      <c r="Y115">
        <v>0</v>
      </c>
      <c r="Z115">
        <v>0</v>
      </c>
      <c r="AA115">
        <v>0</v>
      </c>
      <c r="AB115">
        <v>0</v>
      </c>
      <c r="AC115">
        <v>0</v>
      </c>
      <c r="AD115">
        <v>0</v>
      </c>
      <c r="AE115">
        <v>0</v>
      </c>
      <c r="AF115">
        <v>0</v>
      </c>
      <c r="AH115" t="s">
        <v>792</v>
      </c>
      <c r="AI115" t="s">
        <v>1519</v>
      </c>
    </row>
    <row r="116" spans="1:35" x14ac:dyDescent="0.25">
      <c r="A116">
        <v>0</v>
      </c>
      <c r="B116">
        <v>0</v>
      </c>
      <c r="C116">
        <v>0</v>
      </c>
      <c r="D116">
        <v>0</v>
      </c>
      <c r="E116">
        <v>0</v>
      </c>
      <c r="F116">
        <v>0</v>
      </c>
      <c r="G116">
        <v>0</v>
      </c>
      <c r="H116">
        <v>0</v>
      </c>
      <c r="I116">
        <v>0</v>
      </c>
      <c r="J116">
        <v>0</v>
      </c>
      <c r="L116">
        <v>0</v>
      </c>
      <c r="M116">
        <v>0</v>
      </c>
      <c r="N116">
        <v>0</v>
      </c>
      <c r="O116">
        <v>0</v>
      </c>
      <c r="P116">
        <v>0</v>
      </c>
      <c r="Q116">
        <v>0</v>
      </c>
      <c r="R116">
        <v>0</v>
      </c>
      <c r="S116">
        <v>0</v>
      </c>
      <c r="T116">
        <v>0</v>
      </c>
      <c r="U116">
        <v>0</v>
      </c>
      <c r="W116">
        <v>0</v>
      </c>
      <c r="X116">
        <v>0</v>
      </c>
      <c r="Y116">
        <v>0</v>
      </c>
      <c r="Z116">
        <v>0</v>
      </c>
      <c r="AA116">
        <v>0</v>
      </c>
      <c r="AB116">
        <v>0</v>
      </c>
      <c r="AC116">
        <v>0</v>
      </c>
      <c r="AD116">
        <v>0</v>
      </c>
      <c r="AE116">
        <v>0</v>
      </c>
      <c r="AF116">
        <v>0</v>
      </c>
      <c r="AH116" t="s">
        <v>795</v>
      </c>
      <c r="AI116" t="s">
        <v>1520</v>
      </c>
    </row>
    <row r="117" spans="1:35" x14ac:dyDescent="0.25">
      <c r="A117">
        <v>0</v>
      </c>
      <c r="B117">
        <v>0</v>
      </c>
      <c r="C117">
        <v>0</v>
      </c>
      <c r="D117">
        <v>0</v>
      </c>
      <c r="E117">
        <v>0</v>
      </c>
      <c r="F117">
        <v>0</v>
      </c>
      <c r="G117">
        <v>0</v>
      </c>
      <c r="H117">
        <v>0</v>
      </c>
      <c r="I117">
        <v>0</v>
      </c>
      <c r="J117">
        <v>0</v>
      </c>
      <c r="L117">
        <v>0</v>
      </c>
      <c r="M117">
        <v>0</v>
      </c>
      <c r="N117">
        <v>0</v>
      </c>
      <c r="O117">
        <v>0</v>
      </c>
      <c r="P117">
        <v>0</v>
      </c>
      <c r="Q117">
        <v>0</v>
      </c>
      <c r="R117">
        <v>0</v>
      </c>
      <c r="S117">
        <v>0</v>
      </c>
      <c r="T117">
        <v>0</v>
      </c>
      <c r="U117">
        <v>0</v>
      </c>
      <c r="W117">
        <v>0</v>
      </c>
      <c r="X117">
        <v>0</v>
      </c>
      <c r="Y117">
        <v>0</v>
      </c>
      <c r="Z117">
        <v>0</v>
      </c>
      <c r="AA117">
        <v>0</v>
      </c>
      <c r="AB117">
        <v>0</v>
      </c>
      <c r="AC117">
        <v>0</v>
      </c>
      <c r="AD117">
        <v>0</v>
      </c>
      <c r="AE117">
        <v>0</v>
      </c>
      <c r="AF117">
        <v>0</v>
      </c>
      <c r="AH117" t="s">
        <v>798</v>
      </c>
      <c r="AI117" t="s">
        <v>1521</v>
      </c>
    </row>
    <row r="118" spans="1:35" x14ac:dyDescent="0.25">
      <c r="A118">
        <v>0</v>
      </c>
      <c r="B118">
        <v>0</v>
      </c>
      <c r="C118">
        <v>0</v>
      </c>
      <c r="D118">
        <v>0</v>
      </c>
      <c r="E118">
        <v>0</v>
      </c>
      <c r="F118">
        <v>0</v>
      </c>
      <c r="G118">
        <v>0</v>
      </c>
      <c r="H118">
        <v>0</v>
      </c>
      <c r="I118">
        <v>0</v>
      </c>
      <c r="J118">
        <v>0</v>
      </c>
      <c r="L118">
        <v>0</v>
      </c>
      <c r="M118">
        <v>0</v>
      </c>
      <c r="N118">
        <v>0</v>
      </c>
      <c r="O118">
        <v>0</v>
      </c>
      <c r="P118">
        <v>0</v>
      </c>
      <c r="Q118">
        <v>0</v>
      </c>
      <c r="R118">
        <v>0</v>
      </c>
      <c r="S118">
        <v>0</v>
      </c>
      <c r="T118">
        <v>0</v>
      </c>
      <c r="U118">
        <v>0</v>
      </c>
      <c r="W118">
        <v>0</v>
      </c>
      <c r="X118">
        <v>0</v>
      </c>
      <c r="Y118">
        <v>0</v>
      </c>
      <c r="Z118">
        <v>0</v>
      </c>
      <c r="AA118">
        <v>0</v>
      </c>
      <c r="AB118">
        <v>0</v>
      </c>
      <c r="AC118">
        <v>0</v>
      </c>
      <c r="AD118">
        <v>0</v>
      </c>
      <c r="AE118">
        <v>0</v>
      </c>
      <c r="AF118">
        <v>0</v>
      </c>
      <c r="AH118" t="s">
        <v>802</v>
      </c>
      <c r="AI118" t="s">
        <v>1523</v>
      </c>
    </row>
    <row r="119" spans="1:35" x14ac:dyDescent="0.25">
      <c r="A119">
        <v>-1.7347957308812266E-29</v>
      </c>
      <c r="B119">
        <v>-1.4663154391972271E-28</v>
      </c>
      <c r="C119">
        <v>5.1630825323846023E-29</v>
      </c>
      <c r="D119">
        <v>8.6739786544061331E-30</v>
      </c>
      <c r="E119">
        <v>1.6356645462594422E-28</v>
      </c>
      <c r="F119">
        <v>0</v>
      </c>
      <c r="G119">
        <v>-4.9565592310892184E-29</v>
      </c>
      <c r="H119">
        <v>-1.156530487254151E-28</v>
      </c>
      <c r="I119">
        <v>1.6177538888012791E-15</v>
      </c>
      <c r="J119">
        <v>1.866652085555687E-16</v>
      </c>
      <c r="L119">
        <v>2.4679534504798402E-29</v>
      </c>
      <c r="M119">
        <v>-3.2940466556613766E-29</v>
      </c>
      <c r="N119">
        <v>-4.9462330660244497E-29</v>
      </c>
      <c r="O119">
        <v>0</v>
      </c>
      <c r="P119">
        <v>0</v>
      </c>
      <c r="Q119">
        <v>1.6521864103630729E-29</v>
      </c>
      <c r="R119">
        <v>1.8504487796066416E-28</v>
      </c>
      <c r="S119">
        <v>3.3043728207261459E-28</v>
      </c>
      <c r="T119">
        <v>-9.0499407759249966E-15</v>
      </c>
      <c r="U119">
        <v>-1.7197493654566722E-14</v>
      </c>
      <c r="W119">
        <v>4.3782939874621433E-29</v>
      </c>
      <c r="X119">
        <v>4.9978638913482954E-29</v>
      </c>
      <c r="Y119">
        <v>4.7087312695347576E-29</v>
      </c>
      <c r="Z119">
        <v>7.2283155453384443E-29</v>
      </c>
      <c r="AA119">
        <v>8.4054983627221331E-29</v>
      </c>
      <c r="AB119">
        <v>2.4782796155446093E-30</v>
      </c>
      <c r="AC119">
        <v>1.961971362306149E-30</v>
      </c>
      <c r="AD119">
        <v>2.9326308783944545E-29</v>
      </c>
      <c r="AE119">
        <v>-3.3043728207261458E-30</v>
      </c>
      <c r="AF119">
        <v>-2.1168638382776872E-29</v>
      </c>
      <c r="AH119" t="s">
        <v>805</v>
      </c>
      <c r="AI119" t="s">
        <v>1524</v>
      </c>
    </row>
    <row r="120" spans="1:35" x14ac:dyDescent="0.25">
      <c r="A120">
        <v>5.4487950604138217E-27</v>
      </c>
      <c r="B120">
        <v>6.1866527248448604E-27</v>
      </c>
      <c r="C120">
        <v>6.9812686711552094E-27</v>
      </c>
      <c r="D120">
        <v>3.0933263624224302E-27</v>
      </c>
      <c r="E120">
        <v>2.3270895570517363E-27</v>
      </c>
      <c r="F120">
        <v>3.1004211476573437E-27</v>
      </c>
      <c r="G120">
        <v>-4.6116104026939896E-29</v>
      </c>
      <c r="H120">
        <v>3.8745215957335189E-28</v>
      </c>
      <c r="I120">
        <v>0</v>
      </c>
      <c r="J120">
        <v>0</v>
      </c>
      <c r="L120">
        <v>0</v>
      </c>
      <c r="M120">
        <v>0</v>
      </c>
      <c r="N120">
        <v>0</v>
      </c>
      <c r="O120">
        <v>0</v>
      </c>
      <c r="P120">
        <v>0</v>
      </c>
      <c r="Q120">
        <v>0</v>
      </c>
      <c r="R120">
        <v>0</v>
      </c>
      <c r="S120">
        <v>0</v>
      </c>
      <c r="T120">
        <v>0</v>
      </c>
      <c r="U120">
        <v>0</v>
      </c>
      <c r="W120">
        <v>0</v>
      </c>
      <c r="X120">
        <v>0</v>
      </c>
      <c r="Y120">
        <v>0</v>
      </c>
      <c r="Z120">
        <v>0</v>
      </c>
      <c r="AA120">
        <v>0</v>
      </c>
      <c r="AB120">
        <v>0</v>
      </c>
      <c r="AC120">
        <v>0</v>
      </c>
      <c r="AD120">
        <v>0</v>
      </c>
      <c r="AE120">
        <v>0</v>
      </c>
      <c r="AF120">
        <v>0</v>
      </c>
      <c r="AH120" t="s">
        <v>809</v>
      </c>
      <c r="AI120" t="s">
        <v>1526</v>
      </c>
    </row>
    <row r="121" spans="1:35" x14ac:dyDescent="0.25">
      <c r="A121">
        <v>0</v>
      </c>
      <c r="B121">
        <v>0</v>
      </c>
      <c r="C121">
        <v>0</v>
      </c>
      <c r="D121">
        <v>0</v>
      </c>
      <c r="E121">
        <v>0</v>
      </c>
      <c r="F121">
        <v>0</v>
      </c>
      <c r="G121">
        <v>0</v>
      </c>
      <c r="H121">
        <v>0</v>
      </c>
      <c r="I121">
        <v>0</v>
      </c>
      <c r="J121">
        <v>0</v>
      </c>
      <c r="L121">
        <v>0</v>
      </c>
      <c r="M121">
        <v>0</v>
      </c>
      <c r="N121">
        <v>0</v>
      </c>
      <c r="O121">
        <v>0</v>
      </c>
      <c r="P121">
        <v>0</v>
      </c>
      <c r="Q121">
        <v>0</v>
      </c>
      <c r="R121">
        <v>0</v>
      </c>
      <c r="S121">
        <v>0</v>
      </c>
      <c r="T121">
        <v>0</v>
      </c>
      <c r="U121">
        <v>0</v>
      </c>
      <c r="W121">
        <v>0</v>
      </c>
      <c r="X121">
        <v>0</v>
      </c>
      <c r="Y121">
        <v>0</v>
      </c>
      <c r="Z121">
        <v>0</v>
      </c>
      <c r="AA121">
        <v>0</v>
      </c>
      <c r="AB121">
        <v>0</v>
      </c>
      <c r="AC121">
        <v>0</v>
      </c>
      <c r="AD121">
        <v>0</v>
      </c>
      <c r="AE121">
        <v>0</v>
      </c>
      <c r="AF121">
        <v>0</v>
      </c>
      <c r="AH121" t="s">
        <v>813</v>
      </c>
      <c r="AI121" t="s">
        <v>1528</v>
      </c>
    </row>
    <row r="122" spans="1:35" x14ac:dyDescent="0.25">
      <c r="A122">
        <v>0</v>
      </c>
      <c r="B122">
        <v>0</v>
      </c>
      <c r="C122">
        <v>0</v>
      </c>
      <c r="D122">
        <v>0</v>
      </c>
      <c r="E122">
        <v>0</v>
      </c>
      <c r="F122">
        <v>0</v>
      </c>
      <c r="G122">
        <v>0</v>
      </c>
      <c r="H122">
        <v>0</v>
      </c>
      <c r="I122">
        <v>0</v>
      </c>
      <c r="J122">
        <v>0</v>
      </c>
      <c r="L122">
        <v>0</v>
      </c>
      <c r="M122">
        <v>0</v>
      </c>
      <c r="N122">
        <v>0</v>
      </c>
      <c r="O122">
        <v>0</v>
      </c>
      <c r="P122">
        <v>0</v>
      </c>
      <c r="Q122">
        <v>0</v>
      </c>
      <c r="R122">
        <v>0</v>
      </c>
      <c r="S122">
        <v>0</v>
      </c>
      <c r="T122">
        <v>0</v>
      </c>
      <c r="U122">
        <v>0</v>
      </c>
      <c r="W122">
        <v>0</v>
      </c>
      <c r="X122">
        <v>0</v>
      </c>
      <c r="Y122">
        <v>0</v>
      </c>
      <c r="Z122">
        <v>0</v>
      </c>
      <c r="AA122">
        <v>0</v>
      </c>
      <c r="AB122">
        <v>0</v>
      </c>
      <c r="AC122">
        <v>0</v>
      </c>
      <c r="AD122">
        <v>0</v>
      </c>
      <c r="AE122">
        <v>0</v>
      </c>
      <c r="AF122">
        <v>0</v>
      </c>
      <c r="AH122" t="s">
        <v>816</v>
      </c>
      <c r="AI122" t="s">
        <v>1529</v>
      </c>
    </row>
    <row r="123" spans="1:35" x14ac:dyDescent="0.25">
      <c r="A123">
        <v>0</v>
      </c>
      <c r="B123">
        <v>0</v>
      </c>
      <c r="C123">
        <v>0</v>
      </c>
      <c r="D123">
        <v>0</v>
      </c>
      <c r="E123">
        <v>0</v>
      </c>
      <c r="F123">
        <v>0</v>
      </c>
      <c r="G123">
        <v>0</v>
      </c>
      <c r="H123">
        <v>0</v>
      </c>
      <c r="I123">
        <v>0</v>
      </c>
      <c r="J123">
        <v>0</v>
      </c>
      <c r="L123">
        <v>0</v>
      </c>
      <c r="M123">
        <v>0</v>
      </c>
      <c r="N123">
        <v>0</v>
      </c>
      <c r="O123">
        <v>0</v>
      </c>
      <c r="P123">
        <v>0</v>
      </c>
      <c r="Q123">
        <v>0</v>
      </c>
      <c r="R123">
        <v>0</v>
      </c>
      <c r="S123">
        <v>0</v>
      </c>
      <c r="T123">
        <v>0</v>
      </c>
      <c r="U123">
        <v>0</v>
      </c>
      <c r="W123">
        <v>0</v>
      </c>
      <c r="X123">
        <v>0</v>
      </c>
      <c r="Y123">
        <v>0</v>
      </c>
      <c r="Z123">
        <v>0</v>
      </c>
      <c r="AA123">
        <v>0</v>
      </c>
      <c r="AB123">
        <v>0</v>
      </c>
      <c r="AC123">
        <v>0</v>
      </c>
      <c r="AD123">
        <v>0</v>
      </c>
      <c r="AE123">
        <v>0</v>
      </c>
      <c r="AF123">
        <v>0</v>
      </c>
      <c r="AH123" t="s">
        <v>820</v>
      </c>
      <c r="AI123" t="s">
        <v>1530</v>
      </c>
    </row>
    <row r="124" spans="1:35" x14ac:dyDescent="0.25">
      <c r="A124">
        <v>0</v>
      </c>
      <c r="B124">
        <v>0</v>
      </c>
      <c r="C124">
        <v>0</v>
      </c>
      <c r="D124">
        <v>0</v>
      </c>
      <c r="E124">
        <v>0</v>
      </c>
      <c r="F124">
        <v>0</v>
      </c>
      <c r="G124">
        <v>0</v>
      </c>
      <c r="H124">
        <v>0</v>
      </c>
      <c r="I124">
        <v>0</v>
      </c>
      <c r="J124">
        <v>0</v>
      </c>
      <c r="L124">
        <v>0</v>
      </c>
      <c r="M124">
        <v>0</v>
      </c>
      <c r="N124">
        <v>0</v>
      </c>
      <c r="O124">
        <v>0</v>
      </c>
      <c r="P124">
        <v>0</v>
      </c>
      <c r="Q124">
        <v>0</v>
      </c>
      <c r="R124">
        <v>0</v>
      </c>
      <c r="S124">
        <v>0</v>
      </c>
      <c r="T124">
        <v>0</v>
      </c>
      <c r="U124">
        <v>0</v>
      </c>
      <c r="W124">
        <v>0</v>
      </c>
      <c r="X124">
        <v>0</v>
      </c>
      <c r="Y124">
        <v>0</v>
      </c>
      <c r="Z124">
        <v>0</v>
      </c>
      <c r="AA124">
        <v>0</v>
      </c>
      <c r="AB124">
        <v>0</v>
      </c>
      <c r="AC124">
        <v>0</v>
      </c>
      <c r="AD124">
        <v>0</v>
      </c>
      <c r="AE124">
        <v>-1.5866951632328794E-14</v>
      </c>
      <c r="AF124">
        <v>-1.6662051761547857E-14</v>
      </c>
      <c r="AH124" t="s">
        <v>825</v>
      </c>
      <c r="AI124" t="s">
        <v>1531</v>
      </c>
    </row>
    <row r="125" spans="1:35" x14ac:dyDescent="0.25">
      <c r="A125">
        <v>0</v>
      </c>
      <c r="B125">
        <v>0</v>
      </c>
      <c r="C125">
        <v>0</v>
      </c>
      <c r="D125">
        <v>0</v>
      </c>
      <c r="E125">
        <v>0</v>
      </c>
      <c r="F125">
        <v>0</v>
      </c>
      <c r="G125">
        <v>0</v>
      </c>
      <c r="H125">
        <v>0</v>
      </c>
      <c r="I125">
        <v>0</v>
      </c>
      <c r="J125">
        <v>0</v>
      </c>
      <c r="L125">
        <v>0</v>
      </c>
      <c r="M125">
        <v>0</v>
      </c>
      <c r="N125">
        <v>0</v>
      </c>
      <c r="O125">
        <v>0</v>
      </c>
      <c r="P125">
        <v>0</v>
      </c>
      <c r="Q125">
        <v>0</v>
      </c>
      <c r="R125">
        <v>0</v>
      </c>
      <c r="S125">
        <v>0</v>
      </c>
      <c r="T125">
        <v>0</v>
      </c>
      <c r="U125">
        <v>0</v>
      </c>
      <c r="W125">
        <v>0</v>
      </c>
      <c r="X125">
        <v>0</v>
      </c>
      <c r="Y125">
        <v>0</v>
      </c>
      <c r="Z125">
        <v>0</v>
      </c>
      <c r="AA125">
        <v>0</v>
      </c>
      <c r="AB125">
        <v>0</v>
      </c>
      <c r="AC125">
        <v>0</v>
      </c>
      <c r="AD125">
        <v>0</v>
      </c>
      <c r="AE125">
        <v>0</v>
      </c>
      <c r="AF125">
        <v>0</v>
      </c>
      <c r="AH125" t="s">
        <v>829</v>
      </c>
      <c r="AI125" t="s">
        <v>1537</v>
      </c>
    </row>
    <row r="126" spans="1:35" x14ac:dyDescent="0.25">
      <c r="A126">
        <v>0</v>
      </c>
      <c r="B126">
        <v>0</v>
      </c>
      <c r="C126">
        <v>0</v>
      </c>
      <c r="D126">
        <v>0</v>
      </c>
      <c r="E126">
        <v>0</v>
      </c>
      <c r="F126">
        <v>0</v>
      </c>
      <c r="G126">
        <v>0</v>
      </c>
      <c r="H126">
        <v>0</v>
      </c>
      <c r="I126">
        <v>0</v>
      </c>
      <c r="J126">
        <v>0</v>
      </c>
      <c r="L126">
        <v>0</v>
      </c>
      <c r="M126">
        <v>0</v>
      </c>
      <c r="N126">
        <v>0</v>
      </c>
      <c r="O126">
        <v>0</v>
      </c>
      <c r="P126">
        <v>0</v>
      </c>
      <c r="Q126">
        <v>0</v>
      </c>
      <c r="R126">
        <v>0</v>
      </c>
      <c r="S126">
        <v>0</v>
      </c>
      <c r="T126">
        <v>0</v>
      </c>
      <c r="U126">
        <v>0</v>
      </c>
      <c r="W126">
        <v>0</v>
      </c>
      <c r="X126">
        <v>0</v>
      </c>
      <c r="Y126">
        <v>0</v>
      </c>
      <c r="Z126">
        <v>0</v>
      </c>
      <c r="AA126">
        <v>0</v>
      </c>
      <c r="AB126">
        <v>0</v>
      </c>
      <c r="AC126">
        <v>0</v>
      </c>
      <c r="AD126">
        <v>0</v>
      </c>
      <c r="AE126">
        <v>0</v>
      </c>
      <c r="AF126">
        <v>0</v>
      </c>
      <c r="AH126" t="s">
        <v>832</v>
      </c>
      <c r="AI126" t="s">
        <v>1538</v>
      </c>
    </row>
    <row r="127" spans="1:35" x14ac:dyDescent="0.25">
      <c r="A127">
        <v>-3.7892844506981304E-14</v>
      </c>
      <c r="B127">
        <v>0.49999999999999062</v>
      </c>
      <c r="C127">
        <v>0.99999999999997069</v>
      </c>
      <c r="D127">
        <v>1.4999999999999791</v>
      </c>
      <c r="E127">
        <v>2.0000000000000111</v>
      </c>
      <c r="F127">
        <v>2.4999999999999649</v>
      </c>
      <c r="G127">
        <v>2.9999999999999791</v>
      </c>
      <c r="H127">
        <v>3.4999999999999822</v>
      </c>
      <c r="I127">
        <v>3.9868772782503039</v>
      </c>
      <c r="J127">
        <v>3.9893074119076548</v>
      </c>
      <c r="L127">
        <v>-4.3647822164733484E-14</v>
      </c>
      <c r="M127">
        <v>0.49999999999999695</v>
      </c>
      <c r="N127">
        <v>0.99999999999994604</v>
      </c>
      <c r="O127">
        <v>1.4999999999999505</v>
      </c>
      <c r="P127">
        <v>1.999999999999954</v>
      </c>
      <c r="Q127">
        <v>2.4999999999999636</v>
      </c>
      <c r="R127">
        <v>3.0000000000000009</v>
      </c>
      <c r="S127">
        <v>3.4999999999999671</v>
      </c>
      <c r="T127">
        <v>3.9868772782503039</v>
      </c>
      <c r="U127">
        <v>3.9893074119076548</v>
      </c>
      <c r="W127">
        <v>-4.1411692341217053E-14</v>
      </c>
      <c r="X127">
        <v>0.50000000000003253</v>
      </c>
      <c r="Y127">
        <v>0.99999999999997069</v>
      </c>
      <c r="Z127">
        <v>1.4999999999999809</v>
      </c>
      <c r="AA127">
        <v>1.9999999999999776</v>
      </c>
      <c r="AB127">
        <v>2.4999999999999658</v>
      </c>
      <c r="AC127">
        <v>2.9999999999999729</v>
      </c>
      <c r="AD127">
        <v>3.4999999999999809</v>
      </c>
      <c r="AE127">
        <v>3.9870036101083031</v>
      </c>
      <c r="AF127">
        <v>3.9942238267148018</v>
      </c>
      <c r="AH127" t="s">
        <v>837</v>
      </c>
      <c r="AI127" t="s">
        <v>1539</v>
      </c>
    </row>
    <row r="128" spans="1:35" x14ac:dyDescent="0.25">
      <c r="A128">
        <v>9.9999999999999254</v>
      </c>
      <c r="B128">
        <v>9.9999999999999822</v>
      </c>
      <c r="C128">
        <v>9.9999999999999396</v>
      </c>
      <c r="D128">
        <v>9.9999999999999574</v>
      </c>
      <c r="E128">
        <v>10.000000000000025</v>
      </c>
      <c r="F128">
        <v>9.9999999999999325</v>
      </c>
      <c r="G128">
        <v>9.9999999999999609</v>
      </c>
      <c r="H128">
        <v>9.9999999999999662</v>
      </c>
      <c r="I128">
        <v>9.982503037667076</v>
      </c>
      <c r="J128">
        <v>9.319076549210207</v>
      </c>
      <c r="L128">
        <v>9.9999999999999201</v>
      </c>
      <c r="M128">
        <v>9.9999999999999893</v>
      </c>
      <c r="N128">
        <v>9.9999999999998934</v>
      </c>
      <c r="O128">
        <v>9.9999999999999041</v>
      </c>
      <c r="P128">
        <v>9.9999999999999094</v>
      </c>
      <c r="Q128">
        <v>9.9999999999999307</v>
      </c>
      <c r="R128">
        <v>10.000000000000002</v>
      </c>
      <c r="S128">
        <v>9.9999999999999361</v>
      </c>
      <c r="T128">
        <v>9.9825030376670671</v>
      </c>
      <c r="U128">
        <v>9.3190765492102017</v>
      </c>
      <c r="W128">
        <v>9.9999999999999165</v>
      </c>
      <c r="X128">
        <v>10.000000000000068</v>
      </c>
      <c r="Y128">
        <v>9.9999999999999414</v>
      </c>
      <c r="Z128">
        <v>9.9999999999999609</v>
      </c>
      <c r="AA128">
        <v>9.9999999999999556</v>
      </c>
      <c r="AB128">
        <v>9.9999999999999325</v>
      </c>
      <c r="AC128">
        <v>9.9999999999999432</v>
      </c>
      <c r="AD128">
        <v>9.9999999999999609</v>
      </c>
      <c r="AE128">
        <v>9.948014440433214</v>
      </c>
      <c r="AF128">
        <v>7.976895306859209</v>
      </c>
      <c r="AH128" t="s">
        <v>840</v>
      </c>
      <c r="AI128" t="s">
        <v>1540</v>
      </c>
    </row>
    <row r="129" spans="1:35" x14ac:dyDescent="0.25">
      <c r="A129">
        <v>0</v>
      </c>
      <c r="B129">
        <v>0</v>
      </c>
      <c r="C129">
        <v>0</v>
      </c>
      <c r="D129">
        <v>0</v>
      </c>
      <c r="E129">
        <v>0</v>
      </c>
      <c r="F129">
        <v>0</v>
      </c>
      <c r="G129">
        <v>0</v>
      </c>
      <c r="H129">
        <v>0</v>
      </c>
      <c r="I129">
        <v>0</v>
      </c>
      <c r="J129">
        <v>0</v>
      </c>
      <c r="L129">
        <v>0</v>
      </c>
      <c r="M129">
        <v>0</v>
      </c>
      <c r="N129">
        <v>0</v>
      </c>
      <c r="O129">
        <v>0</v>
      </c>
      <c r="P129">
        <v>0</v>
      </c>
      <c r="Q129">
        <v>0</v>
      </c>
      <c r="R129">
        <v>0</v>
      </c>
      <c r="S129">
        <v>0</v>
      </c>
      <c r="T129">
        <v>0</v>
      </c>
      <c r="U129">
        <v>0</v>
      </c>
      <c r="W129">
        <v>0</v>
      </c>
      <c r="X129">
        <v>0</v>
      </c>
      <c r="Y129">
        <v>0</v>
      </c>
      <c r="Z129">
        <v>0</v>
      </c>
      <c r="AA129">
        <v>0</v>
      </c>
      <c r="AB129">
        <v>0</v>
      </c>
      <c r="AC129">
        <v>0</v>
      </c>
      <c r="AD129">
        <v>0</v>
      </c>
      <c r="AE129">
        <v>0</v>
      </c>
      <c r="AF129">
        <v>0</v>
      </c>
      <c r="AH129" t="s">
        <v>844</v>
      </c>
      <c r="AI129" t="s">
        <v>1542</v>
      </c>
    </row>
    <row r="130" spans="1:35" x14ac:dyDescent="0.25">
      <c r="A130">
        <v>0</v>
      </c>
      <c r="B130">
        <v>0</v>
      </c>
      <c r="C130">
        <v>0</v>
      </c>
      <c r="D130">
        <v>0</v>
      </c>
      <c r="E130">
        <v>0</v>
      </c>
      <c r="F130">
        <v>0</v>
      </c>
      <c r="G130">
        <v>0</v>
      </c>
      <c r="H130">
        <v>0</v>
      </c>
      <c r="I130">
        <v>0</v>
      </c>
      <c r="J130">
        <v>0</v>
      </c>
      <c r="L130">
        <v>0</v>
      </c>
      <c r="M130">
        <v>0</v>
      </c>
      <c r="N130">
        <v>0</v>
      </c>
      <c r="O130">
        <v>0</v>
      </c>
      <c r="P130">
        <v>0</v>
      </c>
      <c r="Q130">
        <v>0</v>
      </c>
      <c r="R130">
        <v>0</v>
      </c>
      <c r="S130">
        <v>0</v>
      </c>
      <c r="T130">
        <v>0</v>
      </c>
      <c r="U130">
        <v>0</v>
      </c>
      <c r="W130">
        <v>0</v>
      </c>
      <c r="X130">
        <v>0</v>
      </c>
      <c r="Y130">
        <v>0</v>
      </c>
      <c r="Z130">
        <v>0</v>
      </c>
      <c r="AA130">
        <v>0</v>
      </c>
      <c r="AB130">
        <v>0</v>
      </c>
      <c r="AC130">
        <v>0</v>
      </c>
      <c r="AD130">
        <v>0</v>
      </c>
      <c r="AE130">
        <v>0</v>
      </c>
      <c r="AF130">
        <v>0</v>
      </c>
      <c r="AH130" t="s">
        <v>847</v>
      </c>
      <c r="AI130" t="s">
        <v>1544</v>
      </c>
    </row>
    <row r="131" spans="1:35" x14ac:dyDescent="0.25">
      <c r="A131">
        <v>0</v>
      </c>
      <c r="B131">
        <v>0</v>
      </c>
      <c r="C131">
        <v>0</v>
      </c>
      <c r="D131">
        <v>0</v>
      </c>
      <c r="E131">
        <v>0</v>
      </c>
      <c r="F131">
        <v>0</v>
      </c>
      <c r="G131">
        <v>0</v>
      </c>
      <c r="H131">
        <v>0</v>
      </c>
      <c r="I131">
        <v>0</v>
      </c>
      <c r="J131">
        <v>0</v>
      </c>
      <c r="L131">
        <v>0</v>
      </c>
      <c r="M131">
        <v>0</v>
      </c>
      <c r="N131">
        <v>0</v>
      </c>
      <c r="O131">
        <v>0</v>
      </c>
      <c r="P131">
        <v>0</v>
      </c>
      <c r="Q131">
        <v>0</v>
      </c>
      <c r="R131">
        <v>0</v>
      </c>
      <c r="S131">
        <v>0</v>
      </c>
      <c r="T131">
        <v>0</v>
      </c>
      <c r="U131">
        <v>0</v>
      </c>
      <c r="W131">
        <v>0</v>
      </c>
      <c r="X131">
        <v>0</v>
      </c>
      <c r="Y131">
        <v>0</v>
      </c>
      <c r="Z131">
        <v>0</v>
      </c>
      <c r="AA131">
        <v>0</v>
      </c>
      <c r="AB131">
        <v>0</v>
      </c>
      <c r="AC131">
        <v>0</v>
      </c>
      <c r="AD131">
        <v>0</v>
      </c>
      <c r="AE131">
        <v>0</v>
      </c>
      <c r="AF131">
        <v>0</v>
      </c>
      <c r="AH131" t="s">
        <v>850</v>
      </c>
      <c r="AI131" s="60" t="s">
        <v>1613</v>
      </c>
    </row>
    <row r="132" spans="1:35" x14ac:dyDescent="0.25">
      <c r="A132">
        <v>-88.400000000010422</v>
      </c>
      <c r="B132">
        <v>48.099999999997436</v>
      </c>
      <c r="C132">
        <v>184.59999999999198</v>
      </c>
      <c r="D132">
        <v>321.09999999999422</v>
      </c>
      <c r="E132">
        <v>457.60000000000309</v>
      </c>
      <c r="F132">
        <v>594.09999999999047</v>
      </c>
      <c r="G132">
        <v>730.59999999999434</v>
      </c>
      <c r="H132">
        <v>867.09999999999525</v>
      </c>
      <c r="I132">
        <v>1000</v>
      </c>
      <c r="J132">
        <v>1000</v>
      </c>
      <c r="L132">
        <v>-88.400000000012</v>
      </c>
      <c r="M132">
        <v>48.09999999999917</v>
      </c>
      <c r="N132">
        <v>184.59999999998522</v>
      </c>
      <c r="O132">
        <v>321.09999999998638</v>
      </c>
      <c r="P132">
        <v>457.5999999999874</v>
      </c>
      <c r="Q132">
        <v>594.09999999999002</v>
      </c>
      <c r="R132">
        <v>730.60000000000036</v>
      </c>
      <c r="S132">
        <v>867.09999999999104</v>
      </c>
      <c r="T132">
        <v>1000</v>
      </c>
      <c r="U132">
        <v>1000</v>
      </c>
      <c r="W132">
        <v>-88.400000000011403</v>
      </c>
      <c r="X132">
        <v>48.100000000008947</v>
      </c>
      <c r="Y132">
        <v>184.59999999999198</v>
      </c>
      <c r="Z132">
        <v>321.09999999999479</v>
      </c>
      <c r="AA132">
        <v>457.59999999999388</v>
      </c>
      <c r="AB132">
        <v>594.09999999999059</v>
      </c>
      <c r="AC132">
        <v>730.59999999999252</v>
      </c>
      <c r="AD132">
        <v>867.09999999999479</v>
      </c>
      <c r="AE132">
        <v>1000</v>
      </c>
      <c r="AF132">
        <v>1000</v>
      </c>
      <c r="AH132" t="s">
        <v>292</v>
      </c>
      <c r="AI132" t="s">
        <v>1551</v>
      </c>
    </row>
    <row r="133" spans="1:35" x14ac:dyDescent="0.25">
      <c r="A133">
        <v>-280.40000000001038</v>
      </c>
      <c r="B133">
        <v>-143.90000000000254</v>
      </c>
      <c r="C133">
        <v>-7.4000000000079922</v>
      </c>
      <c r="D133">
        <v>129.09999999999428</v>
      </c>
      <c r="E133">
        <v>265.60000000000309</v>
      </c>
      <c r="F133">
        <v>402.09999999999047</v>
      </c>
      <c r="G133">
        <v>538.59999999999434</v>
      </c>
      <c r="H133">
        <v>675.09999999999525</v>
      </c>
      <c r="I133">
        <v>808.00000000000011</v>
      </c>
      <c r="J133">
        <v>808.00000000000011</v>
      </c>
      <c r="L133">
        <v>-280.40000000001197</v>
      </c>
      <c r="M133">
        <v>-143.9000000000008</v>
      </c>
      <c r="N133">
        <v>-7.4000000000147566</v>
      </c>
      <c r="O133">
        <v>129.09999999998644</v>
      </c>
      <c r="P133">
        <v>265.5999999999874</v>
      </c>
      <c r="Q133">
        <v>402.09999999999002</v>
      </c>
      <c r="R133">
        <v>538.60000000000036</v>
      </c>
      <c r="S133">
        <v>675.09999999999104</v>
      </c>
      <c r="T133">
        <v>808.00000000000011</v>
      </c>
      <c r="U133">
        <v>808.00000000000011</v>
      </c>
      <c r="W133">
        <v>-280.40000000001135</v>
      </c>
      <c r="X133">
        <v>-143.89999999999102</v>
      </c>
      <c r="Y133">
        <v>-7.4000000000079922</v>
      </c>
      <c r="Z133">
        <v>129.09999999999479</v>
      </c>
      <c r="AA133">
        <v>265.59999999999388</v>
      </c>
      <c r="AB133">
        <v>402.09999999999059</v>
      </c>
      <c r="AC133">
        <v>538.59999999999252</v>
      </c>
      <c r="AD133">
        <v>675.09999999999479</v>
      </c>
      <c r="AE133">
        <v>808.00000000000011</v>
      </c>
      <c r="AF133">
        <v>808.00000000000011</v>
      </c>
      <c r="AH133" t="s">
        <v>293</v>
      </c>
      <c r="AI133" t="s">
        <v>1553</v>
      </c>
    </row>
    <row r="134" spans="1:35" x14ac:dyDescent="0.25">
      <c r="A134">
        <v>4.4999999999999947</v>
      </c>
      <c r="B134">
        <v>4.0749999999999993</v>
      </c>
      <c r="C134">
        <v>3.6499999999999964</v>
      </c>
      <c r="D134">
        <v>3.2249999999999965</v>
      </c>
      <c r="E134">
        <v>2.8000000000000012</v>
      </c>
      <c r="F134">
        <v>2.3749999999999956</v>
      </c>
      <c r="G134">
        <v>1.9499999999999971</v>
      </c>
      <c r="H134">
        <v>1.5249999999999979</v>
      </c>
      <c r="I134">
        <v>1.0989064398541921</v>
      </c>
      <c r="J134">
        <v>0.63244228432563809</v>
      </c>
      <c r="L134">
        <v>5.4999999999999956</v>
      </c>
      <c r="M134">
        <v>5.0749999999999975</v>
      </c>
      <c r="N134">
        <v>4.6499999999999924</v>
      </c>
      <c r="O134">
        <v>4.2249999999999925</v>
      </c>
      <c r="P134">
        <v>3.7999999999999936</v>
      </c>
      <c r="Q134">
        <v>3.3749999999999956</v>
      </c>
      <c r="R134">
        <v>2.95</v>
      </c>
      <c r="S134">
        <v>2.5249999999999946</v>
      </c>
      <c r="T134">
        <v>2.0989064398541908</v>
      </c>
      <c r="U134">
        <v>1.632442284325635</v>
      </c>
      <c r="W134">
        <v>5.9999999999999947</v>
      </c>
      <c r="X134">
        <v>5.5750000000000046</v>
      </c>
      <c r="Y134">
        <v>5.149999999999995</v>
      </c>
      <c r="Z134">
        <v>4.7249999999999979</v>
      </c>
      <c r="AA134">
        <v>4.2999999999999972</v>
      </c>
      <c r="AB134">
        <v>3.8749999999999956</v>
      </c>
      <c r="AC134">
        <v>3.4499999999999957</v>
      </c>
      <c r="AD134">
        <v>3.0249999999999972</v>
      </c>
      <c r="AE134">
        <v>2.5980505415162432</v>
      </c>
      <c r="AF134">
        <v>2.0991335740072183</v>
      </c>
      <c r="AH134" t="s">
        <v>1631</v>
      </c>
    </row>
    <row r="135" spans="1:35" x14ac:dyDescent="0.25">
      <c r="A135">
        <v>2</v>
      </c>
      <c r="B135">
        <v>1.9</v>
      </c>
      <c r="C135">
        <v>1.8</v>
      </c>
      <c r="D135">
        <v>1.7</v>
      </c>
      <c r="E135">
        <v>1.6</v>
      </c>
      <c r="F135">
        <v>1.5</v>
      </c>
      <c r="G135">
        <v>1.4</v>
      </c>
      <c r="H135">
        <v>1.3</v>
      </c>
      <c r="I135">
        <v>1.2</v>
      </c>
      <c r="J135">
        <v>1.1000000000000001</v>
      </c>
      <c r="L135">
        <v>2</v>
      </c>
      <c r="M135">
        <v>1.9</v>
      </c>
      <c r="N135">
        <v>1.8</v>
      </c>
      <c r="O135">
        <v>1.7</v>
      </c>
      <c r="P135">
        <v>1.6</v>
      </c>
      <c r="Q135">
        <v>1.5</v>
      </c>
      <c r="R135">
        <v>1.4</v>
      </c>
      <c r="S135">
        <v>1.3</v>
      </c>
      <c r="T135">
        <v>1.2</v>
      </c>
      <c r="U135">
        <v>1.1000000000000001</v>
      </c>
      <c r="W135">
        <v>2</v>
      </c>
      <c r="X135">
        <v>1.9</v>
      </c>
      <c r="Y135">
        <v>1.8</v>
      </c>
      <c r="Z135">
        <v>1.7</v>
      </c>
      <c r="AA135">
        <v>1.6</v>
      </c>
      <c r="AB135">
        <v>1.5</v>
      </c>
      <c r="AC135">
        <v>1.4</v>
      </c>
      <c r="AD135">
        <v>1.3</v>
      </c>
      <c r="AE135">
        <v>1.2</v>
      </c>
      <c r="AF135">
        <v>1.1000000000000001</v>
      </c>
      <c r="AH135" t="s">
        <v>1615</v>
      </c>
    </row>
    <row r="136" spans="1:35" x14ac:dyDescent="0.25">
      <c r="A136">
        <v>0.99999999999999256</v>
      </c>
      <c r="B136">
        <v>0.99999999999999822</v>
      </c>
      <c r="C136">
        <v>0.999999999999994</v>
      </c>
      <c r="D136">
        <v>0.99999999999999578</v>
      </c>
      <c r="E136">
        <v>1.0000000000000024</v>
      </c>
      <c r="F136">
        <v>0.99999999999999323</v>
      </c>
      <c r="G136">
        <v>0.99999999999999611</v>
      </c>
      <c r="H136">
        <v>0.99999999999999667</v>
      </c>
      <c r="I136">
        <v>0.99825030376670765</v>
      </c>
      <c r="J136">
        <v>0.93190765492102068</v>
      </c>
      <c r="L136">
        <v>0.99999999999999201</v>
      </c>
      <c r="M136">
        <v>0.99999999999999889</v>
      </c>
      <c r="N136">
        <v>0.99999999999998934</v>
      </c>
      <c r="O136">
        <v>0.99999999999999045</v>
      </c>
      <c r="P136">
        <v>0.9999999999999909</v>
      </c>
      <c r="Q136">
        <v>0.99999999999999312</v>
      </c>
      <c r="R136">
        <v>1.0000000000000002</v>
      </c>
      <c r="S136">
        <v>0.99999999999999356</v>
      </c>
      <c r="T136">
        <v>0.99825030376670676</v>
      </c>
      <c r="U136">
        <v>0.93190765492102012</v>
      </c>
      <c r="W136">
        <v>0.99999999999999167</v>
      </c>
      <c r="X136">
        <v>1.0000000000000067</v>
      </c>
      <c r="Y136">
        <v>0.99999999999999412</v>
      </c>
      <c r="Z136">
        <v>0.99999999999999611</v>
      </c>
      <c r="AA136">
        <v>0.99999999999999556</v>
      </c>
      <c r="AB136">
        <v>0.99999999999999323</v>
      </c>
      <c r="AC136">
        <v>0.99999999999999434</v>
      </c>
      <c r="AD136">
        <v>0.99999999999999611</v>
      </c>
      <c r="AE136">
        <v>0.99480144404332138</v>
      </c>
      <c r="AF136">
        <v>0.79768953068592086</v>
      </c>
      <c r="AH136" t="s">
        <v>1616</v>
      </c>
    </row>
    <row r="137" spans="1:35" x14ac:dyDescent="0.25">
      <c r="A137">
        <v>-8.8400000000010426</v>
      </c>
      <c r="B137">
        <v>4.8099999999997438</v>
      </c>
      <c r="C137">
        <v>18.459999999999198</v>
      </c>
      <c r="D137">
        <v>32.109999999999424</v>
      </c>
      <c r="E137">
        <v>45.760000000000311</v>
      </c>
      <c r="F137">
        <v>59.409999999999044</v>
      </c>
      <c r="G137">
        <v>73.059999999999434</v>
      </c>
      <c r="H137">
        <v>86.709999999999525</v>
      </c>
      <c r="I137">
        <v>100</v>
      </c>
      <c r="J137">
        <v>100</v>
      </c>
      <c r="L137">
        <v>-8.8400000000012007</v>
      </c>
      <c r="M137">
        <v>4.809999999999917</v>
      </c>
      <c r="N137">
        <v>18.459999999998523</v>
      </c>
      <c r="O137">
        <v>32.109999999998635</v>
      </c>
      <c r="P137">
        <v>45.75999999999874</v>
      </c>
      <c r="Q137">
        <v>59.409999999999002</v>
      </c>
      <c r="R137">
        <v>73.060000000000031</v>
      </c>
      <c r="S137">
        <v>86.709999999999098</v>
      </c>
      <c r="T137">
        <v>100</v>
      </c>
      <c r="U137">
        <v>100</v>
      </c>
      <c r="W137">
        <v>-8.8400000000011403</v>
      </c>
      <c r="X137">
        <v>4.8100000000008949</v>
      </c>
      <c r="Y137">
        <v>18.459999999999198</v>
      </c>
      <c r="Z137">
        <v>32.109999999999481</v>
      </c>
      <c r="AA137">
        <v>45.759999999999387</v>
      </c>
      <c r="AB137">
        <v>59.409999999999059</v>
      </c>
      <c r="AC137">
        <v>73.059999999999249</v>
      </c>
      <c r="AD137">
        <v>86.709999999999482</v>
      </c>
      <c r="AE137">
        <v>100</v>
      </c>
      <c r="AF137">
        <v>100</v>
      </c>
      <c r="AH137" t="s">
        <v>1617</v>
      </c>
    </row>
    <row r="138" spans="1:35" x14ac:dyDescent="0.25">
      <c r="A138">
        <v>-3.4695914617624532E-30</v>
      </c>
      <c r="B138">
        <v>-2.9326308783944545E-29</v>
      </c>
      <c r="C138">
        <v>1.0326165064769205E-29</v>
      </c>
      <c r="D138">
        <v>1.7347957308812266E-30</v>
      </c>
      <c r="E138">
        <v>3.2713290925188843E-29</v>
      </c>
      <c r="F138">
        <v>0</v>
      </c>
      <c r="G138">
        <v>-9.9131184621784374E-30</v>
      </c>
      <c r="H138">
        <v>-2.3130609745083021E-29</v>
      </c>
      <c r="I138">
        <v>3.2355077776025582E-16</v>
      </c>
      <c r="J138">
        <v>3.7333041711113742E-17</v>
      </c>
      <c r="L138">
        <v>4.9359069009596806E-30</v>
      </c>
      <c r="M138">
        <v>-6.5880933113227528E-30</v>
      </c>
      <c r="N138">
        <v>-9.8924661320489E-30</v>
      </c>
      <c r="O138">
        <v>0</v>
      </c>
      <c r="P138">
        <v>0</v>
      </c>
      <c r="Q138">
        <v>3.3043728207261458E-30</v>
      </c>
      <c r="R138">
        <v>3.7008975592132831E-29</v>
      </c>
      <c r="S138">
        <v>6.6087456414522916E-29</v>
      </c>
      <c r="T138">
        <v>-1.8099881551849993E-15</v>
      </c>
      <c r="U138">
        <v>-3.4394987309133445E-15</v>
      </c>
      <c r="W138">
        <v>8.7565879749242868E-30</v>
      </c>
      <c r="X138">
        <v>9.9957277826965911E-30</v>
      </c>
      <c r="Y138">
        <v>9.4174625390695151E-30</v>
      </c>
      <c r="Z138">
        <v>1.4456631090676888E-29</v>
      </c>
      <c r="AA138">
        <v>1.6810996725444266E-29</v>
      </c>
      <c r="AB138">
        <v>4.9565592310892185E-31</v>
      </c>
      <c r="AC138">
        <v>3.923942724612298E-31</v>
      </c>
      <c r="AD138">
        <v>5.8652617567889089E-30</v>
      </c>
      <c r="AE138">
        <v>-6.6087456414522919E-31</v>
      </c>
      <c r="AF138">
        <v>-4.233727676555374E-30</v>
      </c>
      <c r="AH138" t="s">
        <v>1618</v>
      </c>
    </row>
    <row r="139" spans="1:35" x14ac:dyDescent="0.25">
      <c r="A139">
        <v>0</v>
      </c>
      <c r="B139">
        <v>0</v>
      </c>
      <c r="C139">
        <v>0</v>
      </c>
      <c r="D139">
        <v>0</v>
      </c>
      <c r="E139">
        <v>0</v>
      </c>
      <c r="F139">
        <v>0</v>
      </c>
      <c r="G139">
        <v>0</v>
      </c>
      <c r="H139">
        <v>0</v>
      </c>
      <c r="I139">
        <v>0</v>
      </c>
      <c r="J139">
        <v>0</v>
      </c>
      <c r="L139">
        <v>0</v>
      </c>
      <c r="M139">
        <v>0</v>
      </c>
      <c r="N139">
        <v>0</v>
      </c>
      <c r="O139">
        <v>0</v>
      </c>
      <c r="P139">
        <v>0</v>
      </c>
      <c r="Q139">
        <v>0</v>
      </c>
      <c r="R139">
        <v>0</v>
      </c>
      <c r="S139">
        <v>0</v>
      </c>
      <c r="T139">
        <v>0</v>
      </c>
      <c r="U139">
        <v>0</v>
      </c>
      <c r="W139">
        <v>0</v>
      </c>
      <c r="X139">
        <v>0</v>
      </c>
      <c r="Y139">
        <v>0</v>
      </c>
      <c r="Z139">
        <v>0</v>
      </c>
      <c r="AA139">
        <v>0</v>
      </c>
      <c r="AB139">
        <v>0</v>
      </c>
      <c r="AC139">
        <v>0</v>
      </c>
      <c r="AD139">
        <v>0</v>
      </c>
      <c r="AE139">
        <v>0</v>
      </c>
      <c r="AF139">
        <v>0</v>
      </c>
      <c r="AH139" t="s">
        <v>1619</v>
      </c>
    </row>
    <row r="140" spans="1:35" x14ac:dyDescent="0.25">
      <c r="A140">
        <v>0</v>
      </c>
      <c r="B140">
        <v>0</v>
      </c>
      <c r="C140">
        <v>0</v>
      </c>
      <c r="D140">
        <v>0</v>
      </c>
      <c r="E140">
        <v>0</v>
      </c>
      <c r="F140">
        <v>0</v>
      </c>
      <c r="G140">
        <v>0</v>
      </c>
      <c r="H140">
        <v>0</v>
      </c>
      <c r="I140">
        <v>0</v>
      </c>
      <c r="J140">
        <v>0</v>
      </c>
      <c r="L140">
        <v>0</v>
      </c>
      <c r="M140">
        <v>0</v>
      </c>
      <c r="N140">
        <v>0</v>
      </c>
      <c r="O140">
        <v>0</v>
      </c>
      <c r="P140">
        <v>0</v>
      </c>
      <c r="Q140">
        <v>0</v>
      </c>
      <c r="R140">
        <v>0</v>
      </c>
      <c r="S140">
        <v>0</v>
      </c>
      <c r="T140">
        <v>0</v>
      </c>
      <c r="U140">
        <v>0</v>
      </c>
      <c r="W140">
        <v>0</v>
      </c>
      <c r="X140">
        <v>0</v>
      </c>
      <c r="Y140">
        <v>0</v>
      </c>
      <c r="Z140">
        <v>0</v>
      </c>
      <c r="AA140">
        <v>0</v>
      </c>
      <c r="AB140">
        <v>0</v>
      </c>
      <c r="AC140">
        <v>0</v>
      </c>
      <c r="AD140">
        <v>0</v>
      </c>
      <c r="AE140">
        <v>0</v>
      </c>
      <c r="AF140">
        <v>0</v>
      </c>
      <c r="AH140" t="s">
        <v>1620</v>
      </c>
    </row>
    <row r="141" spans="1:35" x14ac:dyDescent="0.25">
      <c r="A141">
        <v>0</v>
      </c>
      <c r="B141">
        <v>0</v>
      </c>
      <c r="C141">
        <v>0</v>
      </c>
      <c r="D141">
        <v>0</v>
      </c>
      <c r="E141">
        <v>0</v>
      </c>
      <c r="F141">
        <v>0</v>
      </c>
      <c r="G141">
        <v>0</v>
      </c>
      <c r="H141">
        <v>0</v>
      </c>
      <c r="I141">
        <v>0</v>
      </c>
      <c r="J141">
        <v>0</v>
      </c>
      <c r="L141">
        <v>0</v>
      </c>
      <c r="M141">
        <v>0</v>
      </c>
      <c r="N141">
        <v>0</v>
      </c>
      <c r="O141">
        <v>0</v>
      </c>
      <c r="P141">
        <v>0</v>
      </c>
      <c r="Q141">
        <v>0</v>
      </c>
      <c r="R141">
        <v>0</v>
      </c>
      <c r="S141">
        <v>0</v>
      </c>
      <c r="T141">
        <v>0</v>
      </c>
      <c r="U141">
        <v>0</v>
      </c>
      <c r="W141">
        <v>0</v>
      </c>
      <c r="X141">
        <v>0</v>
      </c>
      <c r="Y141">
        <v>0</v>
      </c>
      <c r="Z141">
        <v>0</v>
      </c>
      <c r="AA141">
        <v>0</v>
      </c>
      <c r="AB141">
        <v>0</v>
      </c>
      <c r="AC141">
        <v>0</v>
      </c>
      <c r="AD141">
        <v>0</v>
      </c>
      <c r="AE141">
        <v>0</v>
      </c>
      <c r="AF141">
        <v>0</v>
      </c>
      <c r="AH141" t="s">
        <v>1621</v>
      </c>
    </row>
    <row r="142" spans="1:35" x14ac:dyDescent="0.25">
      <c r="A142">
        <v>0</v>
      </c>
      <c r="B142">
        <v>0</v>
      </c>
      <c r="C142">
        <v>0</v>
      </c>
      <c r="D142">
        <v>0</v>
      </c>
      <c r="E142">
        <v>0</v>
      </c>
      <c r="F142">
        <v>0</v>
      </c>
      <c r="G142">
        <v>0</v>
      </c>
      <c r="H142">
        <v>0</v>
      </c>
      <c r="I142">
        <v>0</v>
      </c>
      <c r="J142">
        <v>0</v>
      </c>
      <c r="L142">
        <v>0</v>
      </c>
      <c r="M142">
        <v>0</v>
      </c>
      <c r="N142">
        <v>0</v>
      </c>
      <c r="O142">
        <v>0</v>
      </c>
      <c r="P142">
        <v>0</v>
      </c>
      <c r="Q142">
        <v>0</v>
      </c>
      <c r="R142">
        <v>0</v>
      </c>
      <c r="S142">
        <v>0</v>
      </c>
      <c r="T142">
        <v>0</v>
      </c>
      <c r="U142">
        <v>0</v>
      </c>
      <c r="W142">
        <v>0</v>
      </c>
      <c r="X142">
        <v>0</v>
      </c>
      <c r="Y142">
        <v>0</v>
      </c>
      <c r="Z142">
        <v>0</v>
      </c>
      <c r="AA142">
        <v>0</v>
      </c>
      <c r="AB142">
        <v>0</v>
      </c>
      <c r="AC142">
        <v>0</v>
      </c>
      <c r="AD142">
        <v>0</v>
      </c>
      <c r="AE142">
        <v>5.1985559566800881E-3</v>
      </c>
      <c r="AF142">
        <v>0.2023104693140807</v>
      </c>
      <c r="AH142" t="s">
        <v>1622</v>
      </c>
    </row>
    <row r="143" spans="1:35" x14ac:dyDescent="0.25">
      <c r="A143">
        <v>1.6346385181241465E-27</v>
      </c>
      <c r="B143">
        <v>1.8559958174534583E-27</v>
      </c>
      <c r="C143">
        <v>2.0943806013465628E-27</v>
      </c>
      <c r="D143">
        <v>9.2799790872672913E-28</v>
      </c>
      <c r="E143">
        <v>6.9812686711552094E-28</v>
      </c>
      <c r="F143">
        <v>9.3012634429720322E-28</v>
      </c>
      <c r="G143">
        <v>-1.3834831208081971E-29</v>
      </c>
      <c r="H143">
        <v>1.1623564787200557E-28</v>
      </c>
      <c r="I143">
        <v>0</v>
      </c>
      <c r="J143">
        <v>0</v>
      </c>
      <c r="L143">
        <v>0</v>
      </c>
      <c r="M143">
        <v>0</v>
      </c>
      <c r="N143">
        <v>0</v>
      </c>
      <c r="O143">
        <v>0</v>
      </c>
      <c r="P143">
        <v>0</v>
      </c>
      <c r="Q143">
        <v>0</v>
      </c>
      <c r="R143">
        <v>0</v>
      </c>
      <c r="S143">
        <v>0</v>
      </c>
      <c r="T143">
        <v>0</v>
      </c>
      <c r="U143">
        <v>0</v>
      </c>
      <c r="W143">
        <v>0</v>
      </c>
      <c r="X143">
        <v>0</v>
      </c>
      <c r="Y143">
        <v>0</v>
      </c>
      <c r="Z143">
        <v>0</v>
      </c>
      <c r="AA143">
        <v>0</v>
      </c>
      <c r="AB143">
        <v>0</v>
      </c>
      <c r="AC143">
        <v>0</v>
      </c>
      <c r="AD143">
        <v>0</v>
      </c>
      <c r="AE143">
        <v>0</v>
      </c>
      <c r="AF143">
        <v>0</v>
      </c>
      <c r="AH143" t="s">
        <v>1623</v>
      </c>
    </row>
    <row r="144" spans="1:35" x14ac:dyDescent="0.25">
      <c r="A144">
        <v>0</v>
      </c>
      <c r="B144">
        <v>0</v>
      </c>
      <c r="C144">
        <v>0</v>
      </c>
      <c r="D144">
        <v>0</v>
      </c>
      <c r="E144">
        <v>0</v>
      </c>
      <c r="F144">
        <v>0</v>
      </c>
      <c r="G144">
        <v>0</v>
      </c>
      <c r="H144">
        <v>0</v>
      </c>
      <c r="I144">
        <v>1.7496962332929299E-3</v>
      </c>
      <c r="J144">
        <v>6.8092345078979294E-2</v>
      </c>
      <c r="L144">
        <v>0</v>
      </c>
      <c r="M144">
        <v>0</v>
      </c>
      <c r="N144">
        <v>0</v>
      </c>
      <c r="O144">
        <v>0</v>
      </c>
      <c r="P144">
        <v>0</v>
      </c>
      <c r="Q144">
        <v>0</v>
      </c>
      <c r="R144">
        <v>0</v>
      </c>
      <c r="S144">
        <v>0</v>
      </c>
      <c r="T144">
        <v>1.7496962332920417E-3</v>
      </c>
      <c r="U144">
        <v>6.8092345078978059E-2</v>
      </c>
      <c r="W144">
        <v>0</v>
      </c>
      <c r="X144">
        <v>0</v>
      </c>
      <c r="Y144">
        <v>0</v>
      </c>
      <c r="Z144">
        <v>0</v>
      </c>
      <c r="AA144">
        <v>0</v>
      </c>
      <c r="AB144">
        <v>0</v>
      </c>
      <c r="AC144">
        <v>0</v>
      </c>
      <c r="AD144">
        <v>0</v>
      </c>
      <c r="AE144">
        <v>0</v>
      </c>
      <c r="AF144">
        <v>0</v>
      </c>
      <c r="AH144" t="s">
        <v>1624</v>
      </c>
    </row>
    <row r="145" spans="1:34" x14ac:dyDescent="0.25">
      <c r="A145">
        <v>0</v>
      </c>
      <c r="B145">
        <v>0</v>
      </c>
      <c r="C145">
        <v>0</v>
      </c>
      <c r="D145">
        <v>0</v>
      </c>
      <c r="E145">
        <v>0</v>
      </c>
      <c r="F145">
        <v>0</v>
      </c>
      <c r="G145">
        <v>0</v>
      </c>
      <c r="H145">
        <v>0</v>
      </c>
      <c r="I145">
        <v>0</v>
      </c>
      <c r="J145">
        <v>0</v>
      </c>
      <c r="L145">
        <v>0</v>
      </c>
      <c r="M145">
        <v>0</v>
      </c>
      <c r="N145">
        <v>0</v>
      </c>
      <c r="O145">
        <v>0</v>
      </c>
      <c r="P145">
        <v>0</v>
      </c>
      <c r="Q145">
        <v>0</v>
      </c>
      <c r="R145">
        <v>0</v>
      </c>
      <c r="S145">
        <v>0</v>
      </c>
      <c r="T145">
        <v>0</v>
      </c>
      <c r="U145">
        <v>0</v>
      </c>
      <c r="W145">
        <v>0</v>
      </c>
      <c r="X145">
        <v>0</v>
      </c>
      <c r="Y145">
        <v>0</v>
      </c>
      <c r="Z145">
        <v>0</v>
      </c>
      <c r="AA145">
        <v>0</v>
      </c>
      <c r="AB145">
        <v>0</v>
      </c>
      <c r="AC145">
        <v>0</v>
      </c>
      <c r="AD145">
        <v>0</v>
      </c>
      <c r="AE145">
        <v>0</v>
      </c>
      <c r="AF145">
        <v>0</v>
      </c>
      <c r="AH145" t="s">
        <v>1625</v>
      </c>
    </row>
    <row r="146" spans="1:34" x14ac:dyDescent="0.25">
      <c r="A146">
        <v>0</v>
      </c>
      <c r="B146">
        <v>0</v>
      </c>
      <c r="C146">
        <v>0</v>
      </c>
      <c r="D146">
        <v>0</v>
      </c>
      <c r="E146">
        <v>0</v>
      </c>
      <c r="F146">
        <v>0</v>
      </c>
      <c r="G146">
        <v>0</v>
      </c>
      <c r="H146">
        <v>0</v>
      </c>
      <c r="I146">
        <v>0</v>
      </c>
      <c r="J146">
        <v>0</v>
      </c>
      <c r="L146">
        <v>0</v>
      </c>
      <c r="M146">
        <v>0</v>
      </c>
      <c r="N146">
        <v>0</v>
      </c>
      <c r="O146">
        <v>0</v>
      </c>
      <c r="P146">
        <v>0</v>
      </c>
      <c r="Q146">
        <v>0</v>
      </c>
      <c r="R146">
        <v>0</v>
      </c>
      <c r="S146">
        <v>0</v>
      </c>
      <c r="T146">
        <v>0</v>
      </c>
      <c r="U146">
        <v>0</v>
      </c>
      <c r="W146">
        <v>0</v>
      </c>
      <c r="X146">
        <v>0</v>
      </c>
      <c r="Y146">
        <v>0</v>
      </c>
      <c r="Z146">
        <v>0</v>
      </c>
      <c r="AA146">
        <v>0</v>
      </c>
      <c r="AB146">
        <v>0</v>
      </c>
      <c r="AC146">
        <v>0</v>
      </c>
      <c r="AD146">
        <v>0</v>
      </c>
      <c r="AE146">
        <v>-6.3467806529315176E-15</v>
      </c>
      <c r="AF146">
        <v>-6.6648207046191427E-15</v>
      </c>
      <c r="AH146" t="s">
        <v>1626</v>
      </c>
    </row>
    <row r="147" spans="1:34" x14ac:dyDescent="0.25">
      <c r="A147">
        <v>1.6311689266623841E-27</v>
      </c>
      <c r="B147">
        <v>1.8266695086695138E-27</v>
      </c>
      <c r="C147">
        <v>2.1047067664113319E-27</v>
      </c>
      <c r="D147">
        <v>9.2973270445761031E-28</v>
      </c>
      <c r="E147">
        <v>7.3084015804070976E-28</v>
      </c>
      <c r="F147">
        <v>9.3012634429720322E-28</v>
      </c>
      <c r="G147">
        <v>-2.3747949670260408E-29</v>
      </c>
      <c r="H147">
        <v>9.3105038126922554E-29</v>
      </c>
      <c r="I147">
        <v>1.7496962332932534E-3</v>
      </c>
      <c r="J147">
        <v>6.8092345078979336E-2</v>
      </c>
      <c r="L147">
        <v>4.9359069009596806E-30</v>
      </c>
      <c r="M147">
        <v>-6.5880933113227528E-30</v>
      </c>
      <c r="N147">
        <v>-9.8924661320489E-30</v>
      </c>
      <c r="O147">
        <v>0</v>
      </c>
      <c r="P147">
        <v>0</v>
      </c>
      <c r="Q147">
        <v>3.3043728207261458E-30</v>
      </c>
      <c r="R147">
        <v>3.7008975592132831E-29</v>
      </c>
      <c r="S147">
        <v>6.6087456414522916E-29</v>
      </c>
      <c r="T147">
        <v>1.7496962332902318E-3</v>
      </c>
      <c r="U147">
        <v>6.8092345078974617E-2</v>
      </c>
      <c r="W147">
        <v>8.7565879749242868E-30</v>
      </c>
      <c r="X147">
        <v>9.9957277826965911E-30</v>
      </c>
      <c r="Y147">
        <v>9.4174625390695151E-30</v>
      </c>
      <c r="Z147">
        <v>1.4456631090676888E-29</v>
      </c>
      <c r="AA147">
        <v>1.6810996725444266E-29</v>
      </c>
      <c r="AB147">
        <v>4.9565592310892185E-31</v>
      </c>
      <c r="AC147">
        <v>3.923942724612298E-31</v>
      </c>
      <c r="AD147">
        <v>5.8652617567889089E-30</v>
      </c>
      <c r="AE147">
        <v>5.1985559566737416E-3</v>
      </c>
      <c r="AF147">
        <v>0.20231046931407404</v>
      </c>
      <c r="AH147" t="s">
        <v>1627</v>
      </c>
    </row>
    <row r="148" spans="1:34" x14ac:dyDescent="0.25">
      <c r="A148">
        <v>0</v>
      </c>
      <c r="B148">
        <v>0</v>
      </c>
      <c r="C148">
        <v>0</v>
      </c>
      <c r="D148">
        <v>0</v>
      </c>
      <c r="E148">
        <v>0</v>
      </c>
      <c r="F148">
        <v>0</v>
      </c>
      <c r="G148">
        <v>0</v>
      </c>
      <c r="H148">
        <v>0</v>
      </c>
      <c r="I148">
        <v>0</v>
      </c>
      <c r="J148">
        <v>0</v>
      </c>
      <c r="L148">
        <v>0</v>
      </c>
      <c r="M148">
        <v>0</v>
      </c>
      <c r="N148">
        <v>0</v>
      </c>
      <c r="O148">
        <v>0</v>
      </c>
      <c r="P148">
        <v>0</v>
      </c>
      <c r="Q148">
        <v>0</v>
      </c>
      <c r="R148">
        <v>0</v>
      </c>
      <c r="S148">
        <v>0</v>
      </c>
      <c r="T148">
        <v>0</v>
      </c>
      <c r="U148">
        <v>0</v>
      </c>
      <c r="W148">
        <v>0</v>
      </c>
      <c r="X148">
        <v>0</v>
      </c>
      <c r="Y148">
        <v>0</v>
      </c>
      <c r="Z148">
        <v>0</v>
      </c>
      <c r="AA148">
        <v>0</v>
      </c>
      <c r="AB148">
        <v>0</v>
      </c>
      <c r="AC148">
        <v>0</v>
      </c>
      <c r="AD148">
        <v>0</v>
      </c>
      <c r="AE148">
        <v>0</v>
      </c>
      <c r="AF148">
        <v>0</v>
      </c>
      <c r="AH148" t="s">
        <v>1628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A8CC-8469-4528-B964-1F983B379847}">
  <sheetPr codeName="Sheet19"/>
  <dimension ref="A1:AI142"/>
  <sheetViews>
    <sheetView topLeftCell="A106" zoomScale="60" zoomScaleNormal="60" workbookViewId="0">
      <selection activeCell="K167" sqref="K167"/>
    </sheetView>
  </sheetViews>
  <sheetFormatPr defaultRowHeight="15" x14ac:dyDescent="0.25"/>
  <sheetData>
    <row r="1" spans="1:35" x14ac:dyDescent="0.25">
      <c r="A1" t="s">
        <v>1637</v>
      </c>
    </row>
    <row r="3" spans="1:35" x14ac:dyDescent="0.25">
      <c r="A3" t="s">
        <v>871</v>
      </c>
      <c r="L3" t="s">
        <v>870</v>
      </c>
      <c r="W3" t="s">
        <v>872</v>
      </c>
    </row>
    <row r="4" spans="1:35" x14ac:dyDescent="0.25">
      <c r="A4">
        <v>0</v>
      </c>
      <c r="B4">
        <v>0</v>
      </c>
      <c r="C4">
        <v>0</v>
      </c>
      <c r="D4">
        <v>0</v>
      </c>
      <c r="E4">
        <v>0</v>
      </c>
      <c r="F4">
        <v>0</v>
      </c>
      <c r="G4">
        <v>0</v>
      </c>
      <c r="H4">
        <v>0</v>
      </c>
      <c r="I4">
        <v>0</v>
      </c>
      <c r="J4">
        <v>0</v>
      </c>
      <c r="L4">
        <v>10</v>
      </c>
      <c r="M4">
        <v>10</v>
      </c>
      <c r="N4">
        <v>10</v>
      </c>
      <c r="O4">
        <v>10</v>
      </c>
      <c r="P4">
        <v>10</v>
      </c>
      <c r="Q4">
        <v>10</v>
      </c>
      <c r="R4">
        <v>10</v>
      </c>
      <c r="S4">
        <v>10</v>
      </c>
      <c r="T4">
        <v>0</v>
      </c>
      <c r="U4">
        <v>0</v>
      </c>
      <c r="W4">
        <v>0</v>
      </c>
      <c r="X4">
        <v>0</v>
      </c>
      <c r="Y4">
        <v>0</v>
      </c>
      <c r="Z4">
        <v>0</v>
      </c>
      <c r="AA4">
        <v>0</v>
      </c>
      <c r="AB4">
        <v>0</v>
      </c>
      <c r="AC4">
        <v>0</v>
      </c>
      <c r="AD4">
        <v>0</v>
      </c>
      <c r="AE4">
        <v>0</v>
      </c>
      <c r="AF4">
        <v>0</v>
      </c>
      <c r="AH4" t="s">
        <v>343</v>
      </c>
      <c r="AI4" t="s">
        <v>987</v>
      </c>
    </row>
    <row r="5" spans="1:35" x14ac:dyDescent="0.25">
      <c r="A5">
        <v>10</v>
      </c>
      <c r="B5">
        <v>10</v>
      </c>
      <c r="C5">
        <v>10</v>
      </c>
      <c r="D5">
        <v>10</v>
      </c>
      <c r="E5">
        <v>10</v>
      </c>
      <c r="F5">
        <v>10</v>
      </c>
      <c r="G5">
        <v>10</v>
      </c>
      <c r="H5">
        <v>10</v>
      </c>
      <c r="I5">
        <v>0</v>
      </c>
      <c r="J5">
        <v>0</v>
      </c>
      <c r="L5">
        <v>0</v>
      </c>
      <c r="M5">
        <v>0</v>
      </c>
      <c r="N5">
        <v>0</v>
      </c>
      <c r="O5">
        <v>0</v>
      </c>
      <c r="P5">
        <v>0</v>
      </c>
      <c r="Q5">
        <v>0</v>
      </c>
      <c r="R5">
        <v>0</v>
      </c>
      <c r="S5">
        <v>0</v>
      </c>
      <c r="T5">
        <v>0</v>
      </c>
      <c r="U5">
        <v>0</v>
      </c>
      <c r="W5">
        <v>0</v>
      </c>
      <c r="X5">
        <v>0</v>
      </c>
      <c r="Y5">
        <v>0</v>
      </c>
      <c r="Z5">
        <v>0</v>
      </c>
      <c r="AA5">
        <v>0</v>
      </c>
      <c r="AB5">
        <v>0</v>
      </c>
      <c r="AC5">
        <v>0</v>
      </c>
      <c r="AD5">
        <v>0</v>
      </c>
      <c r="AE5">
        <v>0</v>
      </c>
      <c r="AF5">
        <v>0</v>
      </c>
      <c r="AH5" t="s">
        <v>348</v>
      </c>
      <c r="AI5" t="s">
        <v>992</v>
      </c>
    </row>
    <row r="6" spans="1:35" x14ac:dyDescent="0.25">
      <c r="A6">
        <v>0</v>
      </c>
      <c r="B6">
        <v>0</v>
      </c>
      <c r="C6">
        <v>0</v>
      </c>
      <c r="D6">
        <v>0</v>
      </c>
      <c r="E6">
        <v>0</v>
      </c>
      <c r="F6">
        <v>0</v>
      </c>
      <c r="G6">
        <v>0</v>
      </c>
      <c r="H6">
        <v>0</v>
      </c>
      <c r="I6">
        <v>0</v>
      </c>
      <c r="J6">
        <v>0</v>
      </c>
      <c r="L6">
        <v>0</v>
      </c>
      <c r="M6">
        <v>0</v>
      </c>
      <c r="N6">
        <v>0</v>
      </c>
      <c r="O6">
        <v>0</v>
      </c>
      <c r="P6">
        <v>0</v>
      </c>
      <c r="Q6">
        <v>0</v>
      </c>
      <c r="R6">
        <v>0</v>
      </c>
      <c r="S6">
        <v>0</v>
      </c>
      <c r="T6">
        <v>0</v>
      </c>
      <c r="U6">
        <v>0</v>
      </c>
      <c r="W6">
        <v>10</v>
      </c>
      <c r="X6">
        <v>10</v>
      </c>
      <c r="Y6">
        <v>10</v>
      </c>
      <c r="Z6">
        <v>10</v>
      </c>
      <c r="AA6">
        <v>10</v>
      </c>
      <c r="AB6">
        <v>10</v>
      </c>
      <c r="AC6">
        <v>10</v>
      </c>
      <c r="AD6">
        <v>10</v>
      </c>
      <c r="AE6">
        <v>10</v>
      </c>
      <c r="AF6">
        <v>10</v>
      </c>
      <c r="AH6" t="s">
        <v>353</v>
      </c>
      <c r="AI6" t="s">
        <v>997</v>
      </c>
    </row>
    <row r="7" spans="1:35" x14ac:dyDescent="0.25">
      <c r="A7">
        <v>9.9999999999999929</v>
      </c>
      <c r="B7">
        <v>9.3333333333333286</v>
      </c>
      <c r="C7">
        <v>8.6666666666666767</v>
      </c>
      <c r="D7">
        <v>8.0000000000000124</v>
      </c>
      <c r="E7">
        <v>7.3333333333333535</v>
      </c>
      <c r="F7">
        <v>6.666666666666667</v>
      </c>
      <c r="G7">
        <v>5.9999999999999982</v>
      </c>
      <c r="H7">
        <v>5.333333333333333</v>
      </c>
      <c r="I7">
        <v>0</v>
      </c>
      <c r="J7">
        <v>0</v>
      </c>
      <c r="L7">
        <v>9.9999999999999982</v>
      </c>
      <c r="M7">
        <v>9.3333333333333339</v>
      </c>
      <c r="N7">
        <v>8.666666666666675</v>
      </c>
      <c r="O7">
        <v>7.9999999999999982</v>
      </c>
      <c r="P7">
        <v>7.333333333333333</v>
      </c>
      <c r="Q7">
        <v>6.666666666666667</v>
      </c>
      <c r="R7">
        <v>6</v>
      </c>
      <c r="S7">
        <v>5.3333333333333321</v>
      </c>
      <c r="T7">
        <v>0</v>
      </c>
      <c r="U7">
        <v>0</v>
      </c>
      <c r="W7">
        <v>0</v>
      </c>
      <c r="X7">
        <v>0</v>
      </c>
      <c r="Y7">
        <v>0</v>
      </c>
      <c r="Z7">
        <v>0</v>
      </c>
      <c r="AA7">
        <v>0</v>
      </c>
      <c r="AB7">
        <v>0</v>
      </c>
      <c r="AC7">
        <v>0</v>
      </c>
      <c r="AD7">
        <v>0</v>
      </c>
      <c r="AE7">
        <v>0</v>
      </c>
      <c r="AF7">
        <v>0</v>
      </c>
      <c r="AH7" t="s">
        <v>357</v>
      </c>
      <c r="AI7" t="s">
        <v>999</v>
      </c>
    </row>
    <row r="8" spans="1:35" x14ac:dyDescent="0.25">
      <c r="A8">
        <v>0</v>
      </c>
      <c r="B8">
        <v>0</v>
      </c>
      <c r="C8">
        <v>0</v>
      </c>
      <c r="D8">
        <v>0</v>
      </c>
      <c r="E8">
        <v>0</v>
      </c>
      <c r="F8">
        <v>0</v>
      </c>
      <c r="G8">
        <v>1.9999999999999978</v>
      </c>
      <c r="H8">
        <v>4</v>
      </c>
      <c r="I8">
        <v>0</v>
      </c>
      <c r="J8">
        <v>0</v>
      </c>
      <c r="L8">
        <v>-6.0584517520973707E-28</v>
      </c>
      <c r="M8">
        <v>-6.3108872417680944E-30</v>
      </c>
      <c r="N8">
        <v>0</v>
      </c>
      <c r="O8">
        <v>0</v>
      </c>
      <c r="P8">
        <v>0</v>
      </c>
      <c r="Q8">
        <v>0</v>
      </c>
      <c r="R8">
        <v>0</v>
      </c>
      <c r="S8">
        <v>0</v>
      </c>
      <c r="T8">
        <v>0</v>
      </c>
      <c r="U8">
        <v>0</v>
      </c>
      <c r="W8">
        <v>0</v>
      </c>
      <c r="X8">
        <v>0</v>
      </c>
      <c r="Y8">
        <v>0</v>
      </c>
      <c r="Z8">
        <v>0</v>
      </c>
      <c r="AA8">
        <v>0</v>
      </c>
      <c r="AB8">
        <v>0</v>
      </c>
      <c r="AC8">
        <v>0</v>
      </c>
      <c r="AD8">
        <v>0</v>
      </c>
      <c r="AE8">
        <v>0</v>
      </c>
      <c r="AF8">
        <v>0</v>
      </c>
      <c r="AH8" t="s">
        <v>361</v>
      </c>
      <c r="AI8" t="s">
        <v>1005</v>
      </c>
    </row>
    <row r="9" spans="1:35" x14ac:dyDescent="0.25">
      <c r="A9">
        <v>0</v>
      </c>
      <c r="B9">
        <v>0</v>
      </c>
      <c r="C9">
        <v>0</v>
      </c>
      <c r="D9">
        <v>0</v>
      </c>
      <c r="E9">
        <v>0</v>
      </c>
      <c r="F9">
        <v>0</v>
      </c>
      <c r="G9">
        <v>0</v>
      </c>
      <c r="H9">
        <v>0</v>
      </c>
      <c r="I9">
        <v>0</v>
      </c>
      <c r="J9">
        <v>0</v>
      </c>
      <c r="L9">
        <v>0</v>
      </c>
      <c r="M9">
        <v>0</v>
      </c>
      <c r="N9">
        <v>0</v>
      </c>
      <c r="O9">
        <v>0</v>
      </c>
      <c r="P9">
        <v>0</v>
      </c>
      <c r="Q9">
        <v>0</v>
      </c>
      <c r="R9">
        <v>0</v>
      </c>
      <c r="S9">
        <v>0</v>
      </c>
      <c r="T9">
        <v>0</v>
      </c>
      <c r="U9">
        <v>0</v>
      </c>
      <c r="W9">
        <v>0</v>
      </c>
      <c r="X9">
        <v>0</v>
      </c>
      <c r="Y9">
        <v>0</v>
      </c>
      <c r="Z9">
        <v>0</v>
      </c>
      <c r="AA9">
        <v>0</v>
      </c>
      <c r="AB9">
        <v>0</v>
      </c>
      <c r="AC9">
        <v>0</v>
      </c>
      <c r="AD9">
        <v>0</v>
      </c>
      <c r="AE9">
        <v>0</v>
      </c>
      <c r="AF9">
        <v>0</v>
      </c>
      <c r="AH9" t="s">
        <v>366</v>
      </c>
      <c r="AI9" t="s">
        <v>1009</v>
      </c>
    </row>
    <row r="10" spans="1:35" x14ac:dyDescent="0.25">
      <c r="A10">
        <v>9.9999999999999929</v>
      </c>
      <c r="B10">
        <v>9.3333333333333286</v>
      </c>
      <c r="C10">
        <v>8.6666666666666767</v>
      </c>
      <c r="D10">
        <v>8.0000000000000142</v>
      </c>
      <c r="E10">
        <v>7.3333333333333544</v>
      </c>
      <c r="F10">
        <v>6.6666666666666661</v>
      </c>
      <c r="G10">
        <v>4</v>
      </c>
      <c r="H10">
        <v>1.3333333333333333</v>
      </c>
      <c r="I10">
        <v>0</v>
      </c>
      <c r="J10">
        <v>0</v>
      </c>
      <c r="L10">
        <v>9.9999999999999964</v>
      </c>
      <c r="M10">
        <v>9.3333333333333339</v>
      </c>
      <c r="N10">
        <v>8.6666666666666732</v>
      </c>
      <c r="O10">
        <v>7.9999999999999982</v>
      </c>
      <c r="P10">
        <v>7.3333333333333339</v>
      </c>
      <c r="Q10">
        <v>6.666666666666667</v>
      </c>
      <c r="R10">
        <v>6</v>
      </c>
      <c r="S10">
        <v>5.3333333333333321</v>
      </c>
      <c r="T10">
        <v>0</v>
      </c>
      <c r="U10">
        <v>0</v>
      </c>
      <c r="W10">
        <v>10</v>
      </c>
      <c r="X10">
        <v>10</v>
      </c>
      <c r="Y10">
        <v>10</v>
      </c>
      <c r="Z10">
        <v>10</v>
      </c>
      <c r="AA10">
        <v>10</v>
      </c>
      <c r="AB10">
        <v>10</v>
      </c>
      <c r="AC10">
        <v>10</v>
      </c>
      <c r="AD10">
        <v>10</v>
      </c>
      <c r="AE10">
        <v>10</v>
      </c>
      <c r="AF10">
        <v>10</v>
      </c>
      <c r="AH10" t="s">
        <v>1015</v>
      </c>
      <c r="AI10" t="s">
        <v>1017</v>
      </c>
    </row>
    <row r="11" spans="1:35" x14ac:dyDescent="0.25">
      <c r="A11">
        <v>9.9999999999999929</v>
      </c>
      <c r="B11">
        <v>9.3333333333333286</v>
      </c>
      <c r="C11">
        <v>8.6666666666666767</v>
      </c>
      <c r="D11">
        <v>8.0000000000000142</v>
      </c>
      <c r="E11">
        <v>7.3333333333333544</v>
      </c>
      <c r="F11">
        <v>6.6666666666666661</v>
      </c>
      <c r="G11">
        <v>4</v>
      </c>
      <c r="H11">
        <v>1.3333333333333333</v>
      </c>
      <c r="I11">
        <v>0</v>
      </c>
      <c r="J11">
        <v>0</v>
      </c>
      <c r="L11">
        <v>9.9999999999999964</v>
      </c>
      <c r="M11">
        <v>9.3333333333333339</v>
      </c>
      <c r="N11">
        <v>8.6666666666666732</v>
      </c>
      <c r="O11">
        <v>7.9999999999999982</v>
      </c>
      <c r="P11">
        <v>7.3333333333333339</v>
      </c>
      <c r="Q11">
        <v>6.666666666666667</v>
      </c>
      <c r="R11">
        <v>6</v>
      </c>
      <c r="S11">
        <v>5.3333333333333321</v>
      </c>
      <c r="T11">
        <v>0</v>
      </c>
      <c r="U11">
        <v>0</v>
      </c>
      <c r="W11">
        <v>10</v>
      </c>
      <c r="X11">
        <v>10</v>
      </c>
      <c r="Y11">
        <v>10</v>
      </c>
      <c r="Z11">
        <v>10</v>
      </c>
      <c r="AA11">
        <v>10</v>
      </c>
      <c r="AB11">
        <v>10</v>
      </c>
      <c r="AC11">
        <v>10</v>
      </c>
      <c r="AD11">
        <v>10</v>
      </c>
      <c r="AE11">
        <v>10</v>
      </c>
      <c r="AF11">
        <v>10</v>
      </c>
      <c r="AH11" t="s">
        <v>1021</v>
      </c>
      <c r="AI11" t="s">
        <v>1022</v>
      </c>
    </row>
    <row r="12" spans="1:35" x14ac:dyDescent="0.25">
      <c r="A12">
        <v>0</v>
      </c>
      <c r="B12">
        <v>0</v>
      </c>
      <c r="C12">
        <v>0</v>
      </c>
      <c r="D12">
        <v>0</v>
      </c>
      <c r="E12">
        <v>0</v>
      </c>
      <c r="F12">
        <v>0</v>
      </c>
      <c r="G12">
        <v>0</v>
      </c>
      <c r="H12">
        <v>0</v>
      </c>
      <c r="I12">
        <v>0</v>
      </c>
      <c r="J12">
        <v>0</v>
      </c>
      <c r="L12">
        <v>0</v>
      </c>
      <c r="M12">
        <v>0</v>
      </c>
      <c r="N12">
        <v>0</v>
      </c>
      <c r="O12">
        <v>2.1002632740604218E-26</v>
      </c>
      <c r="P12">
        <v>1.4944180988506848E-26</v>
      </c>
      <c r="Q12">
        <v>1.4944180988506848E-26</v>
      </c>
      <c r="R12">
        <v>6.0584517520973707E-28</v>
      </c>
      <c r="S12">
        <v>-3.4331226595218434E-27</v>
      </c>
      <c r="T12">
        <v>0</v>
      </c>
      <c r="U12">
        <v>0</v>
      </c>
      <c r="W12">
        <v>0</v>
      </c>
      <c r="X12">
        <v>0</v>
      </c>
      <c r="Y12">
        <v>0</v>
      </c>
      <c r="Z12">
        <v>0</v>
      </c>
      <c r="AA12">
        <v>0</v>
      </c>
      <c r="AB12">
        <v>0</v>
      </c>
      <c r="AC12">
        <v>0</v>
      </c>
      <c r="AD12">
        <v>0</v>
      </c>
      <c r="AE12">
        <v>0</v>
      </c>
      <c r="AF12">
        <v>0</v>
      </c>
      <c r="AH12" t="s">
        <v>371</v>
      </c>
      <c r="AI12" t="s">
        <v>1027</v>
      </c>
    </row>
    <row r="13" spans="1:35" x14ac:dyDescent="0.25">
      <c r="A13">
        <v>0</v>
      </c>
      <c r="B13">
        <v>0</v>
      </c>
      <c r="C13">
        <v>0</v>
      </c>
      <c r="D13">
        <v>0</v>
      </c>
      <c r="E13">
        <v>0</v>
      </c>
      <c r="F13">
        <v>0</v>
      </c>
      <c r="G13">
        <v>0</v>
      </c>
      <c r="H13">
        <v>0</v>
      </c>
      <c r="I13">
        <v>0</v>
      </c>
      <c r="J13">
        <v>0</v>
      </c>
      <c r="L13">
        <v>0</v>
      </c>
      <c r="M13">
        <v>0</v>
      </c>
      <c r="N13">
        <v>0</v>
      </c>
      <c r="O13">
        <v>0</v>
      </c>
      <c r="P13">
        <v>0</v>
      </c>
      <c r="Q13">
        <v>0</v>
      </c>
      <c r="R13">
        <v>0</v>
      </c>
      <c r="S13">
        <v>0</v>
      </c>
      <c r="T13">
        <v>0</v>
      </c>
      <c r="U13">
        <v>0</v>
      </c>
      <c r="W13">
        <v>0</v>
      </c>
      <c r="X13">
        <v>0</v>
      </c>
      <c r="Y13">
        <v>0</v>
      </c>
      <c r="Z13">
        <v>0</v>
      </c>
      <c r="AA13">
        <v>0</v>
      </c>
      <c r="AB13">
        <v>0</v>
      </c>
      <c r="AC13">
        <v>0</v>
      </c>
      <c r="AD13">
        <v>0</v>
      </c>
      <c r="AE13">
        <v>0</v>
      </c>
      <c r="AF13">
        <v>0</v>
      </c>
      <c r="AH13" t="s">
        <v>375</v>
      </c>
      <c r="AI13" t="s">
        <v>1031</v>
      </c>
    </row>
    <row r="14" spans="1:35" x14ac:dyDescent="0.25">
      <c r="A14">
        <v>0</v>
      </c>
      <c r="B14">
        <v>0</v>
      </c>
      <c r="C14">
        <v>0</v>
      </c>
      <c r="D14">
        <v>0</v>
      </c>
      <c r="E14">
        <v>0</v>
      </c>
      <c r="F14">
        <v>0</v>
      </c>
      <c r="G14">
        <v>0</v>
      </c>
      <c r="H14">
        <v>0</v>
      </c>
      <c r="I14">
        <v>0</v>
      </c>
      <c r="J14">
        <v>0</v>
      </c>
      <c r="L14">
        <v>0</v>
      </c>
      <c r="M14">
        <v>0</v>
      </c>
      <c r="N14">
        <v>0</v>
      </c>
      <c r="O14">
        <v>2.1002632740604218E-26</v>
      </c>
      <c r="P14">
        <v>1.4944180988506848E-26</v>
      </c>
      <c r="Q14">
        <v>1.4944180988506848E-26</v>
      </c>
      <c r="R14">
        <v>6.0584517520973707E-28</v>
      </c>
      <c r="S14">
        <v>-3.4331226595218434E-27</v>
      </c>
      <c r="T14">
        <v>0</v>
      </c>
      <c r="U14">
        <v>0</v>
      </c>
      <c r="W14">
        <v>0</v>
      </c>
      <c r="X14">
        <v>0</v>
      </c>
      <c r="Y14">
        <v>0</v>
      </c>
      <c r="Z14">
        <v>0</v>
      </c>
      <c r="AA14">
        <v>0</v>
      </c>
      <c r="AB14">
        <v>0</v>
      </c>
      <c r="AC14">
        <v>0</v>
      </c>
      <c r="AD14">
        <v>0</v>
      </c>
      <c r="AE14">
        <v>0</v>
      </c>
      <c r="AF14">
        <v>0</v>
      </c>
      <c r="AH14" t="s">
        <v>380</v>
      </c>
      <c r="AI14" t="s">
        <v>1035</v>
      </c>
    </row>
    <row r="15" spans="1:35" x14ac:dyDescent="0.25">
      <c r="A15">
        <v>0</v>
      </c>
      <c r="B15">
        <v>0</v>
      </c>
      <c r="C15">
        <v>0</v>
      </c>
      <c r="D15">
        <v>0</v>
      </c>
      <c r="E15">
        <v>0</v>
      </c>
      <c r="F15">
        <v>0</v>
      </c>
      <c r="G15">
        <v>0</v>
      </c>
      <c r="H15">
        <v>0</v>
      </c>
      <c r="I15">
        <v>0</v>
      </c>
      <c r="J15">
        <v>0</v>
      </c>
      <c r="L15">
        <v>0</v>
      </c>
      <c r="M15">
        <v>0</v>
      </c>
      <c r="N15">
        <v>0</v>
      </c>
      <c r="O15">
        <v>2.1002632740604218E-26</v>
      </c>
      <c r="P15">
        <v>1.4944180988506848E-26</v>
      </c>
      <c r="Q15">
        <v>1.4944180988506848E-26</v>
      </c>
      <c r="R15">
        <v>6.0584517520973707E-28</v>
      </c>
      <c r="S15">
        <v>-3.4331226595218434E-27</v>
      </c>
      <c r="T15">
        <v>0</v>
      </c>
      <c r="U15">
        <v>0</v>
      </c>
      <c r="W15">
        <v>0</v>
      </c>
      <c r="X15">
        <v>0</v>
      </c>
      <c r="Y15">
        <v>0</v>
      </c>
      <c r="Z15">
        <v>0</v>
      </c>
      <c r="AA15">
        <v>0</v>
      </c>
      <c r="AB15">
        <v>0</v>
      </c>
      <c r="AC15">
        <v>0</v>
      </c>
      <c r="AD15">
        <v>0</v>
      </c>
      <c r="AE15">
        <v>0</v>
      </c>
      <c r="AF15">
        <v>0</v>
      </c>
      <c r="AH15" t="s">
        <v>385</v>
      </c>
      <c r="AI15" t="s">
        <v>1036</v>
      </c>
    </row>
    <row r="16" spans="1:35" x14ac:dyDescent="0.25">
      <c r="A16">
        <v>0</v>
      </c>
      <c r="B16">
        <v>0</v>
      </c>
      <c r="C16">
        <v>0</v>
      </c>
      <c r="D16">
        <v>0</v>
      </c>
      <c r="E16">
        <v>0</v>
      </c>
      <c r="F16">
        <v>0</v>
      </c>
      <c r="G16">
        <v>0</v>
      </c>
      <c r="H16">
        <v>0</v>
      </c>
      <c r="I16">
        <v>0</v>
      </c>
      <c r="J16">
        <v>0</v>
      </c>
      <c r="L16">
        <v>0</v>
      </c>
      <c r="M16">
        <v>0</v>
      </c>
      <c r="N16">
        <v>0</v>
      </c>
      <c r="O16">
        <v>2.1002632740604218E-26</v>
      </c>
      <c r="P16">
        <v>1.4944180988506848E-26</v>
      </c>
      <c r="Q16">
        <v>1.4944180988506848E-26</v>
      </c>
      <c r="R16">
        <v>6.0584517520973707E-28</v>
      </c>
      <c r="S16">
        <v>-3.4331226595218434E-27</v>
      </c>
      <c r="T16">
        <v>0</v>
      </c>
      <c r="U16">
        <v>0</v>
      </c>
      <c r="W16">
        <v>0</v>
      </c>
      <c r="X16">
        <v>0</v>
      </c>
      <c r="Y16">
        <v>0</v>
      </c>
      <c r="Z16">
        <v>0</v>
      </c>
      <c r="AA16">
        <v>0</v>
      </c>
      <c r="AB16">
        <v>0</v>
      </c>
      <c r="AC16">
        <v>0</v>
      </c>
      <c r="AD16">
        <v>0</v>
      </c>
      <c r="AE16">
        <v>0</v>
      </c>
      <c r="AF16">
        <v>0</v>
      </c>
      <c r="AH16" t="s">
        <v>390</v>
      </c>
      <c r="AI16" t="s">
        <v>1040</v>
      </c>
    </row>
    <row r="17" spans="1:35" x14ac:dyDescent="0.25">
      <c r="A17">
        <v>0</v>
      </c>
      <c r="B17">
        <v>2.3665827156630354E-30</v>
      </c>
      <c r="C17">
        <v>0</v>
      </c>
      <c r="D17">
        <v>2.3665827156630354E-30</v>
      </c>
      <c r="E17">
        <v>-7.8886090522101181E-31</v>
      </c>
      <c r="F17">
        <v>-1.1832913578315177E-30</v>
      </c>
      <c r="G17">
        <v>0</v>
      </c>
      <c r="H17">
        <v>-7.8886090522101181E-31</v>
      </c>
      <c r="I17">
        <v>0</v>
      </c>
      <c r="J17">
        <v>0</v>
      </c>
      <c r="L17">
        <v>-1.9942403683987178E-27</v>
      </c>
      <c r="M17">
        <v>9.4663308626521417E-30</v>
      </c>
      <c r="N17">
        <v>2.3665827156630354E-30</v>
      </c>
      <c r="O17">
        <v>1.5777218104420236E-30</v>
      </c>
      <c r="P17">
        <v>0</v>
      </c>
      <c r="Q17">
        <v>1.6408306828597046E-28</v>
      </c>
      <c r="R17">
        <v>7.5730646901217133E-29</v>
      </c>
      <c r="S17">
        <v>-2.5243548967072378E-29</v>
      </c>
      <c r="T17">
        <v>0</v>
      </c>
      <c r="U17">
        <v>0</v>
      </c>
      <c r="W17">
        <v>0</v>
      </c>
      <c r="X17">
        <v>0</v>
      </c>
      <c r="Y17">
        <v>0</v>
      </c>
      <c r="Z17">
        <v>0</v>
      </c>
      <c r="AA17">
        <v>0</v>
      </c>
      <c r="AB17">
        <v>1.2325951644078309E-32</v>
      </c>
      <c r="AC17">
        <v>0</v>
      </c>
      <c r="AD17">
        <v>0</v>
      </c>
      <c r="AE17">
        <v>0</v>
      </c>
      <c r="AF17">
        <v>0</v>
      </c>
      <c r="AH17" t="s">
        <v>394</v>
      </c>
      <c r="AI17" t="s">
        <v>1044</v>
      </c>
    </row>
    <row r="18" spans="1:35" x14ac:dyDescent="0.25">
      <c r="A18">
        <v>0</v>
      </c>
      <c r="B18">
        <v>0</v>
      </c>
      <c r="C18">
        <v>0</v>
      </c>
      <c r="D18">
        <v>0</v>
      </c>
      <c r="E18">
        <v>0</v>
      </c>
      <c r="F18">
        <v>0</v>
      </c>
      <c r="G18">
        <v>0</v>
      </c>
      <c r="H18">
        <v>0</v>
      </c>
      <c r="I18">
        <v>0</v>
      </c>
      <c r="J18">
        <v>0</v>
      </c>
      <c r="L18">
        <v>0</v>
      </c>
      <c r="M18">
        <v>0</v>
      </c>
      <c r="N18">
        <v>0</v>
      </c>
      <c r="O18">
        <v>0</v>
      </c>
      <c r="P18">
        <v>0</v>
      </c>
      <c r="Q18">
        <v>0</v>
      </c>
      <c r="R18">
        <v>0</v>
      </c>
      <c r="S18">
        <v>0</v>
      </c>
      <c r="T18">
        <v>0</v>
      </c>
      <c r="U18">
        <v>0</v>
      </c>
      <c r="W18">
        <v>0</v>
      </c>
      <c r="X18">
        <v>0</v>
      </c>
      <c r="Y18">
        <v>0</v>
      </c>
      <c r="Z18">
        <v>0</v>
      </c>
      <c r="AA18">
        <v>0</v>
      </c>
      <c r="AB18">
        <v>0</v>
      </c>
      <c r="AC18">
        <v>0</v>
      </c>
      <c r="AD18">
        <v>0</v>
      </c>
      <c r="AE18">
        <v>0</v>
      </c>
      <c r="AF18">
        <v>0</v>
      </c>
      <c r="AH18" t="s">
        <v>399</v>
      </c>
      <c r="AI18" t="s">
        <v>1046</v>
      </c>
    </row>
    <row r="19" spans="1:35" x14ac:dyDescent="0.25">
      <c r="A19">
        <v>0</v>
      </c>
      <c r="B19">
        <v>0</v>
      </c>
      <c r="C19">
        <v>0</v>
      </c>
      <c r="D19">
        <v>0</v>
      </c>
      <c r="E19">
        <v>0</v>
      </c>
      <c r="F19">
        <v>0</v>
      </c>
      <c r="G19">
        <v>0</v>
      </c>
      <c r="H19">
        <v>0</v>
      </c>
      <c r="I19">
        <v>0</v>
      </c>
      <c r="J19">
        <v>0</v>
      </c>
      <c r="L19">
        <v>0</v>
      </c>
      <c r="M19">
        <v>0</v>
      </c>
      <c r="N19">
        <v>0</v>
      </c>
      <c r="O19">
        <v>0</v>
      </c>
      <c r="P19">
        <v>0</v>
      </c>
      <c r="Q19">
        <v>0</v>
      </c>
      <c r="R19">
        <v>0</v>
      </c>
      <c r="S19">
        <v>0</v>
      </c>
      <c r="T19">
        <v>0</v>
      </c>
      <c r="U19">
        <v>0</v>
      </c>
      <c r="W19">
        <v>0</v>
      </c>
      <c r="X19">
        <v>0</v>
      </c>
      <c r="Y19">
        <v>0</v>
      </c>
      <c r="Z19">
        <v>0</v>
      </c>
      <c r="AA19">
        <v>0</v>
      </c>
      <c r="AB19">
        <v>0</v>
      </c>
      <c r="AC19">
        <v>0</v>
      </c>
      <c r="AD19">
        <v>0</v>
      </c>
      <c r="AE19">
        <v>0</v>
      </c>
      <c r="AF19">
        <v>0</v>
      </c>
      <c r="AH19" t="s">
        <v>409</v>
      </c>
      <c r="AI19" t="s">
        <v>1055</v>
      </c>
    </row>
    <row r="20" spans="1:35" x14ac:dyDescent="0.25">
      <c r="A20">
        <v>0</v>
      </c>
      <c r="B20">
        <v>0</v>
      </c>
      <c r="C20">
        <v>0</v>
      </c>
      <c r="D20">
        <v>0</v>
      </c>
      <c r="E20">
        <v>0</v>
      </c>
      <c r="F20">
        <v>0</v>
      </c>
      <c r="G20">
        <v>1.9999999999999978</v>
      </c>
      <c r="H20">
        <v>4</v>
      </c>
      <c r="I20">
        <v>0</v>
      </c>
      <c r="J20">
        <v>0</v>
      </c>
      <c r="L20">
        <v>0</v>
      </c>
      <c r="M20">
        <v>0</v>
      </c>
      <c r="N20">
        <v>0</v>
      </c>
      <c r="O20">
        <v>0</v>
      </c>
      <c r="P20">
        <v>0</v>
      </c>
      <c r="Q20">
        <v>0</v>
      </c>
      <c r="R20">
        <v>0</v>
      </c>
      <c r="S20">
        <v>0</v>
      </c>
      <c r="T20">
        <v>0</v>
      </c>
      <c r="U20">
        <v>0</v>
      </c>
      <c r="W20">
        <v>0</v>
      </c>
      <c r="X20">
        <v>0</v>
      </c>
      <c r="Y20">
        <v>0</v>
      </c>
      <c r="Z20">
        <v>0</v>
      </c>
      <c r="AA20">
        <v>0</v>
      </c>
      <c r="AB20">
        <v>0</v>
      </c>
      <c r="AC20">
        <v>0</v>
      </c>
      <c r="AD20">
        <v>0</v>
      </c>
      <c r="AE20">
        <v>0</v>
      </c>
      <c r="AF20">
        <v>0</v>
      </c>
      <c r="AH20" t="s">
        <v>413</v>
      </c>
      <c r="AI20" t="s">
        <v>1060</v>
      </c>
    </row>
    <row r="21" spans="1:35" x14ac:dyDescent="0.25">
      <c r="A21">
        <v>-1.7749370367472766E-30</v>
      </c>
      <c r="B21">
        <v>2.7610131682735413E-29</v>
      </c>
      <c r="C21">
        <v>7.8886090522101181E-30</v>
      </c>
      <c r="D21">
        <v>4.5359502050208179E-30</v>
      </c>
      <c r="E21">
        <v>1.8143800820083272E-29</v>
      </c>
      <c r="F21">
        <v>3.944304526105059E-30</v>
      </c>
      <c r="G21">
        <v>9.7818752247405464E-29</v>
      </c>
      <c r="H21">
        <v>5.5220263365470826E-29</v>
      </c>
      <c r="I21">
        <v>0</v>
      </c>
      <c r="J21">
        <v>0</v>
      </c>
      <c r="L21">
        <v>-1.7418048787279941E-26</v>
      </c>
      <c r="M21">
        <v>-8.8352421384753322E-28</v>
      </c>
      <c r="N21">
        <v>-7.5730646901217133E-29</v>
      </c>
      <c r="O21">
        <v>9.8146918383977405E-25</v>
      </c>
      <c r="P21">
        <v>8.2798840611997399E-25</v>
      </c>
      <c r="Q21">
        <v>1.1612032524853294E-24</v>
      </c>
      <c r="R21">
        <v>2.261821987449685E-25</v>
      </c>
      <c r="S21">
        <v>-2.685913610096501E-25</v>
      </c>
      <c r="T21">
        <v>0</v>
      </c>
      <c r="U21">
        <v>0</v>
      </c>
      <c r="W21">
        <v>0</v>
      </c>
      <c r="X21">
        <v>0</v>
      </c>
      <c r="Y21">
        <v>0</v>
      </c>
      <c r="Z21">
        <v>0</v>
      </c>
      <c r="AA21">
        <v>0</v>
      </c>
      <c r="AB21">
        <v>1.2325951644078309E-32</v>
      </c>
      <c r="AC21">
        <v>0</v>
      </c>
      <c r="AD21">
        <v>0</v>
      </c>
      <c r="AE21">
        <v>0</v>
      </c>
      <c r="AF21">
        <v>0</v>
      </c>
      <c r="AH21" t="s">
        <v>418</v>
      </c>
      <c r="AI21" t="s">
        <v>1065</v>
      </c>
    </row>
    <row r="22" spans="1:35" x14ac:dyDescent="0.25">
      <c r="A22">
        <v>-1.7749370367472766E-30</v>
      </c>
      <c r="B22">
        <v>2.7610131682735413E-29</v>
      </c>
      <c r="C22">
        <v>7.8886090522101181E-30</v>
      </c>
      <c r="D22">
        <v>4.5359502050208179E-30</v>
      </c>
      <c r="E22">
        <v>1.8143800820083272E-29</v>
      </c>
      <c r="F22">
        <v>3.944304526105059E-30</v>
      </c>
      <c r="G22">
        <v>9.7818752247405464E-29</v>
      </c>
      <c r="H22">
        <v>5.5220263365470826E-29</v>
      </c>
      <c r="I22">
        <v>0</v>
      </c>
      <c r="J22">
        <v>0</v>
      </c>
      <c r="L22">
        <v>-1.7418048787279941E-26</v>
      </c>
      <c r="M22">
        <v>-8.8352421384753322E-28</v>
      </c>
      <c r="N22">
        <v>-7.5730646901217133E-29</v>
      </c>
      <c r="O22">
        <v>9.8146918383977405E-25</v>
      </c>
      <c r="P22">
        <v>8.2798840611997399E-25</v>
      </c>
      <c r="Q22">
        <v>1.1612032524853294E-24</v>
      </c>
      <c r="R22">
        <v>2.261821987449685E-25</v>
      </c>
      <c r="S22">
        <v>-2.685913610096501E-25</v>
      </c>
      <c r="T22">
        <v>0</v>
      </c>
      <c r="U22">
        <v>0</v>
      </c>
      <c r="W22">
        <v>0</v>
      </c>
      <c r="X22">
        <v>0</v>
      </c>
      <c r="Y22">
        <v>0</v>
      </c>
      <c r="Z22">
        <v>0</v>
      </c>
      <c r="AA22">
        <v>0</v>
      </c>
      <c r="AB22">
        <v>1.2325951644078309E-32</v>
      </c>
      <c r="AC22">
        <v>0</v>
      </c>
      <c r="AD22">
        <v>0</v>
      </c>
      <c r="AE22">
        <v>0</v>
      </c>
      <c r="AF22">
        <v>0</v>
      </c>
      <c r="AH22" t="s">
        <v>423</v>
      </c>
      <c r="AI22" t="s">
        <v>1070</v>
      </c>
    </row>
    <row r="23" spans="1:35" x14ac:dyDescent="0.25">
      <c r="A23">
        <v>0</v>
      </c>
      <c r="B23">
        <v>0</v>
      </c>
      <c r="C23">
        <v>0</v>
      </c>
      <c r="D23">
        <v>0</v>
      </c>
      <c r="E23">
        <v>0</v>
      </c>
      <c r="F23">
        <v>0</v>
      </c>
      <c r="G23">
        <v>0</v>
      </c>
      <c r="H23">
        <v>0</v>
      </c>
      <c r="I23">
        <v>0</v>
      </c>
      <c r="J23">
        <v>0</v>
      </c>
      <c r="L23">
        <v>0</v>
      </c>
      <c r="M23">
        <v>0</v>
      </c>
      <c r="N23">
        <v>0</v>
      </c>
      <c r="O23">
        <v>0</v>
      </c>
      <c r="P23">
        <v>0</v>
      </c>
      <c r="Q23">
        <v>0</v>
      </c>
      <c r="R23">
        <v>0</v>
      </c>
      <c r="S23">
        <v>0</v>
      </c>
      <c r="T23">
        <v>0</v>
      </c>
      <c r="U23">
        <v>0</v>
      </c>
      <c r="W23">
        <v>0</v>
      </c>
      <c r="X23">
        <v>0</v>
      </c>
      <c r="Y23">
        <v>0</v>
      </c>
      <c r="Z23">
        <v>0</v>
      </c>
      <c r="AA23">
        <v>0</v>
      </c>
      <c r="AB23">
        <v>0</v>
      </c>
      <c r="AC23">
        <v>0</v>
      </c>
      <c r="AD23">
        <v>0</v>
      </c>
      <c r="AE23">
        <v>0</v>
      </c>
      <c r="AF23">
        <v>0</v>
      </c>
      <c r="AH23" t="s">
        <v>427</v>
      </c>
      <c r="AI23" t="s">
        <v>1075</v>
      </c>
    </row>
    <row r="24" spans="1:35" x14ac:dyDescent="0.25">
      <c r="A24">
        <v>0</v>
      </c>
      <c r="B24">
        <v>0</v>
      </c>
      <c r="C24">
        <v>0</v>
      </c>
      <c r="D24">
        <v>0</v>
      </c>
      <c r="E24">
        <v>0</v>
      </c>
      <c r="F24">
        <v>0</v>
      </c>
      <c r="G24">
        <v>0</v>
      </c>
      <c r="H24">
        <v>0</v>
      </c>
      <c r="I24">
        <v>0</v>
      </c>
      <c r="J24">
        <v>0</v>
      </c>
      <c r="L24">
        <v>0</v>
      </c>
      <c r="M24">
        <v>0</v>
      </c>
      <c r="N24">
        <v>0</v>
      </c>
      <c r="O24">
        <v>0</v>
      </c>
      <c r="P24">
        <v>0</v>
      </c>
      <c r="Q24">
        <v>0</v>
      </c>
      <c r="R24">
        <v>0</v>
      </c>
      <c r="S24">
        <v>0</v>
      </c>
      <c r="T24">
        <v>0</v>
      </c>
      <c r="U24">
        <v>0</v>
      </c>
      <c r="W24">
        <v>0</v>
      </c>
      <c r="X24">
        <v>0</v>
      </c>
      <c r="Y24">
        <v>0</v>
      </c>
      <c r="Z24">
        <v>0</v>
      </c>
      <c r="AA24">
        <v>0</v>
      </c>
      <c r="AB24">
        <v>0</v>
      </c>
      <c r="AC24">
        <v>0</v>
      </c>
      <c r="AD24">
        <v>0</v>
      </c>
      <c r="AE24">
        <v>0</v>
      </c>
      <c r="AF24">
        <v>0</v>
      </c>
      <c r="AH24" t="s">
        <v>432</v>
      </c>
      <c r="AI24" t="s">
        <v>1080</v>
      </c>
    </row>
    <row r="25" spans="1:35" x14ac:dyDescent="0.25">
      <c r="A25">
        <v>-3.1554436208840472E-30</v>
      </c>
      <c r="B25">
        <v>4.7331654313260708E-30</v>
      </c>
      <c r="C25">
        <v>-3.1554436208840472E-30</v>
      </c>
      <c r="D25">
        <v>1.5777218104420236E-30</v>
      </c>
      <c r="E25">
        <v>-1.5777218104420236E-30</v>
      </c>
      <c r="F25">
        <v>-2.3665827156630354E-30</v>
      </c>
      <c r="G25">
        <v>0</v>
      </c>
      <c r="H25">
        <v>-1.5777218104420236E-30</v>
      </c>
      <c r="I25">
        <v>0</v>
      </c>
      <c r="J25">
        <v>0</v>
      </c>
      <c r="L25">
        <v>-1.0428741167021776E-27</v>
      </c>
      <c r="M25">
        <v>-1.5146129380243427E-28</v>
      </c>
      <c r="N25">
        <v>1.5146129380243427E-28</v>
      </c>
      <c r="O25">
        <v>-1.1822058852259336E-24</v>
      </c>
      <c r="P25">
        <v>-1.0444770820615867E-24</v>
      </c>
      <c r="Q25">
        <v>-9.0149762071208876E-25</v>
      </c>
      <c r="R25">
        <v>-6.5683714412322327E-26</v>
      </c>
      <c r="S25">
        <v>-6.5481766020585748E-26</v>
      </c>
      <c r="T25">
        <v>0</v>
      </c>
      <c r="U25">
        <v>0</v>
      </c>
      <c r="W25">
        <v>0</v>
      </c>
      <c r="X25">
        <v>0</v>
      </c>
      <c r="Y25">
        <v>0</v>
      </c>
      <c r="Z25">
        <v>0</v>
      </c>
      <c r="AA25">
        <v>0</v>
      </c>
      <c r="AB25">
        <v>1.2325951644078309E-32</v>
      </c>
      <c r="AC25">
        <v>0</v>
      </c>
      <c r="AD25">
        <v>0</v>
      </c>
      <c r="AE25">
        <v>0</v>
      </c>
      <c r="AF25">
        <v>0</v>
      </c>
      <c r="AH25" t="s">
        <v>437</v>
      </c>
      <c r="AI25" t="s">
        <v>1081</v>
      </c>
    </row>
    <row r="26" spans="1:35" x14ac:dyDescent="0.25">
      <c r="A26">
        <v>-8.2896652505344412E-16</v>
      </c>
      <c r="B26">
        <v>-5.9211894646675219E-16</v>
      </c>
      <c r="C26">
        <v>1.3618735768735221E-15</v>
      </c>
      <c r="D26">
        <v>1.8947806286936017E-15</v>
      </c>
      <c r="E26">
        <v>2.9457917586720692E-15</v>
      </c>
      <c r="F26">
        <v>4.4408920985005118E-17</v>
      </c>
      <c r="G26">
        <v>-1.7763568394005203E-16</v>
      </c>
      <c r="H26">
        <v>-2.2204460492520801E-17</v>
      </c>
      <c r="I26">
        <v>0</v>
      </c>
      <c r="J26">
        <v>0</v>
      </c>
      <c r="L26">
        <v>-3.5527136788058841E-16</v>
      </c>
      <c r="M26">
        <v>-5.9211894646750536E-17</v>
      </c>
      <c r="N26">
        <v>1.2434497875802813E-15</v>
      </c>
      <c r="O26">
        <v>-2.2007087570656248E-16</v>
      </c>
      <c r="P26">
        <v>4.5395785362464505E-17</v>
      </c>
      <c r="Q26">
        <v>1.0855513972556833E-16</v>
      </c>
      <c r="R26">
        <v>1.9737298183817661E-17</v>
      </c>
      <c r="S26">
        <v>-6.6613381510012986E-17</v>
      </c>
      <c r="T26">
        <v>0</v>
      </c>
      <c r="U26">
        <v>0</v>
      </c>
      <c r="W26">
        <v>3.944304526105059E-31</v>
      </c>
      <c r="X26">
        <v>3.944304526105059E-31</v>
      </c>
      <c r="Y26">
        <v>-1.9721522630525295E-31</v>
      </c>
      <c r="Z26">
        <v>-1.9721522630525295E-31</v>
      </c>
      <c r="AA26">
        <v>3.944304526105059E-31</v>
      </c>
      <c r="AB26">
        <v>5.9164567891575885E-31</v>
      </c>
      <c r="AC26">
        <v>2.2204460492503131E-16</v>
      </c>
      <c r="AD26">
        <v>2.220446049250317E-16</v>
      </c>
      <c r="AE26">
        <v>2.2204460492503151E-16</v>
      </c>
      <c r="AF26">
        <v>2.2204460492503151E-16</v>
      </c>
      <c r="AH26" t="s">
        <v>442</v>
      </c>
      <c r="AI26" t="s">
        <v>1086</v>
      </c>
    </row>
    <row r="27" spans="1:35" x14ac:dyDescent="0.25">
      <c r="A27">
        <v>8.2896652505344096E-16</v>
      </c>
      <c r="B27">
        <v>5.9211894646675693E-16</v>
      </c>
      <c r="C27">
        <v>-1.3618735768735253E-15</v>
      </c>
      <c r="D27">
        <v>-1.8947806286936001E-15</v>
      </c>
      <c r="E27">
        <v>-2.9457917586720708E-15</v>
      </c>
      <c r="F27">
        <v>-4.4408920985007484E-17</v>
      </c>
      <c r="G27">
        <v>1.7763568394005203E-16</v>
      </c>
      <c r="H27">
        <v>2.2204460492519224E-17</v>
      </c>
      <c r="I27">
        <v>0</v>
      </c>
      <c r="J27">
        <v>0</v>
      </c>
      <c r="L27">
        <v>3.5527136787954554E-16</v>
      </c>
      <c r="M27">
        <v>5.9211894646599074E-17</v>
      </c>
      <c r="N27">
        <v>-1.2434497875801299E-15</v>
      </c>
      <c r="O27">
        <v>2.200708745243566E-16</v>
      </c>
      <c r="P27">
        <v>-4.5395786406941587E-17</v>
      </c>
      <c r="Q27">
        <v>-1.0855514062706595E-16</v>
      </c>
      <c r="R27">
        <v>-1.9737298249501375E-17</v>
      </c>
      <c r="S27">
        <v>6.661338144453122E-17</v>
      </c>
      <c r="T27">
        <v>0</v>
      </c>
      <c r="U27">
        <v>0</v>
      </c>
      <c r="W27">
        <v>-3.944304526105059E-31</v>
      </c>
      <c r="X27">
        <v>-3.944304526105059E-31</v>
      </c>
      <c r="Y27">
        <v>1.9721522630525295E-31</v>
      </c>
      <c r="Z27">
        <v>1.9721522630525295E-31</v>
      </c>
      <c r="AA27">
        <v>-3.944304526105059E-31</v>
      </c>
      <c r="AB27">
        <v>-5.9164567891575885E-31</v>
      </c>
      <c r="AC27">
        <v>-2.2204460492503131E-16</v>
      </c>
      <c r="AD27">
        <v>-2.220446049250317E-16</v>
      </c>
      <c r="AE27">
        <v>-2.2204460492503151E-16</v>
      </c>
      <c r="AF27">
        <v>-2.2204460492503151E-16</v>
      </c>
      <c r="AH27" t="s">
        <v>447</v>
      </c>
      <c r="AI27" t="s">
        <v>1090</v>
      </c>
    </row>
    <row r="28" spans="1:35" x14ac:dyDescent="0.25">
      <c r="A28">
        <v>-5.0000000000000009</v>
      </c>
      <c r="B28">
        <v>-4.6666666666666679</v>
      </c>
      <c r="C28">
        <v>-4.3333333333333304</v>
      </c>
      <c r="D28">
        <v>-3.9999999999999964</v>
      </c>
      <c r="E28">
        <v>-3.6666666666666616</v>
      </c>
      <c r="F28">
        <v>-3.3333333333333335</v>
      </c>
      <c r="G28">
        <v>-2.0000000000000018</v>
      </c>
      <c r="H28">
        <v>-0.66666666666666674</v>
      </c>
      <c r="I28">
        <v>0</v>
      </c>
      <c r="J28">
        <v>0</v>
      </c>
      <c r="L28">
        <v>-4.9999999999999991</v>
      </c>
      <c r="M28">
        <v>-4.666666666666667</v>
      </c>
      <c r="N28">
        <v>-4.3333333333333313</v>
      </c>
      <c r="O28">
        <v>-4.0000000000000009</v>
      </c>
      <c r="P28">
        <v>-3.6666666666666665</v>
      </c>
      <c r="Q28">
        <v>-3.3333333333333335</v>
      </c>
      <c r="R28">
        <v>-3</v>
      </c>
      <c r="S28">
        <v>-2.666666666666667</v>
      </c>
      <c r="T28">
        <v>0</v>
      </c>
      <c r="U28">
        <v>0</v>
      </c>
      <c r="W28">
        <v>-5</v>
      </c>
      <c r="X28">
        <v>-4.5</v>
      </c>
      <c r="Y28">
        <v>-4</v>
      </c>
      <c r="Z28">
        <v>-3.5</v>
      </c>
      <c r="AA28">
        <v>-3</v>
      </c>
      <c r="AB28">
        <v>-2.5</v>
      </c>
      <c r="AC28">
        <v>-2</v>
      </c>
      <c r="AD28">
        <v>-1.5</v>
      </c>
      <c r="AE28">
        <v>-1</v>
      </c>
      <c r="AF28">
        <v>-0.5</v>
      </c>
      <c r="AH28" t="s">
        <v>457</v>
      </c>
      <c r="AI28" t="s">
        <v>1101</v>
      </c>
    </row>
    <row r="29" spans="1:35" x14ac:dyDescent="0.25">
      <c r="A29">
        <v>-1.7749370367472766E-30</v>
      </c>
      <c r="B29">
        <v>2.7610131682735413E-29</v>
      </c>
      <c r="C29">
        <v>7.8886090522101181E-30</v>
      </c>
      <c r="D29">
        <v>4.5359502050208179E-30</v>
      </c>
      <c r="E29">
        <v>1.8143800820083272E-29</v>
      </c>
      <c r="F29">
        <v>3.944304526105059E-30</v>
      </c>
      <c r="G29">
        <v>9.7818752247405464E-29</v>
      </c>
      <c r="H29">
        <v>5.5220263365470826E-29</v>
      </c>
      <c r="I29">
        <v>0</v>
      </c>
      <c r="J29">
        <v>0</v>
      </c>
      <c r="L29">
        <v>-1.7418048787279941E-26</v>
      </c>
      <c r="M29">
        <v>-8.8352421384753322E-28</v>
      </c>
      <c r="N29">
        <v>-7.5730646901217133E-29</v>
      </c>
      <c r="O29">
        <v>9.8146918383977405E-25</v>
      </c>
      <c r="P29">
        <v>8.2798840611997399E-25</v>
      </c>
      <c r="Q29">
        <v>1.1612032524853294E-24</v>
      </c>
      <c r="R29">
        <v>2.261821987449685E-25</v>
      </c>
      <c r="S29">
        <v>-2.685913610096501E-25</v>
      </c>
      <c r="T29">
        <v>0</v>
      </c>
      <c r="U29">
        <v>0</v>
      </c>
      <c r="W29">
        <v>0</v>
      </c>
      <c r="X29">
        <v>0</v>
      </c>
      <c r="Y29">
        <v>0</v>
      </c>
      <c r="Z29">
        <v>0</v>
      </c>
      <c r="AA29">
        <v>0</v>
      </c>
      <c r="AB29">
        <v>1.2325951644078309E-32</v>
      </c>
      <c r="AC29">
        <v>0</v>
      </c>
      <c r="AD29">
        <v>0</v>
      </c>
      <c r="AE29">
        <v>0</v>
      </c>
      <c r="AF29">
        <v>0</v>
      </c>
      <c r="AH29" t="s">
        <v>462</v>
      </c>
      <c r="AI29" t="s">
        <v>1105</v>
      </c>
    </row>
    <row r="30" spans="1:35" x14ac:dyDescent="0.25">
      <c r="A30">
        <v>-1.7749370367472766E-30</v>
      </c>
      <c r="B30">
        <v>2.7610131682735413E-29</v>
      </c>
      <c r="C30">
        <v>7.8886090522101181E-30</v>
      </c>
      <c r="D30">
        <v>4.5359502050208179E-30</v>
      </c>
      <c r="E30">
        <v>1.8143800820083272E-29</v>
      </c>
      <c r="F30">
        <v>3.944304526105059E-30</v>
      </c>
      <c r="G30">
        <v>9.7818752247405464E-29</v>
      </c>
      <c r="H30">
        <v>5.5220263365470826E-29</v>
      </c>
      <c r="I30">
        <v>0</v>
      </c>
      <c r="J30">
        <v>0</v>
      </c>
      <c r="L30">
        <v>-1.7418048787279941E-26</v>
      </c>
      <c r="M30">
        <v>-8.8352421384753322E-28</v>
      </c>
      <c r="N30">
        <v>-7.5730646901217133E-29</v>
      </c>
      <c r="O30">
        <v>9.8146918383977405E-25</v>
      </c>
      <c r="P30">
        <v>8.2798840611997399E-25</v>
      </c>
      <c r="Q30">
        <v>1.1612032524853294E-24</v>
      </c>
      <c r="R30">
        <v>2.261821987449685E-25</v>
      </c>
      <c r="S30">
        <v>-2.685913610096501E-25</v>
      </c>
      <c r="T30">
        <v>0</v>
      </c>
      <c r="U30">
        <v>0</v>
      </c>
      <c r="W30">
        <v>0</v>
      </c>
      <c r="X30">
        <v>0</v>
      </c>
      <c r="Y30">
        <v>0</v>
      </c>
      <c r="Z30">
        <v>0</v>
      </c>
      <c r="AA30">
        <v>0</v>
      </c>
      <c r="AB30">
        <v>1.2325951644078309E-32</v>
      </c>
      <c r="AC30">
        <v>0</v>
      </c>
      <c r="AD30">
        <v>0</v>
      </c>
      <c r="AE30">
        <v>0</v>
      </c>
      <c r="AF30">
        <v>0</v>
      </c>
      <c r="AH30" t="s">
        <v>466</v>
      </c>
      <c r="AI30" t="s">
        <v>1111</v>
      </c>
    </row>
    <row r="31" spans="1:35" x14ac:dyDescent="0.25">
      <c r="A31">
        <v>0</v>
      </c>
      <c r="B31">
        <v>0</v>
      </c>
      <c r="C31">
        <v>0</v>
      </c>
      <c r="D31">
        <v>0</v>
      </c>
      <c r="E31">
        <v>0</v>
      </c>
      <c r="F31">
        <v>0</v>
      </c>
      <c r="G31">
        <v>0</v>
      </c>
      <c r="H31">
        <v>0</v>
      </c>
      <c r="I31">
        <v>0</v>
      </c>
      <c r="J31">
        <v>0</v>
      </c>
      <c r="L31">
        <v>0</v>
      </c>
      <c r="M31">
        <v>0</v>
      </c>
      <c r="N31">
        <v>0</v>
      </c>
      <c r="O31">
        <v>0</v>
      </c>
      <c r="P31">
        <v>0</v>
      </c>
      <c r="Q31">
        <v>0</v>
      </c>
      <c r="R31">
        <v>0</v>
      </c>
      <c r="S31">
        <v>0</v>
      </c>
      <c r="T31">
        <v>0</v>
      </c>
      <c r="U31">
        <v>0</v>
      </c>
      <c r="W31">
        <v>0</v>
      </c>
      <c r="X31">
        <v>0</v>
      </c>
      <c r="Y31">
        <v>0</v>
      </c>
      <c r="Z31">
        <v>0</v>
      </c>
      <c r="AA31">
        <v>0</v>
      </c>
      <c r="AB31">
        <v>0</v>
      </c>
      <c r="AC31">
        <v>0</v>
      </c>
      <c r="AD31">
        <v>0</v>
      </c>
      <c r="AE31">
        <v>0</v>
      </c>
      <c r="AF31">
        <v>0</v>
      </c>
      <c r="AH31" t="s">
        <v>518</v>
      </c>
      <c r="AI31" t="s">
        <v>1167</v>
      </c>
    </row>
    <row r="32" spans="1:35" x14ac:dyDescent="0.25">
      <c r="A32">
        <v>5.0000000000000009</v>
      </c>
      <c r="B32">
        <v>4.6666666666666679</v>
      </c>
      <c r="C32">
        <v>4.3333333333333304</v>
      </c>
      <c r="D32">
        <v>3.9999999999999964</v>
      </c>
      <c r="E32">
        <v>3.6666666666666616</v>
      </c>
      <c r="F32">
        <v>3.3333333333333335</v>
      </c>
      <c r="G32">
        <v>2.0000000000000018</v>
      </c>
      <c r="H32">
        <v>0.66666666666666674</v>
      </c>
      <c r="I32">
        <v>0</v>
      </c>
      <c r="J32">
        <v>0</v>
      </c>
      <c r="L32">
        <v>4.9999999999999991</v>
      </c>
      <c r="M32">
        <v>4.666666666666667</v>
      </c>
      <c r="N32">
        <v>4.3333333333333313</v>
      </c>
      <c r="O32">
        <v>4.0000000000000009</v>
      </c>
      <c r="P32">
        <v>3.6666666666666665</v>
      </c>
      <c r="Q32">
        <v>3.3333333333333335</v>
      </c>
      <c r="R32">
        <v>3</v>
      </c>
      <c r="S32">
        <v>2.666666666666667</v>
      </c>
      <c r="T32">
        <v>0</v>
      </c>
      <c r="U32">
        <v>0</v>
      </c>
      <c r="W32">
        <v>5</v>
      </c>
      <c r="X32">
        <v>4.5</v>
      </c>
      <c r="Y32">
        <v>4</v>
      </c>
      <c r="Z32">
        <v>3.5</v>
      </c>
      <c r="AA32">
        <v>3</v>
      </c>
      <c r="AB32">
        <v>2.5</v>
      </c>
      <c r="AC32">
        <v>2</v>
      </c>
      <c r="AD32">
        <v>1.5</v>
      </c>
      <c r="AE32">
        <v>1</v>
      </c>
      <c r="AF32">
        <v>0.5</v>
      </c>
      <c r="AH32" t="s">
        <v>521</v>
      </c>
      <c r="AI32" t="s">
        <v>1172</v>
      </c>
    </row>
    <row r="33" spans="1:35" x14ac:dyDescent="0.25">
      <c r="A33">
        <v>5.0000000000000009</v>
      </c>
      <c r="B33">
        <v>4.6666666666666679</v>
      </c>
      <c r="C33">
        <v>4.3333333333333304</v>
      </c>
      <c r="D33">
        <v>3.9999999999999964</v>
      </c>
      <c r="E33">
        <v>3.6666666666666616</v>
      </c>
      <c r="F33">
        <v>3.3333333333333335</v>
      </c>
      <c r="G33">
        <v>2.0000000000000018</v>
      </c>
      <c r="H33">
        <v>0.66666666666666674</v>
      </c>
      <c r="I33">
        <v>0</v>
      </c>
      <c r="J33">
        <v>0</v>
      </c>
      <c r="L33">
        <v>4.9999999999999991</v>
      </c>
      <c r="M33">
        <v>4.666666666666667</v>
      </c>
      <c r="N33">
        <v>4.3333333333333313</v>
      </c>
      <c r="O33">
        <v>4.0000000000000009</v>
      </c>
      <c r="P33">
        <v>3.6666666666666665</v>
      </c>
      <c r="Q33">
        <v>3.3333333333333335</v>
      </c>
      <c r="R33">
        <v>3</v>
      </c>
      <c r="S33">
        <v>2.666666666666667</v>
      </c>
      <c r="T33">
        <v>0</v>
      </c>
      <c r="U33">
        <v>0</v>
      </c>
      <c r="W33">
        <v>5</v>
      </c>
      <c r="X33">
        <v>4.5</v>
      </c>
      <c r="Y33">
        <v>4</v>
      </c>
      <c r="Z33">
        <v>3.5</v>
      </c>
      <c r="AA33">
        <v>3</v>
      </c>
      <c r="AB33">
        <v>2.5</v>
      </c>
      <c r="AC33">
        <v>2</v>
      </c>
      <c r="AD33">
        <v>1.5</v>
      </c>
      <c r="AE33">
        <v>1</v>
      </c>
      <c r="AF33">
        <v>0.5</v>
      </c>
      <c r="AH33" t="s">
        <v>525</v>
      </c>
      <c r="AI33" t="s">
        <v>1176</v>
      </c>
    </row>
    <row r="34" spans="1:35" x14ac:dyDescent="0.25">
      <c r="A34">
        <v>0</v>
      </c>
      <c r="B34">
        <v>0</v>
      </c>
      <c r="C34">
        <v>0</v>
      </c>
      <c r="D34">
        <v>0</v>
      </c>
      <c r="E34">
        <v>0</v>
      </c>
      <c r="F34">
        <v>0</v>
      </c>
      <c r="G34">
        <v>0</v>
      </c>
      <c r="H34">
        <v>0</v>
      </c>
      <c r="I34">
        <v>0</v>
      </c>
      <c r="J34">
        <v>0</v>
      </c>
      <c r="L34">
        <v>0</v>
      </c>
      <c r="M34">
        <v>0</v>
      </c>
      <c r="N34">
        <v>0</v>
      </c>
      <c r="O34">
        <v>0</v>
      </c>
      <c r="P34">
        <v>0</v>
      </c>
      <c r="Q34">
        <v>0</v>
      </c>
      <c r="R34">
        <v>0</v>
      </c>
      <c r="S34">
        <v>0</v>
      </c>
      <c r="T34">
        <v>0</v>
      </c>
      <c r="U34">
        <v>0</v>
      </c>
      <c r="W34">
        <v>0</v>
      </c>
      <c r="X34">
        <v>0</v>
      </c>
      <c r="Y34">
        <v>0</v>
      </c>
      <c r="Z34">
        <v>0</v>
      </c>
      <c r="AA34">
        <v>0</v>
      </c>
      <c r="AB34">
        <v>0</v>
      </c>
      <c r="AC34">
        <v>0</v>
      </c>
      <c r="AD34">
        <v>0</v>
      </c>
      <c r="AE34">
        <v>0</v>
      </c>
      <c r="AF34">
        <v>0</v>
      </c>
      <c r="AH34" t="s">
        <v>529</v>
      </c>
      <c r="AI34" t="s">
        <v>1181</v>
      </c>
    </row>
    <row r="35" spans="1:35" x14ac:dyDescent="0.25">
      <c r="A35">
        <v>5.0000000000000009</v>
      </c>
      <c r="B35">
        <v>4.6666666666666679</v>
      </c>
      <c r="C35">
        <v>4.3333333333333304</v>
      </c>
      <c r="D35">
        <v>3.9999999999999964</v>
      </c>
      <c r="E35">
        <v>3.6666666666666616</v>
      </c>
      <c r="F35">
        <v>3.3333333333333335</v>
      </c>
      <c r="G35">
        <v>2.0000000000000018</v>
      </c>
      <c r="H35">
        <v>0.66666666666666674</v>
      </c>
      <c r="I35">
        <v>0</v>
      </c>
      <c r="J35">
        <v>0</v>
      </c>
      <c r="L35">
        <v>4.9999999999999991</v>
      </c>
      <c r="M35">
        <v>4.666666666666667</v>
      </c>
      <c r="N35">
        <v>4.3333333333333313</v>
      </c>
      <c r="O35">
        <v>4.0000000000000009</v>
      </c>
      <c r="P35">
        <v>3.6666666666666665</v>
      </c>
      <c r="Q35">
        <v>3.3333333333333335</v>
      </c>
      <c r="R35">
        <v>3</v>
      </c>
      <c r="S35">
        <v>2.666666666666667</v>
      </c>
      <c r="T35">
        <v>0</v>
      </c>
      <c r="U35">
        <v>0</v>
      </c>
      <c r="W35">
        <v>5</v>
      </c>
      <c r="X35">
        <v>4.5</v>
      </c>
      <c r="Y35">
        <v>4</v>
      </c>
      <c r="Z35">
        <v>3.5</v>
      </c>
      <c r="AA35">
        <v>3</v>
      </c>
      <c r="AB35">
        <v>2.5</v>
      </c>
      <c r="AC35">
        <v>2</v>
      </c>
      <c r="AD35">
        <v>1.5</v>
      </c>
      <c r="AE35">
        <v>1</v>
      </c>
      <c r="AF35">
        <v>0.5</v>
      </c>
      <c r="AH35" t="s">
        <v>533</v>
      </c>
      <c r="AI35" t="s">
        <v>1185</v>
      </c>
    </row>
    <row r="36" spans="1:35" x14ac:dyDescent="0.25">
      <c r="A36">
        <v>5.0000000000000009</v>
      </c>
      <c r="B36">
        <v>4.6666666666666679</v>
      </c>
      <c r="C36">
        <v>4.3333333333333304</v>
      </c>
      <c r="D36">
        <v>3.9999999999999964</v>
      </c>
      <c r="E36">
        <v>3.6666666666666616</v>
      </c>
      <c r="F36">
        <v>3.3333333333333335</v>
      </c>
      <c r="G36">
        <v>2.0000000000000018</v>
      </c>
      <c r="H36">
        <v>0.66666666666666674</v>
      </c>
      <c r="I36">
        <v>0</v>
      </c>
      <c r="J36">
        <v>0</v>
      </c>
      <c r="L36">
        <v>4.9999999999999991</v>
      </c>
      <c r="M36">
        <v>4.666666666666667</v>
      </c>
      <c r="N36">
        <v>4.3333333333333313</v>
      </c>
      <c r="O36">
        <v>4.0000000000000009</v>
      </c>
      <c r="P36">
        <v>3.6666666666666665</v>
      </c>
      <c r="Q36">
        <v>3.3333333333333335</v>
      </c>
      <c r="R36">
        <v>3</v>
      </c>
      <c r="S36">
        <v>2.666666666666667</v>
      </c>
      <c r="T36">
        <v>0</v>
      </c>
      <c r="U36">
        <v>0</v>
      </c>
      <c r="W36">
        <v>5</v>
      </c>
      <c r="X36">
        <v>4.5</v>
      </c>
      <c r="Y36">
        <v>4</v>
      </c>
      <c r="Z36">
        <v>3.5</v>
      </c>
      <c r="AA36">
        <v>3</v>
      </c>
      <c r="AB36">
        <v>2.5</v>
      </c>
      <c r="AC36">
        <v>2</v>
      </c>
      <c r="AD36">
        <v>1.5</v>
      </c>
      <c r="AE36">
        <v>1</v>
      </c>
      <c r="AF36">
        <v>0.5</v>
      </c>
      <c r="AH36" t="s">
        <v>538</v>
      </c>
      <c r="AI36" t="s">
        <v>1189</v>
      </c>
    </row>
    <row r="37" spans="1:35" x14ac:dyDescent="0.25">
      <c r="A37">
        <v>5.0000000000000009</v>
      </c>
      <c r="B37">
        <v>4.6666666666666679</v>
      </c>
      <c r="C37">
        <v>4.3333333333333304</v>
      </c>
      <c r="D37">
        <v>3.9999999999999964</v>
      </c>
      <c r="E37">
        <v>3.6666666666666616</v>
      </c>
      <c r="F37">
        <v>3.3333333333333335</v>
      </c>
      <c r="G37">
        <v>2.0000000000000018</v>
      </c>
      <c r="H37">
        <v>0.66666666666666674</v>
      </c>
      <c r="I37">
        <v>0</v>
      </c>
      <c r="J37">
        <v>0</v>
      </c>
      <c r="L37">
        <v>4.9999999999999991</v>
      </c>
      <c r="M37">
        <v>4.666666666666667</v>
      </c>
      <c r="N37">
        <v>4.3333333333333313</v>
      </c>
      <c r="O37">
        <v>4.0000000000000009</v>
      </c>
      <c r="P37">
        <v>3.6666666666666665</v>
      </c>
      <c r="Q37">
        <v>3.3333333333333335</v>
      </c>
      <c r="R37">
        <v>3</v>
      </c>
      <c r="S37">
        <v>2.666666666666667</v>
      </c>
      <c r="T37">
        <v>0</v>
      </c>
      <c r="U37">
        <v>0</v>
      </c>
      <c r="W37">
        <v>5</v>
      </c>
      <c r="X37">
        <v>4.5</v>
      </c>
      <c r="Y37">
        <v>4</v>
      </c>
      <c r="Z37">
        <v>3.5</v>
      </c>
      <c r="AA37">
        <v>3</v>
      </c>
      <c r="AB37">
        <v>2.5</v>
      </c>
      <c r="AC37">
        <v>2</v>
      </c>
      <c r="AD37">
        <v>1.5</v>
      </c>
      <c r="AE37">
        <v>1</v>
      </c>
      <c r="AF37">
        <v>0.5</v>
      </c>
      <c r="AH37" t="s">
        <v>543</v>
      </c>
      <c r="AI37" t="s">
        <v>1193</v>
      </c>
    </row>
    <row r="38" spans="1:35" x14ac:dyDescent="0.25">
      <c r="A38">
        <v>5.0000000000000009</v>
      </c>
      <c r="B38">
        <v>4.6666666666666679</v>
      </c>
      <c r="C38">
        <v>4.3333333333333304</v>
      </c>
      <c r="D38">
        <v>3.9999999999999964</v>
      </c>
      <c r="E38">
        <v>3.6666666666666616</v>
      </c>
      <c r="F38">
        <v>3.3333333333333335</v>
      </c>
      <c r="G38">
        <v>2.0000000000000018</v>
      </c>
      <c r="H38">
        <v>0.66666666666666674</v>
      </c>
      <c r="I38">
        <v>0</v>
      </c>
      <c r="J38">
        <v>0</v>
      </c>
      <c r="L38">
        <v>4.9999999999999991</v>
      </c>
      <c r="M38">
        <v>4.666666666666667</v>
      </c>
      <c r="N38">
        <v>4.3333333333333313</v>
      </c>
      <c r="O38">
        <v>4.0000000000000009</v>
      </c>
      <c r="P38">
        <v>3.6666666666666665</v>
      </c>
      <c r="Q38">
        <v>3.3333333333333335</v>
      </c>
      <c r="R38">
        <v>3</v>
      </c>
      <c r="S38">
        <v>2.666666666666667</v>
      </c>
      <c r="T38">
        <v>0</v>
      </c>
      <c r="U38">
        <v>0</v>
      </c>
      <c r="W38">
        <v>5</v>
      </c>
      <c r="X38">
        <v>4.5</v>
      </c>
      <c r="Y38">
        <v>4</v>
      </c>
      <c r="Z38">
        <v>3.5</v>
      </c>
      <c r="AA38">
        <v>3</v>
      </c>
      <c r="AB38">
        <v>2.5</v>
      </c>
      <c r="AC38">
        <v>2</v>
      </c>
      <c r="AD38">
        <v>1.5</v>
      </c>
      <c r="AE38">
        <v>1</v>
      </c>
      <c r="AF38">
        <v>0.5</v>
      </c>
      <c r="AH38" t="s">
        <v>546</v>
      </c>
      <c r="AI38" t="s">
        <v>1198</v>
      </c>
    </row>
    <row r="39" spans="1:35" x14ac:dyDescent="0.25">
      <c r="A39">
        <v>5.0000000000000009</v>
      </c>
      <c r="B39">
        <v>4.6666666666666679</v>
      </c>
      <c r="C39">
        <v>4.3333333333333304</v>
      </c>
      <c r="D39">
        <v>3.9999999999999964</v>
      </c>
      <c r="E39">
        <v>3.6666666666666616</v>
      </c>
      <c r="F39">
        <v>3.3333333333333335</v>
      </c>
      <c r="G39">
        <v>2.0000000000000018</v>
      </c>
      <c r="H39">
        <v>0.66666666666666674</v>
      </c>
      <c r="I39">
        <v>0</v>
      </c>
      <c r="J39">
        <v>0</v>
      </c>
      <c r="L39">
        <v>4.9999999999999991</v>
      </c>
      <c r="M39">
        <v>4.666666666666667</v>
      </c>
      <c r="N39">
        <v>4.3333333333333313</v>
      </c>
      <c r="O39">
        <v>4.0000000000000009</v>
      </c>
      <c r="P39">
        <v>3.6666666666666665</v>
      </c>
      <c r="Q39">
        <v>3.3333333333333335</v>
      </c>
      <c r="R39">
        <v>3</v>
      </c>
      <c r="S39">
        <v>2.666666666666667</v>
      </c>
      <c r="T39">
        <v>0</v>
      </c>
      <c r="U39">
        <v>0</v>
      </c>
      <c r="W39">
        <v>5</v>
      </c>
      <c r="X39">
        <v>4.5</v>
      </c>
      <c r="Y39">
        <v>4</v>
      </c>
      <c r="Z39">
        <v>3.5</v>
      </c>
      <c r="AA39">
        <v>3</v>
      </c>
      <c r="AB39">
        <v>2.5</v>
      </c>
      <c r="AC39">
        <v>2</v>
      </c>
      <c r="AD39">
        <v>1.5</v>
      </c>
      <c r="AE39">
        <v>1</v>
      </c>
      <c r="AF39">
        <v>0.5</v>
      </c>
      <c r="AH39" t="s">
        <v>549</v>
      </c>
      <c r="AI39" t="s">
        <v>1202</v>
      </c>
    </row>
    <row r="40" spans="1:35" x14ac:dyDescent="0.25">
      <c r="A40">
        <v>0</v>
      </c>
      <c r="B40">
        <v>0</v>
      </c>
      <c r="C40">
        <v>0</v>
      </c>
      <c r="D40">
        <v>0</v>
      </c>
      <c r="E40">
        <v>0</v>
      </c>
      <c r="F40">
        <v>0</v>
      </c>
      <c r="G40">
        <v>0</v>
      </c>
      <c r="H40">
        <v>0</v>
      </c>
      <c r="I40">
        <v>0</v>
      </c>
      <c r="J40">
        <v>0</v>
      </c>
      <c r="L40">
        <v>0</v>
      </c>
      <c r="M40">
        <v>0</v>
      </c>
      <c r="N40">
        <v>0</v>
      </c>
      <c r="O40">
        <v>0</v>
      </c>
      <c r="P40">
        <v>0</v>
      </c>
      <c r="Q40">
        <v>0</v>
      </c>
      <c r="R40">
        <v>0</v>
      </c>
      <c r="S40">
        <v>0</v>
      </c>
      <c r="T40">
        <v>0</v>
      </c>
      <c r="U40">
        <v>0</v>
      </c>
      <c r="W40">
        <v>0</v>
      </c>
      <c r="X40">
        <v>0</v>
      </c>
      <c r="Y40">
        <v>0</v>
      </c>
      <c r="Z40">
        <v>0</v>
      </c>
      <c r="AA40">
        <v>0</v>
      </c>
      <c r="AB40">
        <v>0</v>
      </c>
      <c r="AC40">
        <v>0</v>
      </c>
      <c r="AD40">
        <v>0</v>
      </c>
      <c r="AE40">
        <v>0</v>
      </c>
      <c r="AF40">
        <v>0</v>
      </c>
      <c r="AH40" t="s">
        <v>553</v>
      </c>
      <c r="AI40" t="s">
        <v>1208</v>
      </c>
    </row>
    <row r="41" spans="1:35" x14ac:dyDescent="0.25">
      <c r="A41">
        <v>1.7749370367472766E-30</v>
      </c>
      <c r="B41">
        <v>-2.7610131682735413E-29</v>
      </c>
      <c r="C41">
        <v>-7.8886090522101181E-30</v>
      </c>
      <c r="D41">
        <v>-4.5359502050208179E-30</v>
      </c>
      <c r="E41">
        <v>-1.8143800820083272E-29</v>
      </c>
      <c r="F41">
        <v>-3.944304526105059E-30</v>
      </c>
      <c r="G41">
        <v>-9.7818752247405464E-29</v>
      </c>
      <c r="H41">
        <v>-5.5220263365470826E-29</v>
      </c>
      <c r="I41">
        <v>0</v>
      </c>
      <c r="J41">
        <v>0</v>
      </c>
      <c r="L41">
        <v>0</v>
      </c>
      <c r="M41">
        <v>0</v>
      </c>
      <c r="N41">
        <v>0</v>
      </c>
      <c r="O41">
        <v>0</v>
      </c>
      <c r="P41">
        <v>0</v>
      </c>
      <c r="Q41">
        <v>0</v>
      </c>
      <c r="R41">
        <v>0</v>
      </c>
      <c r="S41">
        <v>0</v>
      </c>
      <c r="T41">
        <v>0</v>
      </c>
      <c r="U41">
        <v>0</v>
      </c>
      <c r="W41">
        <v>0</v>
      </c>
      <c r="X41">
        <v>0</v>
      </c>
      <c r="Y41">
        <v>0</v>
      </c>
      <c r="Z41">
        <v>0</v>
      </c>
      <c r="AA41">
        <v>0</v>
      </c>
      <c r="AB41">
        <v>-1.2325951644078309E-32</v>
      </c>
      <c r="AC41">
        <v>0</v>
      </c>
      <c r="AD41">
        <v>0</v>
      </c>
      <c r="AE41">
        <v>0</v>
      </c>
      <c r="AF41">
        <v>0</v>
      </c>
      <c r="AH41" t="s">
        <v>558</v>
      </c>
      <c r="AI41" t="s">
        <v>1212</v>
      </c>
    </row>
    <row r="42" spans="1:35" x14ac:dyDescent="0.25">
      <c r="A42">
        <v>0</v>
      </c>
      <c r="B42">
        <v>0</v>
      </c>
      <c r="C42">
        <v>0</v>
      </c>
      <c r="D42">
        <v>0</v>
      </c>
      <c r="E42">
        <v>0</v>
      </c>
      <c r="F42">
        <v>0</v>
      </c>
      <c r="G42">
        <v>0</v>
      </c>
      <c r="H42">
        <v>0</v>
      </c>
      <c r="I42">
        <v>0</v>
      </c>
      <c r="J42">
        <v>0</v>
      </c>
      <c r="L42">
        <v>5.0487097934144756E-29</v>
      </c>
      <c r="M42">
        <v>1.5777218104420236E-29</v>
      </c>
      <c r="N42">
        <v>4.7331654313260708E-30</v>
      </c>
      <c r="O42">
        <v>-1.6140094120821902E-27</v>
      </c>
      <c r="P42">
        <v>-1.2116903504194741E-27</v>
      </c>
      <c r="Q42">
        <v>-8.4565889039692466E-28</v>
      </c>
      <c r="R42">
        <v>1.514612938024344E-28</v>
      </c>
      <c r="S42">
        <v>-5.04870979341448E-29</v>
      </c>
      <c r="T42">
        <v>0</v>
      </c>
      <c r="U42">
        <v>0</v>
      </c>
      <c r="W42">
        <v>0</v>
      </c>
      <c r="X42">
        <v>0</v>
      </c>
      <c r="Y42">
        <v>0</v>
      </c>
      <c r="Z42">
        <v>0</v>
      </c>
      <c r="AA42">
        <v>0</v>
      </c>
      <c r="AB42">
        <v>0</v>
      </c>
      <c r="AC42">
        <v>0</v>
      </c>
      <c r="AD42">
        <v>0</v>
      </c>
      <c r="AE42">
        <v>0</v>
      </c>
      <c r="AF42">
        <v>0</v>
      </c>
      <c r="AH42" t="s">
        <v>561</v>
      </c>
      <c r="AI42" t="s">
        <v>1217</v>
      </c>
    </row>
    <row r="43" spans="1:35" x14ac:dyDescent="0.25">
      <c r="A43">
        <v>8.2896652505344274E-16</v>
      </c>
      <c r="B43">
        <v>5.9211894646672991E-16</v>
      </c>
      <c r="C43">
        <v>-1.3618735768735331E-15</v>
      </c>
      <c r="D43">
        <v>-1.8947806286936044E-15</v>
      </c>
      <c r="E43">
        <v>-2.9457917586720897E-15</v>
      </c>
      <c r="F43">
        <v>-4.4408920985011429E-17</v>
      </c>
      <c r="G43">
        <v>1.77635683939955E-16</v>
      </c>
      <c r="H43">
        <v>2.2204460492464003E-17</v>
      </c>
      <c r="I43">
        <v>0</v>
      </c>
      <c r="J43">
        <v>0</v>
      </c>
      <c r="L43">
        <v>3.5527136786980626E-16</v>
      </c>
      <c r="M43">
        <v>5.9211894646647195E-17</v>
      </c>
      <c r="N43">
        <v>-1.243449787579442E-15</v>
      </c>
      <c r="O43">
        <v>2.2007087320098879E-16</v>
      </c>
      <c r="P43">
        <v>-4.5395787570164323E-17</v>
      </c>
      <c r="Q43">
        <v>-1.0855514163559622E-16</v>
      </c>
      <c r="R43">
        <v>-1.9737298189421729E-17</v>
      </c>
      <c r="S43">
        <v>6.661338150350015E-17</v>
      </c>
      <c r="T43">
        <v>0</v>
      </c>
      <c r="U43">
        <v>0</v>
      </c>
      <c r="W43">
        <v>-3.944304526105059E-31</v>
      </c>
      <c r="X43">
        <v>-3.944304526105059E-31</v>
      </c>
      <c r="Y43">
        <v>1.9721522630525295E-31</v>
      </c>
      <c r="Z43">
        <v>1.9721522630525295E-31</v>
      </c>
      <c r="AA43">
        <v>-3.944304526105059E-31</v>
      </c>
      <c r="AB43">
        <v>-5.9164567891575885E-31</v>
      </c>
      <c r="AC43">
        <v>-2.2204460492503131E-16</v>
      </c>
      <c r="AD43">
        <v>-2.220446049250317E-16</v>
      </c>
      <c r="AE43">
        <v>-2.2204460492503151E-16</v>
      </c>
      <c r="AF43">
        <v>-2.2204460492503151E-16</v>
      </c>
      <c r="AH43" t="s">
        <v>564</v>
      </c>
      <c r="AI43" t="s">
        <v>1222</v>
      </c>
    </row>
    <row r="44" spans="1:35" x14ac:dyDescent="0.25">
      <c r="A44">
        <v>-8.2896652505344096E-16</v>
      </c>
      <c r="B44">
        <v>-5.9211894646675693E-16</v>
      </c>
      <c r="C44">
        <v>1.3618735768735253E-15</v>
      </c>
      <c r="D44">
        <v>1.8947806286936001E-15</v>
      </c>
      <c r="E44">
        <v>2.9457917586720708E-15</v>
      </c>
      <c r="F44">
        <v>4.4408920985007484E-17</v>
      </c>
      <c r="G44">
        <v>-1.7763568394005203E-16</v>
      </c>
      <c r="H44">
        <v>-2.2204460492519224E-17</v>
      </c>
      <c r="I44">
        <v>0</v>
      </c>
      <c r="J44">
        <v>0</v>
      </c>
      <c r="L44">
        <v>-3.5527136787954554E-16</v>
      </c>
      <c r="M44">
        <v>-5.9211894646599074E-17</v>
      </c>
      <c r="N44">
        <v>1.2434497875801299E-15</v>
      </c>
      <c r="O44">
        <v>-2.200708745243566E-16</v>
      </c>
      <c r="P44">
        <v>4.5395786406941587E-17</v>
      </c>
      <c r="Q44">
        <v>1.0855514062706595E-16</v>
      </c>
      <c r="R44">
        <v>1.9737298249501375E-17</v>
      </c>
      <c r="S44">
        <v>-6.661338144453122E-17</v>
      </c>
      <c r="T44">
        <v>0</v>
      </c>
      <c r="U44">
        <v>0</v>
      </c>
      <c r="W44">
        <v>0</v>
      </c>
      <c r="X44">
        <v>0</v>
      </c>
      <c r="Y44">
        <v>5.9164567891575885E-31</v>
      </c>
      <c r="Z44">
        <v>5.9164567891575885E-31</v>
      </c>
      <c r="AA44">
        <v>0</v>
      </c>
      <c r="AB44">
        <v>1.3805065841367707E-30</v>
      </c>
      <c r="AC44">
        <v>2.2204460492503249E-16</v>
      </c>
      <c r="AD44">
        <v>2.2204460492503249E-16</v>
      </c>
      <c r="AE44">
        <v>2.220446049250319E-16</v>
      </c>
      <c r="AF44">
        <v>2.220446049250319E-16</v>
      </c>
      <c r="AH44" t="s">
        <v>567</v>
      </c>
      <c r="AI44" t="s">
        <v>1227</v>
      </c>
    </row>
    <row r="45" spans="1:35" x14ac:dyDescent="0.25">
      <c r="A45">
        <v>-8.2896652505344096E-16</v>
      </c>
      <c r="B45">
        <v>-5.9211894646675693E-16</v>
      </c>
      <c r="C45">
        <v>1.3618735768735253E-15</v>
      </c>
      <c r="D45">
        <v>1.8947806286936001E-15</v>
      </c>
      <c r="E45">
        <v>2.9457917586720708E-15</v>
      </c>
      <c r="F45">
        <v>4.4408920985007484E-17</v>
      </c>
      <c r="G45">
        <v>-1.7763568394005203E-16</v>
      </c>
      <c r="H45">
        <v>-2.2204460492519224E-17</v>
      </c>
      <c r="I45">
        <v>0</v>
      </c>
      <c r="J45">
        <v>0</v>
      </c>
      <c r="L45">
        <v>-3.5527136787954554E-16</v>
      </c>
      <c r="M45">
        <v>-5.9211894646599074E-17</v>
      </c>
      <c r="N45">
        <v>1.2434497875801299E-15</v>
      </c>
      <c r="O45">
        <v>-2.200708745243566E-16</v>
      </c>
      <c r="P45">
        <v>4.5395786406941587E-17</v>
      </c>
      <c r="Q45">
        <v>1.0855514062706595E-16</v>
      </c>
      <c r="R45">
        <v>1.9737298249501375E-17</v>
      </c>
      <c r="S45">
        <v>-6.661338144453122E-17</v>
      </c>
      <c r="T45">
        <v>0</v>
      </c>
      <c r="U45">
        <v>0</v>
      </c>
      <c r="W45">
        <v>0</v>
      </c>
      <c r="X45">
        <v>0</v>
      </c>
      <c r="Y45">
        <v>5.9164567891575885E-31</v>
      </c>
      <c r="Z45">
        <v>5.9164567891575885E-31</v>
      </c>
      <c r="AA45">
        <v>0</v>
      </c>
      <c r="AB45">
        <v>1.3805065841367707E-30</v>
      </c>
      <c r="AC45">
        <v>2.2204460492503249E-16</v>
      </c>
      <c r="AD45">
        <v>2.2204460492503249E-16</v>
      </c>
      <c r="AE45">
        <v>2.220446049250319E-16</v>
      </c>
      <c r="AF45">
        <v>2.220446049250319E-16</v>
      </c>
      <c r="AH45" t="s">
        <v>570</v>
      </c>
      <c r="AI45" t="s">
        <v>1231</v>
      </c>
    </row>
    <row r="46" spans="1:35" x14ac:dyDescent="0.25">
      <c r="A46">
        <v>-8.2896652505344096E-16</v>
      </c>
      <c r="B46">
        <v>-5.9211894646675693E-16</v>
      </c>
      <c r="C46">
        <v>1.3618735768735253E-15</v>
      </c>
      <c r="D46">
        <v>1.8947806286936001E-15</v>
      </c>
      <c r="E46">
        <v>2.9457917586720708E-15</v>
      </c>
      <c r="F46">
        <v>4.4408920985007484E-17</v>
      </c>
      <c r="G46">
        <v>-1.7763568394005203E-16</v>
      </c>
      <c r="H46">
        <v>-2.2204460492519224E-17</v>
      </c>
      <c r="I46">
        <v>0</v>
      </c>
      <c r="J46">
        <v>0</v>
      </c>
      <c r="L46">
        <v>-3.5527136787954554E-16</v>
      </c>
      <c r="M46">
        <v>-5.9211894646599074E-17</v>
      </c>
      <c r="N46">
        <v>1.2434497875801299E-15</v>
      </c>
      <c r="O46">
        <v>-2.200708745243566E-16</v>
      </c>
      <c r="P46">
        <v>4.5395786406941587E-17</v>
      </c>
      <c r="Q46">
        <v>1.0855514062706595E-16</v>
      </c>
      <c r="R46">
        <v>1.9737298249501375E-17</v>
      </c>
      <c r="S46">
        <v>-6.661338144453122E-17</v>
      </c>
      <c r="T46">
        <v>0</v>
      </c>
      <c r="U46">
        <v>0</v>
      </c>
      <c r="W46">
        <v>0</v>
      </c>
      <c r="X46">
        <v>0</v>
      </c>
      <c r="Y46">
        <v>5.9164567891575885E-31</v>
      </c>
      <c r="Z46">
        <v>5.9164567891575885E-31</v>
      </c>
      <c r="AA46">
        <v>0</v>
      </c>
      <c r="AB46">
        <v>1.3805065841367707E-30</v>
      </c>
      <c r="AC46">
        <v>2.2204460492503249E-16</v>
      </c>
      <c r="AD46">
        <v>2.2204460492503249E-16</v>
      </c>
      <c r="AE46">
        <v>2.220446049250319E-16</v>
      </c>
      <c r="AF46">
        <v>2.220446049250319E-16</v>
      </c>
      <c r="AH46" t="s">
        <v>575</v>
      </c>
      <c r="AI46" t="s">
        <v>1236</v>
      </c>
    </row>
    <row r="47" spans="1:35" x14ac:dyDescent="0.25">
      <c r="A47">
        <v>8.2896652505344412E-16</v>
      </c>
      <c r="B47">
        <v>5.9211894646675219E-16</v>
      </c>
      <c r="C47">
        <v>-1.3618735768735221E-15</v>
      </c>
      <c r="D47">
        <v>-1.8947806286936013E-15</v>
      </c>
      <c r="E47">
        <v>-2.9457917586720692E-15</v>
      </c>
      <c r="F47">
        <v>-4.4408920985005118E-17</v>
      </c>
      <c r="G47">
        <v>1.7763568394005203E-16</v>
      </c>
      <c r="H47">
        <v>2.2204460492520801E-17</v>
      </c>
      <c r="I47">
        <v>0</v>
      </c>
      <c r="J47">
        <v>0</v>
      </c>
      <c r="L47">
        <v>3.5527136788058841E-16</v>
      </c>
      <c r="M47">
        <v>5.9211894646750536E-17</v>
      </c>
      <c r="N47">
        <v>-1.2434497875802813E-15</v>
      </c>
      <c r="O47">
        <v>2.2007087570656248E-16</v>
      </c>
      <c r="P47">
        <v>-4.5395785362464505E-17</v>
      </c>
      <c r="Q47">
        <v>-1.0855513972556833E-16</v>
      </c>
      <c r="R47">
        <v>-1.9737298183817661E-17</v>
      </c>
      <c r="S47">
        <v>6.6613381510012986E-17</v>
      </c>
      <c r="T47">
        <v>0</v>
      </c>
      <c r="U47">
        <v>0</v>
      </c>
      <c r="W47">
        <v>-3.944304526105059E-31</v>
      </c>
      <c r="X47">
        <v>-3.944304526105059E-31</v>
      </c>
      <c r="Y47">
        <v>1.9721522630525295E-31</v>
      </c>
      <c r="Z47">
        <v>1.9721522630525295E-31</v>
      </c>
      <c r="AA47">
        <v>-3.944304526105059E-31</v>
      </c>
      <c r="AB47">
        <v>-5.9164567891575885E-31</v>
      </c>
      <c r="AC47">
        <v>-2.2204460492503131E-16</v>
      </c>
      <c r="AD47">
        <v>-2.220446049250317E-16</v>
      </c>
      <c r="AE47">
        <v>-2.2204460492503151E-16</v>
      </c>
      <c r="AF47">
        <v>-2.2204460492503151E-16</v>
      </c>
      <c r="AH47" t="s">
        <v>578</v>
      </c>
      <c r="AI47" t="s">
        <v>1240</v>
      </c>
    </row>
    <row r="48" spans="1:35" x14ac:dyDescent="0.25">
      <c r="A48">
        <v>8.2896652505344412E-16</v>
      </c>
      <c r="B48">
        <v>5.9211894646675219E-16</v>
      </c>
      <c r="C48">
        <v>-1.3618735768735221E-15</v>
      </c>
      <c r="D48">
        <v>-1.8947806286936017E-15</v>
      </c>
      <c r="E48">
        <v>-2.9457917586720692E-15</v>
      </c>
      <c r="F48">
        <v>-4.4408920985005118E-17</v>
      </c>
      <c r="G48">
        <v>1.7763568394005203E-16</v>
      </c>
      <c r="H48">
        <v>2.2204460492520801E-17</v>
      </c>
      <c r="I48">
        <v>0</v>
      </c>
      <c r="J48">
        <v>0</v>
      </c>
      <c r="L48">
        <v>3.5527136788058841E-16</v>
      </c>
      <c r="M48">
        <v>5.9211894646750536E-17</v>
      </c>
      <c r="N48">
        <v>-1.2434497875802813E-15</v>
      </c>
      <c r="O48">
        <v>2.2007087570656248E-16</v>
      </c>
      <c r="P48">
        <v>-4.5395785362464505E-17</v>
      </c>
      <c r="Q48">
        <v>-1.0855513972556833E-16</v>
      </c>
      <c r="R48">
        <v>-1.9737298183817661E-17</v>
      </c>
      <c r="S48">
        <v>6.6613381510012986E-17</v>
      </c>
      <c r="T48">
        <v>0</v>
      </c>
      <c r="U48">
        <v>0</v>
      </c>
      <c r="W48">
        <v>-3.944304526105059E-31</v>
      </c>
      <c r="X48">
        <v>-3.944304526105059E-31</v>
      </c>
      <c r="Y48">
        <v>1.9721522630525295E-31</v>
      </c>
      <c r="Z48">
        <v>1.9721522630525295E-31</v>
      </c>
      <c r="AA48">
        <v>-3.944304526105059E-31</v>
      </c>
      <c r="AB48">
        <v>-5.9164567891575885E-31</v>
      </c>
      <c r="AC48">
        <v>-2.2204460492503131E-16</v>
      </c>
      <c r="AD48">
        <v>-2.220446049250317E-16</v>
      </c>
      <c r="AE48">
        <v>-2.2204460492503151E-16</v>
      </c>
      <c r="AF48">
        <v>-2.2204460492503151E-16</v>
      </c>
      <c r="AH48" t="s">
        <v>581</v>
      </c>
      <c r="AI48" t="s">
        <v>1244</v>
      </c>
    </row>
    <row r="49" spans="1:35" x14ac:dyDescent="0.25">
      <c r="A49">
        <v>8.2896652505344096E-16</v>
      </c>
      <c r="B49">
        <v>5.9211894646675693E-16</v>
      </c>
      <c r="C49">
        <v>-1.3618735768735253E-15</v>
      </c>
      <c r="D49">
        <v>-1.8947806286936001E-15</v>
      </c>
      <c r="E49">
        <v>-2.9457917586720708E-15</v>
      </c>
      <c r="F49">
        <v>-4.4408920985007484E-17</v>
      </c>
      <c r="G49">
        <v>1.7763568394005203E-16</v>
      </c>
      <c r="H49">
        <v>2.2204460492519224E-17</v>
      </c>
      <c r="I49">
        <v>0</v>
      </c>
      <c r="J49">
        <v>0</v>
      </c>
      <c r="L49">
        <v>3.5527136787954554E-16</v>
      </c>
      <c r="M49">
        <v>5.9211894646599074E-17</v>
      </c>
      <c r="N49">
        <v>-1.2434497875801299E-15</v>
      </c>
      <c r="O49">
        <v>2.200708745243566E-16</v>
      </c>
      <c r="P49">
        <v>-4.5395786406941587E-17</v>
      </c>
      <c r="Q49">
        <v>-1.0855514062706595E-16</v>
      </c>
      <c r="R49">
        <v>-1.9737298249501375E-17</v>
      </c>
      <c r="S49">
        <v>6.661338144453122E-17</v>
      </c>
      <c r="T49">
        <v>0</v>
      </c>
      <c r="U49">
        <v>0</v>
      </c>
      <c r="W49">
        <v>-3.944304526105059E-31</v>
      </c>
      <c r="X49">
        <v>-3.944304526105059E-31</v>
      </c>
      <c r="Y49">
        <v>1.9721522630525295E-31</v>
      </c>
      <c r="Z49">
        <v>1.9721522630525295E-31</v>
      </c>
      <c r="AA49">
        <v>-3.944304526105059E-31</v>
      </c>
      <c r="AB49">
        <v>-5.9164567891575885E-31</v>
      </c>
      <c r="AC49">
        <v>-2.2204460492503131E-16</v>
      </c>
      <c r="AD49">
        <v>-2.220446049250317E-16</v>
      </c>
      <c r="AE49">
        <v>-2.2204460492503151E-16</v>
      </c>
      <c r="AF49">
        <v>-2.2204460492503151E-16</v>
      </c>
      <c r="AH49" t="s">
        <v>585</v>
      </c>
      <c r="AI49" t="s">
        <v>1248</v>
      </c>
    </row>
    <row r="50" spans="1:35" x14ac:dyDescent="0.25">
      <c r="A50">
        <v>-8.2896652505344274E-16</v>
      </c>
      <c r="B50">
        <v>-5.9211894646672991E-16</v>
      </c>
      <c r="C50">
        <v>1.3618735768735331E-15</v>
      </c>
      <c r="D50">
        <v>1.8947806286936044E-15</v>
      </c>
      <c r="E50">
        <v>2.9457917586720897E-15</v>
      </c>
      <c r="F50">
        <v>4.4408920985011429E-17</v>
      </c>
      <c r="G50">
        <v>-1.77635683939955E-16</v>
      </c>
      <c r="H50">
        <v>-2.2204460492464003E-17</v>
      </c>
      <c r="I50">
        <v>0</v>
      </c>
      <c r="J50">
        <v>0</v>
      </c>
      <c r="L50">
        <v>-3.5527136786980626E-16</v>
      </c>
      <c r="M50">
        <v>-5.9211894646647195E-17</v>
      </c>
      <c r="N50">
        <v>1.243449787579442E-15</v>
      </c>
      <c r="O50">
        <v>-2.2007087320098879E-16</v>
      </c>
      <c r="P50">
        <v>4.5395787570164323E-17</v>
      </c>
      <c r="Q50">
        <v>1.0855514163559622E-16</v>
      </c>
      <c r="R50">
        <v>1.9737298189421729E-17</v>
      </c>
      <c r="S50">
        <v>-6.661338150350015E-17</v>
      </c>
      <c r="T50">
        <v>0</v>
      </c>
      <c r="U50">
        <v>0</v>
      </c>
      <c r="W50">
        <v>3.944304526105059E-31</v>
      </c>
      <c r="X50">
        <v>3.944304526105059E-31</v>
      </c>
      <c r="Y50">
        <v>-1.9721522630525295E-31</v>
      </c>
      <c r="Z50">
        <v>-1.9721522630525295E-31</v>
      </c>
      <c r="AA50">
        <v>3.944304526105059E-31</v>
      </c>
      <c r="AB50">
        <v>5.9164567891575885E-31</v>
      </c>
      <c r="AC50">
        <v>2.2204460492503131E-16</v>
      </c>
      <c r="AD50">
        <v>2.220446049250317E-16</v>
      </c>
      <c r="AE50">
        <v>2.2204460492503151E-16</v>
      </c>
      <c r="AF50">
        <v>2.2204460492503151E-16</v>
      </c>
      <c r="AH50" t="s">
        <v>1253</v>
      </c>
      <c r="AI50" t="s">
        <v>1255</v>
      </c>
    </row>
    <row r="51" spans="1:35" x14ac:dyDescent="0.25">
      <c r="A51">
        <v>-8.2896652505344274E-16</v>
      </c>
      <c r="B51">
        <v>-5.9211894646672991E-16</v>
      </c>
      <c r="C51">
        <v>1.3618735768735331E-15</v>
      </c>
      <c r="D51">
        <v>1.8947806286936044E-15</v>
      </c>
      <c r="E51">
        <v>2.9457917586720897E-15</v>
      </c>
      <c r="F51">
        <v>4.4408920985011429E-17</v>
      </c>
      <c r="G51">
        <v>-1.77635683939955E-16</v>
      </c>
      <c r="H51">
        <v>-2.2204460492464003E-17</v>
      </c>
      <c r="I51">
        <v>0</v>
      </c>
      <c r="J51">
        <v>0</v>
      </c>
      <c r="L51">
        <v>-3.5527136786980626E-16</v>
      </c>
      <c r="M51">
        <v>-5.9211894646647195E-17</v>
      </c>
      <c r="N51">
        <v>1.243449787579442E-15</v>
      </c>
      <c r="O51">
        <v>-2.2007087320098879E-16</v>
      </c>
      <c r="P51">
        <v>4.5395787570164323E-17</v>
      </c>
      <c r="Q51">
        <v>1.0855514163559622E-16</v>
      </c>
      <c r="R51">
        <v>1.9737298189421729E-17</v>
      </c>
      <c r="S51">
        <v>-6.661338150350015E-17</v>
      </c>
      <c r="T51">
        <v>0</v>
      </c>
      <c r="U51">
        <v>0</v>
      </c>
      <c r="W51">
        <v>3.944304526105059E-31</v>
      </c>
      <c r="X51">
        <v>3.944304526105059E-31</v>
      </c>
      <c r="Y51">
        <v>-1.9721522630525295E-31</v>
      </c>
      <c r="Z51">
        <v>-1.9721522630525295E-31</v>
      </c>
      <c r="AA51">
        <v>3.944304526105059E-31</v>
      </c>
      <c r="AB51">
        <v>5.9164567891575885E-31</v>
      </c>
      <c r="AC51">
        <v>2.2204460492503131E-16</v>
      </c>
      <c r="AD51">
        <v>2.220446049250317E-16</v>
      </c>
      <c r="AE51">
        <v>2.2204460492503151E-16</v>
      </c>
      <c r="AF51">
        <v>2.2204460492503151E-16</v>
      </c>
      <c r="AH51" t="s">
        <v>1259</v>
      </c>
      <c r="AI51" t="s">
        <v>1260</v>
      </c>
    </row>
    <row r="52" spans="1:35" x14ac:dyDescent="0.25">
      <c r="A52">
        <v>-8.2896652505344274E-16</v>
      </c>
      <c r="B52">
        <v>-5.9211894646672991E-16</v>
      </c>
      <c r="C52">
        <v>1.3618735768735331E-15</v>
      </c>
      <c r="D52">
        <v>1.8947806286936044E-15</v>
      </c>
      <c r="E52">
        <v>2.9457917586720897E-15</v>
      </c>
      <c r="F52">
        <v>4.4408920985011429E-17</v>
      </c>
      <c r="G52">
        <v>-1.77635683939955E-16</v>
      </c>
      <c r="H52">
        <v>-2.2204460492464003E-17</v>
      </c>
      <c r="I52">
        <v>0</v>
      </c>
      <c r="J52">
        <v>0</v>
      </c>
      <c r="L52">
        <v>-3.5527136786980626E-16</v>
      </c>
      <c r="M52">
        <v>-5.9211894646647195E-17</v>
      </c>
      <c r="N52">
        <v>1.243449787579442E-15</v>
      </c>
      <c r="O52">
        <v>-2.200708732753058E-16</v>
      </c>
      <c r="P52">
        <v>4.5395787505136941E-17</v>
      </c>
      <c r="Q52">
        <v>1.085551415746078E-16</v>
      </c>
      <c r="R52">
        <v>1.9737298190835368E-17</v>
      </c>
      <c r="S52">
        <v>-6.6613381498350466E-17</v>
      </c>
      <c r="T52">
        <v>0</v>
      </c>
      <c r="U52">
        <v>0</v>
      </c>
      <c r="W52">
        <v>3.944304526105059E-31</v>
      </c>
      <c r="X52">
        <v>3.944304526105059E-31</v>
      </c>
      <c r="Y52">
        <v>-1.9721522630525295E-31</v>
      </c>
      <c r="Z52">
        <v>-1.9721522630525295E-31</v>
      </c>
      <c r="AA52">
        <v>3.944304526105059E-31</v>
      </c>
      <c r="AB52">
        <v>5.9164567891575885E-31</v>
      </c>
      <c r="AC52">
        <v>2.2204460492503131E-16</v>
      </c>
      <c r="AD52">
        <v>2.220446049250317E-16</v>
      </c>
      <c r="AE52">
        <v>2.2204460492503151E-16</v>
      </c>
      <c r="AF52">
        <v>2.2204460492503151E-16</v>
      </c>
      <c r="AH52" t="s">
        <v>1264</v>
      </c>
      <c r="AI52" t="s">
        <v>1266</v>
      </c>
    </row>
    <row r="53" spans="1:35" x14ac:dyDescent="0.25">
      <c r="A53">
        <v>-8.2896652505344274E-16</v>
      </c>
      <c r="B53">
        <v>-5.9211894646672991E-16</v>
      </c>
      <c r="C53">
        <v>1.3618735768735331E-15</v>
      </c>
      <c r="D53">
        <v>1.8947806286936044E-15</v>
      </c>
      <c r="E53">
        <v>2.9457917586720897E-15</v>
      </c>
      <c r="F53">
        <v>4.4408920985011429E-17</v>
      </c>
      <c r="G53">
        <v>-1.77635683939955E-16</v>
      </c>
      <c r="H53">
        <v>-2.2204460492464003E-17</v>
      </c>
      <c r="I53">
        <v>0</v>
      </c>
      <c r="J53">
        <v>0</v>
      </c>
      <c r="L53">
        <v>-3.5527136786980626E-16</v>
      </c>
      <c r="M53">
        <v>-5.9211894646647195E-17</v>
      </c>
      <c r="N53">
        <v>1.243449787579442E-15</v>
      </c>
      <c r="O53">
        <v>-2.2007087320098879E-16</v>
      </c>
      <c r="P53">
        <v>4.5395787570164323E-17</v>
      </c>
      <c r="Q53">
        <v>1.0855514163559622E-16</v>
      </c>
      <c r="R53">
        <v>1.9737298189421729E-17</v>
      </c>
      <c r="S53">
        <v>-6.661338150350015E-17</v>
      </c>
      <c r="T53">
        <v>0</v>
      </c>
      <c r="U53">
        <v>0</v>
      </c>
      <c r="W53">
        <v>3.944304526105059E-31</v>
      </c>
      <c r="X53">
        <v>3.944304526105059E-31</v>
      </c>
      <c r="Y53">
        <v>-1.9721522630525295E-31</v>
      </c>
      <c r="Z53">
        <v>-1.9721522630525295E-31</v>
      </c>
      <c r="AA53">
        <v>3.944304526105059E-31</v>
      </c>
      <c r="AB53">
        <v>5.9164567891575885E-31</v>
      </c>
      <c r="AC53">
        <v>2.2204460492503131E-16</v>
      </c>
      <c r="AD53">
        <v>2.220446049250317E-16</v>
      </c>
      <c r="AE53">
        <v>2.2204460492503151E-16</v>
      </c>
      <c r="AF53">
        <v>2.2204460492503151E-16</v>
      </c>
      <c r="AH53" t="s">
        <v>1270</v>
      </c>
      <c r="AI53" t="s">
        <v>1271</v>
      </c>
    </row>
    <row r="54" spans="1:35" x14ac:dyDescent="0.25">
      <c r="A54">
        <v>0</v>
      </c>
      <c r="B54">
        <v>0</v>
      </c>
      <c r="C54">
        <v>0</v>
      </c>
      <c r="D54">
        <v>0</v>
      </c>
      <c r="E54">
        <v>0</v>
      </c>
      <c r="F54">
        <v>0</v>
      </c>
      <c r="G54">
        <v>0</v>
      </c>
      <c r="H54">
        <v>0</v>
      </c>
      <c r="I54">
        <v>0</v>
      </c>
      <c r="J54">
        <v>0</v>
      </c>
      <c r="L54">
        <v>0</v>
      </c>
      <c r="M54">
        <v>0</v>
      </c>
      <c r="N54">
        <v>0</v>
      </c>
      <c r="O54">
        <v>0</v>
      </c>
      <c r="P54">
        <v>0</v>
      </c>
      <c r="Q54">
        <v>0</v>
      </c>
      <c r="R54">
        <v>0</v>
      </c>
      <c r="S54">
        <v>0</v>
      </c>
      <c r="T54">
        <v>0</v>
      </c>
      <c r="U54">
        <v>0</v>
      </c>
      <c r="W54">
        <v>0</v>
      </c>
      <c r="X54">
        <v>0</v>
      </c>
      <c r="Y54">
        <v>0</v>
      </c>
      <c r="Z54">
        <v>0</v>
      </c>
      <c r="AA54">
        <v>0</v>
      </c>
      <c r="AB54">
        <v>0</v>
      </c>
      <c r="AC54">
        <v>0</v>
      </c>
      <c r="AD54">
        <v>0</v>
      </c>
      <c r="AE54">
        <v>0</v>
      </c>
      <c r="AF54">
        <v>0</v>
      </c>
      <c r="AH54" t="s">
        <v>1276</v>
      </c>
      <c r="AI54" t="s">
        <v>1278</v>
      </c>
    </row>
    <row r="55" spans="1:35" x14ac:dyDescent="0.25">
      <c r="A55">
        <v>0</v>
      </c>
      <c r="B55">
        <v>0</v>
      </c>
      <c r="C55">
        <v>0</v>
      </c>
      <c r="D55">
        <v>0</v>
      </c>
      <c r="E55">
        <v>0</v>
      </c>
      <c r="F55">
        <v>0</v>
      </c>
      <c r="G55">
        <v>0</v>
      </c>
      <c r="H55">
        <v>0</v>
      </c>
      <c r="I55">
        <v>0</v>
      </c>
      <c r="J55">
        <v>0</v>
      </c>
      <c r="L55">
        <v>0</v>
      </c>
      <c r="M55">
        <v>0</v>
      </c>
      <c r="N55">
        <v>0</v>
      </c>
      <c r="O55">
        <v>0</v>
      </c>
      <c r="P55">
        <v>0</v>
      </c>
      <c r="Q55">
        <v>0</v>
      </c>
      <c r="R55">
        <v>0</v>
      </c>
      <c r="S55">
        <v>0</v>
      </c>
      <c r="T55">
        <v>0</v>
      </c>
      <c r="U55">
        <v>0</v>
      </c>
      <c r="W55">
        <v>0</v>
      </c>
      <c r="X55">
        <v>0</v>
      </c>
      <c r="Y55">
        <v>0</v>
      </c>
      <c r="Z55">
        <v>0</v>
      </c>
      <c r="AA55">
        <v>0</v>
      </c>
      <c r="AB55">
        <v>0</v>
      </c>
      <c r="AC55">
        <v>0</v>
      </c>
      <c r="AD55">
        <v>0</v>
      </c>
      <c r="AE55">
        <v>0</v>
      </c>
      <c r="AF55">
        <v>0</v>
      </c>
      <c r="AH55" t="s">
        <v>1282</v>
      </c>
      <c r="AI55" t="s">
        <v>1283</v>
      </c>
    </row>
    <row r="56" spans="1:35" x14ac:dyDescent="0.25">
      <c r="A56">
        <v>5.0000000000000009</v>
      </c>
      <c r="B56">
        <v>4.6666666666666679</v>
      </c>
      <c r="C56">
        <v>4.3333333333333304</v>
      </c>
      <c r="D56">
        <v>3.9999999999999964</v>
      </c>
      <c r="E56">
        <v>3.6666666666666621</v>
      </c>
      <c r="F56">
        <v>3.3333333333333335</v>
      </c>
      <c r="G56">
        <v>2.0000000000000018</v>
      </c>
      <c r="H56">
        <v>0.66666666666666674</v>
      </c>
      <c r="I56">
        <v>0</v>
      </c>
      <c r="J56">
        <v>0</v>
      </c>
      <c r="L56">
        <v>4.9999999999999991</v>
      </c>
      <c r="M56">
        <v>4.666666666666667</v>
      </c>
      <c r="N56">
        <v>4.3333333333333313</v>
      </c>
      <c r="O56">
        <v>4.0000000000000009</v>
      </c>
      <c r="P56">
        <v>3.6666666666666665</v>
      </c>
      <c r="Q56">
        <v>3.3333333333333335</v>
      </c>
      <c r="R56">
        <v>3</v>
      </c>
      <c r="S56">
        <v>2.666666666666667</v>
      </c>
      <c r="T56">
        <v>0</v>
      </c>
      <c r="U56">
        <v>0</v>
      </c>
      <c r="W56">
        <v>5</v>
      </c>
      <c r="X56">
        <v>5</v>
      </c>
      <c r="Y56">
        <v>5</v>
      </c>
      <c r="Z56">
        <v>5</v>
      </c>
      <c r="AA56">
        <v>5</v>
      </c>
      <c r="AB56">
        <v>5</v>
      </c>
      <c r="AC56">
        <v>4.9999999999999982</v>
      </c>
      <c r="AD56">
        <v>4.9999999999999982</v>
      </c>
      <c r="AE56">
        <v>4.9999999999999982</v>
      </c>
      <c r="AF56">
        <v>4.9999999999999982</v>
      </c>
      <c r="AH56" t="s">
        <v>1287</v>
      </c>
      <c r="AI56" t="s">
        <v>1288</v>
      </c>
    </row>
    <row r="57" spans="1:35" x14ac:dyDescent="0.25">
      <c r="A57">
        <v>0</v>
      </c>
      <c r="B57">
        <v>0</v>
      </c>
      <c r="C57">
        <v>0</v>
      </c>
      <c r="D57">
        <v>0</v>
      </c>
      <c r="E57">
        <v>0</v>
      </c>
      <c r="F57">
        <v>0</v>
      </c>
      <c r="G57">
        <v>0</v>
      </c>
      <c r="H57">
        <v>0</v>
      </c>
      <c r="I57">
        <v>0</v>
      </c>
      <c r="J57">
        <v>0</v>
      </c>
      <c r="L57">
        <v>0</v>
      </c>
      <c r="M57">
        <v>0</v>
      </c>
      <c r="N57">
        <v>0</v>
      </c>
      <c r="O57">
        <v>0</v>
      </c>
      <c r="P57">
        <v>0</v>
      </c>
      <c r="Q57">
        <v>0</v>
      </c>
      <c r="R57">
        <v>0</v>
      </c>
      <c r="S57">
        <v>0</v>
      </c>
      <c r="T57">
        <v>0</v>
      </c>
      <c r="U57">
        <v>0</v>
      </c>
      <c r="W57">
        <v>0</v>
      </c>
      <c r="X57">
        <v>0</v>
      </c>
      <c r="Y57">
        <v>0</v>
      </c>
      <c r="Z57">
        <v>0</v>
      </c>
      <c r="AA57">
        <v>0</v>
      </c>
      <c r="AB57">
        <v>0</v>
      </c>
      <c r="AC57">
        <v>0</v>
      </c>
      <c r="AD57">
        <v>0</v>
      </c>
      <c r="AE57">
        <v>0</v>
      </c>
      <c r="AF57">
        <v>0</v>
      </c>
      <c r="AH57" t="s">
        <v>1292</v>
      </c>
      <c r="AI57" t="s">
        <v>1293</v>
      </c>
    </row>
    <row r="58" spans="1:35" x14ac:dyDescent="0.25">
      <c r="A58">
        <v>-4.9999999999999982</v>
      </c>
      <c r="B58">
        <v>-4.6666666666666652</v>
      </c>
      <c r="C58">
        <v>-4.3333333333333375</v>
      </c>
      <c r="D58">
        <v>-4.0000000000000044</v>
      </c>
      <c r="E58">
        <v>-3.6666666666666741</v>
      </c>
      <c r="F58">
        <v>-3.333333333333333</v>
      </c>
      <c r="G58">
        <v>-2.0000000000000004</v>
      </c>
      <c r="H58">
        <v>-0.66666666666666663</v>
      </c>
      <c r="I58">
        <v>0</v>
      </c>
      <c r="J58">
        <v>0</v>
      </c>
      <c r="L58">
        <v>-4.9999999999999991</v>
      </c>
      <c r="M58">
        <v>-4.666666666666667</v>
      </c>
      <c r="N58">
        <v>-4.3333333333333348</v>
      </c>
      <c r="O58">
        <v>-4</v>
      </c>
      <c r="P58">
        <v>-3.666666666666667</v>
      </c>
      <c r="Q58">
        <v>-3.3333333333333335</v>
      </c>
      <c r="R58">
        <v>-3.0000000000000004</v>
      </c>
      <c r="S58">
        <v>-2.6666666666666661</v>
      </c>
      <c r="T58">
        <v>0</v>
      </c>
      <c r="U58">
        <v>0</v>
      </c>
      <c r="W58">
        <v>-5</v>
      </c>
      <c r="X58">
        <v>-5</v>
      </c>
      <c r="Y58">
        <v>-5</v>
      </c>
      <c r="Z58">
        <v>-5</v>
      </c>
      <c r="AA58">
        <v>-5</v>
      </c>
      <c r="AB58">
        <v>-5</v>
      </c>
      <c r="AC58">
        <v>-4.9999999999999991</v>
      </c>
      <c r="AD58">
        <v>-4.9999999999999991</v>
      </c>
      <c r="AE58">
        <v>-4.9999999999999991</v>
      </c>
      <c r="AF58">
        <v>-4.9999999999999991</v>
      </c>
      <c r="AH58" t="s">
        <v>590</v>
      </c>
      <c r="AI58" t="s">
        <v>1297</v>
      </c>
    </row>
    <row r="59" spans="1:35" x14ac:dyDescent="0.25">
      <c r="A59">
        <v>-4.9999999999999982</v>
      </c>
      <c r="B59">
        <v>-4.6666666666666652</v>
      </c>
      <c r="C59">
        <v>-4.3333333333333375</v>
      </c>
      <c r="D59">
        <v>-4.0000000000000044</v>
      </c>
      <c r="E59">
        <v>-3.6666666666666741</v>
      </c>
      <c r="F59">
        <v>-3.333333333333333</v>
      </c>
      <c r="G59">
        <v>-2.0000000000000004</v>
      </c>
      <c r="H59">
        <v>-0.66666666666666663</v>
      </c>
      <c r="I59">
        <v>0</v>
      </c>
      <c r="J59">
        <v>0</v>
      </c>
      <c r="L59">
        <v>-4.9999999999999982</v>
      </c>
      <c r="M59">
        <v>-4.666666666666667</v>
      </c>
      <c r="N59">
        <v>-4.3333333333333366</v>
      </c>
      <c r="O59">
        <v>-3.9999999999999996</v>
      </c>
      <c r="P59">
        <v>-3.6666666666666665</v>
      </c>
      <c r="Q59">
        <v>-3.3333333333333339</v>
      </c>
      <c r="R59">
        <v>-3</v>
      </c>
      <c r="S59">
        <v>-2.6666666666666665</v>
      </c>
      <c r="T59">
        <v>0</v>
      </c>
      <c r="U59">
        <v>0</v>
      </c>
      <c r="W59">
        <v>-5</v>
      </c>
      <c r="X59">
        <v>-5</v>
      </c>
      <c r="Y59">
        <v>-5</v>
      </c>
      <c r="Z59">
        <v>-5</v>
      </c>
      <c r="AA59">
        <v>-5</v>
      </c>
      <c r="AB59">
        <v>-5</v>
      </c>
      <c r="AC59">
        <v>-4.9999999999999991</v>
      </c>
      <c r="AD59">
        <v>-4.9999999999999991</v>
      </c>
      <c r="AE59">
        <v>-4.9999999999999991</v>
      </c>
      <c r="AF59">
        <v>-4.9999999999999991</v>
      </c>
      <c r="AH59" t="s">
        <v>593</v>
      </c>
      <c r="AI59" t="s">
        <v>1301</v>
      </c>
    </row>
    <row r="60" spans="1:35" x14ac:dyDescent="0.25">
      <c r="A60">
        <v>-4.9999999999999947</v>
      </c>
      <c r="B60">
        <v>-4.6666666666666616</v>
      </c>
      <c r="C60">
        <v>-4.3333333333333437</v>
      </c>
      <c r="D60">
        <v>-4.0000000000000133</v>
      </c>
      <c r="E60">
        <v>-3.6666666666666861</v>
      </c>
      <c r="F60">
        <v>-3.333333333333333</v>
      </c>
      <c r="G60">
        <v>-1.9999999999999991</v>
      </c>
      <c r="H60">
        <v>-0.66666666666666652</v>
      </c>
      <c r="I60">
        <v>0</v>
      </c>
      <c r="J60">
        <v>0</v>
      </c>
      <c r="L60">
        <v>-4.9999999999999973</v>
      </c>
      <c r="M60">
        <v>-4.666666666666667</v>
      </c>
      <c r="N60">
        <v>-4.3333333333333393</v>
      </c>
      <c r="O60">
        <v>-3.9999999999999987</v>
      </c>
      <c r="P60">
        <v>-3.666666666666667</v>
      </c>
      <c r="Q60">
        <v>-3.3333333333333339</v>
      </c>
      <c r="R60">
        <v>-3.0000000000000004</v>
      </c>
      <c r="S60">
        <v>-2.6666666666666656</v>
      </c>
      <c r="T60">
        <v>0</v>
      </c>
      <c r="U60">
        <v>0</v>
      </c>
      <c r="W60">
        <v>-5</v>
      </c>
      <c r="X60">
        <v>-5</v>
      </c>
      <c r="Y60">
        <v>-5</v>
      </c>
      <c r="Z60">
        <v>-5</v>
      </c>
      <c r="AA60">
        <v>-5</v>
      </c>
      <c r="AB60">
        <v>-5</v>
      </c>
      <c r="AC60">
        <v>-5.0000000000000009</v>
      </c>
      <c r="AD60">
        <v>-5.0000000000000009</v>
      </c>
      <c r="AE60">
        <v>-5.0000000000000009</v>
      </c>
      <c r="AF60">
        <v>-5.0000000000000009</v>
      </c>
      <c r="AH60" t="s">
        <v>598</v>
      </c>
      <c r="AI60" t="s">
        <v>1303</v>
      </c>
    </row>
    <row r="61" spans="1:35" x14ac:dyDescent="0.25">
      <c r="A61">
        <v>4.9999999999999991</v>
      </c>
      <c r="B61">
        <v>4.666666666666667</v>
      </c>
      <c r="C61">
        <v>4.3333333333333339</v>
      </c>
      <c r="D61">
        <v>4</v>
      </c>
      <c r="E61">
        <v>3.6666666666666679</v>
      </c>
      <c r="F61">
        <v>3.3333333333333335</v>
      </c>
      <c r="G61">
        <v>2.0000000000000013</v>
      </c>
      <c r="H61">
        <v>0.66666666666666674</v>
      </c>
      <c r="I61">
        <v>0</v>
      </c>
      <c r="J61">
        <v>0</v>
      </c>
      <c r="L61">
        <v>4.9999999999999991</v>
      </c>
      <c r="M61">
        <v>4.666666666666667</v>
      </c>
      <c r="N61">
        <v>4.3333333333333348</v>
      </c>
      <c r="O61">
        <v>4</v>
      </c>
      <c r="P61">
        <v>3.666666666666667</v>
      </c>
      <c r="Q61">
        <v>3.3333333333333335</v>
      </c>
      <c r="R61">
        <v>3.0000000000000004</v>
      </c>
      <c r="S61">
        <v>2.6666666666666661</v>
      </c>
      <c r="T61">
        <v>0</v>
      </c>
      <c r="U61">
        <v>0</v>
      </c>
      <c r="W61">
        <v>5</v>
      </c>
      <c r="X61">
        <v>5</v>
      </c>
      <c r="Y61">
        <v>5</v>
      </c>
      <c r="Z61">
        <v>5</v>
      </c>
      <c r="AA61">
        <v>5</v>
      </c>
      <c r="AB61">
        <v>5</v>
      </c>
      <c r="AC61">
        <v>4.9999999999999991</v>
      </c>
      <c r="AD61">
        <v>4.9999999999999991</v>
      </c>
      <c r="AE61">
        <v>4.9999999999999991</v>
      </c>
      <c r="AF61">
        <v>4.9999999999999991</v>
      </c>
      <c r="AH61" t="s">
        <v>603</v>
      </c>
      <c r="AI61" t="s">
        <v>1307</v>
      </c>
    </row>
    <row r="62" spans="1:35" x14ac:dyDescent="0.25">
      <c r="A62">
        <v>-4.9999999999999982</v>
      </c>
      <c r="B62">
        <v>-4.6666666666666652</v>
      </c>
      <c r="C62">
        <v>-4.3333333333333375</v>
      </c>
      <c r="D62">
        <v>-4.0000000000000044</v>
      </c>
      <c r="E62">
        <v>-3.6666666666666741</v>
      </c>
      <c r="F62">
        <v>-3.333333333333333</v>
      </c>
      <c r="G62">
        <v>-2.0000000000000004</v>
      </c>
      <c r="H62">
        <v>-0.66666666666666663</v>
      </c>
      <c r="I62">
        <v>0</v>
      </c>
      <c r="J62">
        <v>0</v>
      </c>
      <c r="L62">
        <v>-4.9999999999999991</v>
      </c>
      <c r="M62">
        <v>-4.666666666666667</v>
      </c>
      <c r="N62">
        <v>-4.3333333333333348</v>
      </c>
      <c r="O62">
        <v>-4</v>
      </c>
      <c r="P62">
        <v>-3.666666666666667</v>
      </c>
      <c r="Q62">
        <v>-3.3333333333333335</v>
      </c>
      <c r="R62">
        <v>-3.0000000000000004</v>
      </c>
      <c r="S62">
        <v>-2.6666666666666661</v>
      </c>
      <c r="T62">
        <v>0</v>
      </c>
      <c r="U62">
        <v>0</v>
      </c>
      <c r="W62">
        <v>-5</v>
      </c>
      <c r="X62">
        <v>-5</v>
      </c>
      <c r="Y62">
        <v>-5</v>
      </c>
      <c r="Z62">
        <v>-5</v>
      </c>
      <c r="AA62">
        <v>-5</v>
      </c>
      <c r="AB62">
        <v>-5</v>
      </c>
      <c r="AC62">
        <v>-4.9999999999999991</v>
      </c>
      <c r="AD62">
        <v>-4.9999999999999991</v>
      </c>
      <c r="AE62">
        <v>-4.9999999999999991</v>
      </c>
      <c r="AF62">
        <v>-4.9999999999999991</v>
      </c>
      <c r="AH62" t="s">
        <v>607</v>
      </c>
      <c r="AI62" t="s">
        <v>1311</v>
      </c>
    </row>
    <row r="63" spans="1:35" x14ac:dyDescent="0.25">
      <c r="A63">
        <v>0</v>
      </c>
      <c r="B63">
        <v>0</v>
      </c>
      <c r="C63">
        <v>0</v>
      </c>
      <c r="D63">
        <v>0</v>
      </c>
      <c r="E63">
        <v>0</v>
      </c>
      <c r="F63">
        <v>0</v>
      </c>
      <c r="G63">
        <v>0</v>
      </c>
      <c r="H63">
        <v>0</v>
      </c>
      <c r="I63">
        <v>0</v>
      </c>
      <c r="J63">
        <v>0</v>
      </c>
      <c r="L63">
        <v>-5.0487097934144756E-29</v>
      </c>
      <c r="M63">
        <v>-1.5777218104420236E-29</v>
      </c>
      <c r="N63">
        <v>-4.7331654313260708E-30</v>
      </c>
      <c r="O63">
        <v>1.6140094120821902E-27</v>
      </c>
      <c r="P63">
        <v>1.2116903504194741E-27</v>
      </c>
      <c r="Q63">
        <v>8.4565889039692466E-28</v>
      </c>
      <c r="R63">
        <v>-1.514612938024344E-28</v>
      </c>
      <c r="S63">
        <v>5.04870979341448E-29</v>
      </c>
      <c r="T63">
        <v>0</v>
      </c>
      <c r="U63">
        <v>0</v>
      </c>
      <c r="W63">
        <v>0</v>
      </c>
      <c r="X63">
        <v>0</v>
      </c>
      <c r="Y63">
        <v>0</v>
      </c>
      <c r="Z63">
        <v>0</v>
      </c>
      <c r="AA63">
        <v>0</v>
      </c>
      <c r="AB63">
        <v>0</v>
      </c>
      <c r="AC63">
        <v>0</v>
      </c>
      <c r="AD63">
        <v>0</v>
      </c>
      <c r="AE63">
        <v>0</v>
      </c>
      <c r="AF63">
        <v>0</v>
      </c>
      <c r="AH63" t="s">
        <v>633</v>
      </c>
      <c r="AI63" t="s">
        <v>1337</v>
      </c>
    </row>
    <row r="64" spans="1:35" x14ac:dyDescent="0.25">
      <c r="A64">
        <v>0</v>
      </c>
      <c r="B64">
        <v>0</v>
      </c>
      <c r="C64">
        <v>0</v>
      </c>
      <c r="D64">
        <v>0</v>
      </c>
      <c r="E64">
        <v>0</v>
      </c>
      <c r="F64">
        <v>0</v>
      </c>
      <c r="G64">
        <v>0</v>
      </c>
      <c r="H64">
        <v>0</v>
      </c>
      <c r="I64">
        <v>0</v>
      </c>
      <c r="J64">
        <v>0</v>
      </c>
      <c r="L64">
        <v>0</v>
      </c>
      <c r="M64">
        <v>0</v>
      </c>
      <c r="N64">
        <v>0</v>
      </c>
      <c r="O64">
        <v>0</v>
      </c>
      <c r="P64">
        <v>0</v>
      </c>
      <c r="Q64">
        <v>0</v>
      </c>
      <c r="R64">
        <v>0</v>
      </c>
      <c r="S64">
        <v>0</v>
      </c>
      <c r="T64">
        <v>0</v>
      </c>
      <c r="U64">
        <v>0</v>
      </c>
      <c r="W64">
        <v>0</v>
      </c>
      <c r="X64">
        <v>0</v>
      </c>
      <c r="Y64">
        <v>0</v>
      </c>
      <c r="Z64">
        <v>0</v>
      </c>
      <c r="AA64">
        <v>0</v>
      </c>
      <c r="AB64">
        <v>0</v>
      </c>
      <c r="AC64">
        <v>0</v>
      </c>
      <c r="AD64">
        <v>0</v>
      </c>
      <c r="AE64">
        <v>0</v>
      </c>
      <c r="AF64">
        <v>0</v>
      </c>
      <c r="AH64" t="s">
        <v>636</v>
      </c>
      <c r="AI64" t="s">
        <v>1341</v>
      </c>
    </row>
    <row r="65" spans="1:35" x14ac:dyDescent="0.25">
      <c r="A65">
        <v>0</v>
      </c>
      <c r="B65">
        <v>0</v>
      </c>
      <c r="C65">
        <v>0</v>
      </c>
      <c r="D65">
        <v>0</v>
      </c>
      <c r="E65">
        <v>0</v>
      </c>
      <c r="F65">
        <v>0</v>
      </c>
      <c r="G65">
        <v>0</v>
      </c>
      <c r="H65">
        <v>0</v>
      </c>
      <c r="I65">
        <v>0</v>
      </c>
      <c r="J65">
        <v>0</v>
      </c>
      <c r="L65">
        <v>0</v>
      </c>
      <c r="M65">
        <v>0</v>
      </c>
      <c r="N65">
        <v>0</v>
      </c>
      <c r="O65">
        <v>0</v>
      </c>
      <c r="P65">
        <v>0</v>
      </c>
      <c r="Q65">
        <v>0</v>
      </c>
      <c r="R65">
        <v>0</v>
      </c>
      <c r="S65">
        <v>0</v>
      </c>
      <c r="T65">
        <v>0</v>
      </c>
      <c r="U65">
        <v>0</v>
      </c>
      <c r="W65">
        <v>0</v>
      </c>
      <c r="X65">
        <v>0</v>
      </c>
      <c r="Y65">
        <v>0</v>
      </c>
      <c r="Z65">
        <v>0</v>
      </c>
      <c r="AA65">
        <v>0</v>
      </c>
      <c r="AB65">
        <v>0</v>
      </c>
      <c r="AC65">
        <v>0</v>
      </c>
      <c r="AD65">
        <v>0</v>
      </c>
      <c r="AE65">
        <v>0</v>
      </c>
      <c r="AF65">
        <v>0</v>
      </c>
      <c r="AH65" t="s">
        <v>639</v>
      </c>
      <c r="AI65" s="60" t="s">
        <v>1342</v>
      </c>
    </row>
    <row r="66" spans="1:35" x14ac:dyDescent="0.25">
      <c r="A66">
        <v>0</v>
      </c>
      <c r="B66">
        <v>0</v>
      </c>
      <c r="C66">
        <v>0</v>
      </c>
      <c r="D66">
        <v>0</v>
      </c>
      <c r="E66">
        <v>0</v>
      </c>
      <c r="F66">
        <v>0</v>
      </c>
      <c r="G66">
        <v>0</v>
      </c>
      <c r="H66">
        <v>0</v>
      </c>
      <c r="I66">
        <v>0</v>
      </c>
      <c r="J66">
        <v>0</v>
      </c>
      <c r="L66">
        <v>0</v>
      </c>
      <c r="M66">
        <v>0</v>
      </c>
      <c r="N66">
        <v>0</v>
      </c>
      <c r="O66">
        <v>0</v>
      </c>
      <c r="P66">
        <v>0</v>
      </c>
      <c r="Q66">
        <v>0</v>
      </c>
      <c r="R66">
        <v>0</v>
      </c>
      <c r="S66">
        <v>0</v>
      </c>
      <c r="T66">
        <v>0</v>
      </c>
      <c r="U66">
        <v>0</v>
      </c>
      <c r="W66">
        <v>0</v>
      </c>
      <c r="X66">
        <v>0</v>
      </c>
      <c r="Y66">
        <v>0</v>
      </c>
      <c r="Z66">
        <v>0</v>
      </c>
      <c r="AA66">
        <v>0</v>
      </c>
      <c r="AB66">
        <v>0</v>
      </c>
      <c r="AC66">
        <v>0</v>
      </c>
      <c r="AD66">
        <v>0</v>
      </c>
      <c r="AE66">
        <v>0</v>
      </c>
      <c r="AF66">
        <v>0</v>
      </c>
      <c r="AH66" t="s">
        <v>642</v>
      </c>
      <c r="AI66" s="60" t="s">
        <v>1348</v>
      </c>
    </row>
    <row r="67" spans="1:35" x14ac:dyDescent="0.25">
      <c r="A67">
        <v>0</v>
      </c>
      <c r="B67">
        <v>0</v>
      </c>
      <c r="C67">
        <v>0</v>
      </c>
      <c r="D67">
        <v>0</v>
      </c>
      <c r="E67">
        <v>0</v>
      </c>
      <c r="F67">
        <v>0</v>
      </c>
      <c r="G67">
        <v>0</v>
      </c>
      <c r="H67">
        <v>0</v>
      </c>
      <c r="I67">
        <v>0</v>
      </c>
      <c r="J67">
        <v>0</v>
      </c>
      <c r="L67">
        <v>0</v>
      </c>
      <c r="M67">
        <v>0</v>
      </c>
      <c r="N67">
        <v>0</v>
      </c>
      <c r="O67">
        <v>0</v>
      </c>
      <c r="P67">
        <v>0</v>
      </c>
      <c r="Q67">
        <v>0</v>
      </c>
      <c r="R67">
        <v>0</v>
      </c>
      <c r="S67">
        <v>0</v>
      </c>
      <c r="T67">
        <v>0</v>
      </c>
      <c r="U67">
        <v>0</v>
      </c>
      <c r="W67">
        <v>0</v>
      </c>
      <c r="X67">
        <v>0</v>
      </c>
      <c r="Y67">
        <v>0</v>
      </c>
      <c r="Z67">
        <v>0</v>
      </c>
      <c r="AA67">
        <v>0</v>
      </c>
      <c r="AB67">
        <v>0</v>
      </c>
      <c r="AC67">
        <v>0</v>
      </c>
      <c r="AD67">
        <v>0</v>
      </c>
      <c r="AE67">
        <v>0</v>
      </c>
      <c r="AF67">
        <v>0</v>
      </c>
      <c r="AH67" t="s">
        <v>646</v>
      </c>
      <c r="AI67" s="60" t="s">
        <v>1353</v>
      </c>
    </row>
    <row r="68" spans="1:35" x14ac:dyDescent="0.25">
      <c r="A68">
        <v>0</v>
      </c>
      <c r="B68">
        <v>0</v>
      </c>
      <c r="C68">
        <v>0</v>
      </c>
      <c r="D68">
        <v>0</v>
      </c>
      <c r="E68">
        <v>0</v>
      </c>
      <c r="F68">
        <v>0</v>
      </c>
      <c r="G68">
        <v>0</v>
      </c>
      <c r="H68">
        <v>0</v>
      </c>
      <c r="I68">
        <v>0</v>
      </c>
      <c r="J68">
        <v>0</v>
      </c>
      <c r="L68">
        <v>0</v>
      </c>
      <c r="M68">
        <v>0</v>
      </c>
      <c r="N68">
        <v>0</v>
      </c>
      <c r="O68">
        <v>0</v>
      </c>
      <c r="P68">
        <v>0</v>
      </c>
      <c r="Q68">
        <v>0</v>
      </c>
      <c r="R68">
        <v>0</v>
      </c>
      <c r="S68">
        <v>0</v>
      </c>
      <c r="T68">
        <v>0</v>
      </c>
      <c r="U68">
        <v>0</v>
      </c>
      <c r="W68">
        <v>0</v>
      </c>
      <c r="X68">
        <v>0</v>
      </c>
      <c r="Y68">
        <v>0</v>
      </c>
      <c r="Z68">
        <v>0</v>
      </c>
      <c r="AA68">
        <v>0</v>
      </c>
      <c r="AB68">
        <v>0</v>
      </c>
      <c r="AC68">
        <v>0</v>
      </c>
      <c r="AD68">
        <v>0</v>
      </c>
      <c r="AE68">
        <v>0</v>
      </c>
      <c r="AF68">
        <v>0</v>
      </c>
      <c r="AH68" t="s">
        <v>649</v>
      </c>
      <c r="AI68" s="60" t="s">
        <v>1357</v>
      </c>
    </row>
    <row r="69" spans="1:35" x14ac:dyDescent="0.25">
      <c r="A69">
        <v>0</v>
      </c>
      <c r="B69">
        <v>0</v>
      </c>
      <c r="C69">
        <v>0</v>
      </c>
      <c r="D69">
        <v>0</v>
      </c>
      <c r="E69">
        <v>0</v>
      </c>
      <c r="F69">
        <v>0</v>
      </c>
      <c r="G69">
        <v>0</v>
      </c>
      <c r="H69">
        <v>0</v>
      </c>
      <c r="I69">
        <v>0</v>
      </c>
      <c r="J69">
        <v>0</v>
      </c>
      <c r="L69">
        <v>0</v>
      </c>
      <c r="M69">
        <v>0</v>
      </c>
      <c r="N69">
        <v>0</v>
      </c>
      <c r="O69">
        <v>0</v>
      </c>
      <c r="P69">
        <v>0</v>
      </c>
      <c r="Q69">
        <v>0</v>
      </c>
      <c r="R69">
        <v>0</v>
      </c>
      <c r="S69">
        <v>0</v>
      </c>
      <c r="T69">
        <v>0</v>
      </c>
      <c r="U69">
        <v>0</v>
      </c>
      <c r="W69">
        <v>0</v>
      </c>
      <c r="X69">
        <v>0</v>
      </c>
      <c r="Y69">
        <v>0</v>
      </c>
      <c r="Z69">
        <v>0</v>
      </c>
      <c r="AA69">
        <v>0</v>
      </c>
      <c r="AB69">
        <v>0</v>
      </c>
      <c r="AC69">
        <v>0</v>
      </c>
      <c r="AD69">
        <v>0</v>
      </c>
      <c r="AE69">
        <v>0</v>
      </c>
      <c r="AF69">
        <v>0</v>
      </c>
      <c r="AH69" t="s">
        <v>653</v>
      </c>
      <c r="AI69" s="60" t="s">
        <v>1362</v>
      </c>
    </row>
    <row r="70" spans="1:35" x14ac:dyDescent="0.25">
      <c r="A70">
        <v>0</v>
      </c>
      <c r="B70">
        <v>0</v>
      </c>
      <c r="C70">
        <v>0</v>
      </c>
      <c r="D70">
        <v>0</v>
      </c>
      <c r="E70">
        <v>0</v>
      </c>
      <c r="F70">
        <v>0</v>
      </c>
      <c r="G70">
        <v>0</v>
      </c>
      <c r="H70">
        <v>0</v>
      </c>
      <c r="I70">
        <v>0</v>
      </c>
      <c r="J70">
        <v>0</v>
      </c>
      <c r="L70">
        <v>0</v>
      </c>
      <c r="M70">
        <v>0</v>
      </c>
      <c r="N70">
        <v>0</v>
      </c>
      <c r="O70">
        <v>0</v>
      </c>
      <c r="P70">
        <v>0</v>
      </c>
      <c r="Q70">
        <v>0</v>
      </c>
      <c r="R70">
        <v>0</v>
      </c>
      <c r="S70">
        <v>0</v>
      </c>
      <c r="T70">
        <v>0</v>
      </c>
      <c r="U70">
        <v>0</v>
      </c>
      <c r="W70">
        <v>0</v>
      </c>
      <c r="X70">
        <v>0</v>
      </c>
      <c r="Y70">
        <v>0</v>
      </c>
      <c r="Z70">
        <v>0</v>
      </c>
      <c r="AA70">
        <v>0</v>
      </c>
      <c r="AB70">
        <v>0</v>
      </c>
      <c r="AC70">
        <v>0</v>
      </c>
      <c r="AD70">
        <v>0</v>
      </c>
      <c r="AE70">
        <v>0</v>
      </c>
      <c r="AF70">
        <v>0</v>
      </c>
      <c r="AH70" t="s">
        <v>656</v>
      </c>
      <c r="AI70" s="60" t="s">
        <v>1365</v>
      </c>
    </row>
    <row r="71" spans="1:35" x14ac:dyDescent="0.25">
      <c r="A71">
        <v>0</v>
      </c>
      <c r="B71">
        <v>0</v>
      </c>
      <c r="C71">
        <v>0</v>
      </c>
      <c r="D71">
        <v>0</v>
      </c>
      <c r="E71">
        <v>0</v>
      </c>
      <c r="F71">
        <v>0</v>
      </c>
      <c r="G71">
        <v>0</v>
      </c>
      <c r="H71">
        <v>0</v>
      </c>
      <c r="I71">
        <v>0</v>
      </c>
      <c r="J71">
        <v>0</v>
      </c>
      <c r="L71">
        <v>0</v>
      </c>
      <c r="M71">
        <v>0</v>
      </c>
      <c r="N71">
        <v>0</v>
      </c>
      <c r="O71">
        <v>0</v>
      </c>
      <c r="P71">
        <v>0</v>
      </c>
      <c r="Q71">
        <v>0</v>
      </c>
      <c r="R71">
        <v>0</v>
      </c>
      <c r="S71">
        <v>0</v>
      </c>
      <c r="T71">
        <v>0</v>
      </c>
      <c r="U71">
        <v>0</v>
      </c>
      <c r="W71">
        <v>0</v>
      </c>
      <c r="X71">
        <v>0</v>
      </c>
      <c r="Y71">
        <v>0</v>
      </c>
      <c r="Z71">
        <v>0</v>
      </c>
      <c r="AA71">
        <v>0</v>
      </c>
      <c r="AB71">
        <v>0</v>
      </c>
      <c r="AC71">
        <v>0</v>
      </c>
      <c r="AD71">
        <v>0</v>
      </c>
      <c r="AE71">
        <v>0</v>
      </c>
      <c r="AF71">
        <v>0</v>
      </c>
      <c r="AH71" t="s">
        <v>660</v>
      </c>
      <c r="AI71" s="60" t="s">
        <v>1374</v>
      </c>
    </row>
    <row r="72" spans="1:35" x14ac:dyDescent="0.25">
      <c r="A72">
        <v>0</v>
      </c>
      <c r="B72">
        <v>0</v>
      </c>
      <c r="C72">
        <v>0</v>
      </c>
      <c r="D72">
        <v>0</v>
      </c>
      <c r="E72">
        <v>0</v>
      </c>
      <c r="F72">
        <v>0</v>
      </c>
      <c r="G72">
        <v>0</v>
      </c>
      <c r="H72">
        <v>0</v>
      </c>
      <c r="I72">
        <v>0</v>
      </c>
      <c r="J72">
        <v>0</v>
      </c>
      <c r="L72">
        <v>0</v>
      </c>
      <c r="M72">
        <v>0</v>
      </c>
      <c r="N72">
        <v>0</v>
      </c>
      <c r="O72">
        <v>0</v>
      </c>
      <c r="P72">
        <v>0</v>
      </c>
      <c r="Q72">
        <v>0</v>
      </c>
      <c r="R72">
        <v>0</v>
      </c>
      <c r="S72">
        <v>0</v>
      </c>
      <c r="T72">
        <v>0</v>
      </c>
      <c r="U72">
        <v>0</v>
      </c>
      <c r="W72">
        <v>0</v>
      </c>
      <c r="X72">
        <v>0</v>
      </c>
      <c r="Y72">
        <v>0</v>
      </c>
      <c r="Z72">
        <v>0</v>
      </c>
      <c r="AA72">
        <v>0</v>
      </c>
      <c r="AB72">
        <v>0</v>
      </c>
      <c r="AC72">
        <v>0</v>
      </c>
      <c r="AD72">
        <v>0</v>
      </c>
      <c r="AE72">
        <v>0</v>
      </c>
      <c r="AF72">
        <v>0</v>
      </c>
      <c r="AH72" t="s">
        <v>665</v>
      </c>
      <c r="AI72" s="60" t="s">
        <v>1378</v>
      </c>
    </row>
    <row r="73" spans="1:35" x14ac:dyDescent="0.25">
      <c r="A73">
        <v>0</v>
      </c>
      <c r="B73">
        <v>0</v>
      </c>
      <c r="C73">
        <v>0</v>
      </c>
      <c r="D73">
        <v>0</v>
      </c>
      <c r="E73">
        <v>0</v>
      </c>
      <c r="F73">
        <v>0</v>
      </c>
      <c r="G73">
        <v>0</v>
      </c>
      <c r="H73">
        <v>0</v>
      </c>
      <c r="I73">
        <v>0</v>
      </c>
      <c r="J73">
        <v>0</v>
      </c>
      <c r="L73">
        <v>0</v>
      </c>
      <c r="M73">
        <v>0</v>
      </c>
      <c r="N73">
        <v>0</v>
      </c>
      <c r="O73">
        <v>0</v>
      </c>
      <c r="P73">
        <v>0</v>
      </c>
      <c r="Q73">
        <v>0</v>
      </c>
      <c r="R73">
        <v>0</v>
      </c>
      <c r="S73">
        <v>0</v>
      </c>
      <c r="T73">
        <v>0</v>
      </c>
      <c r="U73">
        <v>0</v>
      </c>
      <c r="W73">
        <v>0</v>
      </c>
      <c r="X73">
        <v>0</v>
      </c>
      <c r="Y73">
        <v>0</v>
      </c>
      <c r="Z73">
        <v>0</v>
      </c>
      <c r="AA73">
        <v>0</v>
      </c>
      <c r="AB73">
        <v>0</v>
      </c>
      <c r="AC73">
        <v>0</v>
      </c>
      <c r="AD73">
        <v>0</v>
      </c>
      <c r="AE73">
        <v>0</v>
      </c>
      <c r="AF73">
        <v>0</v>
      </c>
      <c r="AH73" t="s">
        <v>668</v>
      </c>
      <c r="AI73" s="60" t="s">
        <v>1384</v>
      </c>
    </row>
    <row r="74" spans="1:35" x14ac:dyDescent="0.25">
      <c r="A74">
        <v>0</v>
      </c>
      <c r="B74">
        <v>0</v>
      </c>
      <c r="C74">
        <v>0</v>
      </c>
      <c r="D74">
        <v>0</v>
      </c>
      <c r="E74">
        <v>0</v>
      </c>
      <c r="F74">
        <v>0</v>
      </c>
      <c r="G74">
        <v>0</v>
      </c>
      <c r="H74">
        <v>0</v>
      </c>
      <c r="I74">
        <v>0</v>
      </c>
      <c r="J74">
        <v>0</v>
      </c>
      <c r="L74">
        <v>0</v>
      </c>
      <c r="M74">
        <v>0</v>
      </c>
      <c r="N74">
        <v>0</v>
      </c>
      <c r="O74">
        <v>0</v>
      </c>
      <c r="P74">
        <v>0</v>
      </c>
      <c r="Q74">
        <v>0</v>
      </c>
      <c r="R74">
        <v>0</v>
      </c>
      <c r="S74">
        <v>0</v>
      </c>
      <c r="T74">
        <v>0</v>
      </c>
      <c r="U74">
        <v>0</v>
      </c>
      <c r="W74">
        <v>0</v>
      </c>
      <c r="X74">
        <v>0</v>
      </c>
      <c r="Y74">
        <v>0</v>
      </c>
      <c r="Z74">
        <v>0</v>
      </c>
      <c r="AA74">
        <v>0</v>
      </c>
      <c r="AB74">
        <v>0</v>
      </c>
      <c r="AC74">
        <v>0</v>
      </c>
      <c r="AD74">
        <v>0</v>
      </c>
      <c r="AE74">
        <v>0</v>
      </c>
      <c r="AF74">
        <v>0</v>
      </c>
      <c r="AH74" t="s">
        <v>672</v>
      </c>
      <c r="AI74" t="s">
        <v>1389</v>
      </c>
    </row>
    <row r="75" spans="1:35" x14ac:dyDescent="0.25">
      <c r="A75">
        <v>0</v>
      </c>
      <c r="B75">
        <v>0</v>
      </c>
      <c r="C75">
        <v>0</v>
      </c>
      <c r="D75">
        <v>0</v>
      </c>
      <c r="E75">
        <v>0</v>
      </c>
      <c r="F75">
        <v>0</v>
      </c>
      <c r="G75">
        <v>0</v>
      </c>
      <c r="H75">
        <v>0</v>
      </c>
      <c r="I75">
        <v>0</v>
      </c>
      <c r="J75">
        <v>0</v>
      </c>
      <c r="L75">
        <v>0</v>
      </c>
      <c r="M75">
        <v>0</v>
      </c>
      <c r="N75">
        <v>0</v>
      </c>
      <c r="O75">
        <v>0</v>
      </c>
      <c r="P75">
        <v>0</v>
      </c>
      <c r="Q75">
        <v>0</v>
      </c>
      <c r="R75">
        <v>0</v>
      </c>
      <c r="S75">
        <v>0</v>
      </c>
      <c r="T75">
        <v>0</v>
      </c>
      <c r="U75">
        <v>0</v>
      </c>
      <c r="W75">
        <v>0</v>
      </c>
      <c r="X75">
        <v>0</v>
      </c>
      <c r="Y75">
        <v>0</v>
      </c>
      <c r="Z75">
        <v>0</v>
      </c>
      <c r="AA75">
        <v>0</v>
      </c>
      <c r="AB75">
        <v>0</v>
      </c>
      <c r="AC75">
        <v>0</v>
      </c>
      <c r="AD75">
        <v>0</v>
      </c>
      <c r="AE75">
        <v>0</v>
      </c>
      <c r="AF75">
        <v>0</v>
      </c>
      <c r="AH75" t="s">
        <v>676</v>
      </c>
      <c r="AI75" t="s">
        <v>1393</v>
      </c>
    </row>
    <row r="76" spans="1:35" x14ac:dyDescent="0.25">
      <c r="A76">
        <v>0</v>
      </c>
      <c r="B76">
        <v>0</v>
      </c>
      <c r="C76">
        <v>0</v>
      </c>
      <c r="D76">
        <v>0</v>
      </c>
      <c r="E76">
        <v>0</v>
      </c>
      <c r="F76">
        <v>0</v>
      </c>
      <c r="G76">
        <v>0</v>
      </c>
      <c r="H76">
        <v>0</v>
      </c>
      <c r="I76">
        <v>0</v>
      </c>
      <c r="J76">
        <v>0</v>
      </c>
      <c r="L76">
        <v>0</v>
      </c>
      <c r="M76">
        <v>0</v>
      </c>
      <c r="N76">
        <v>0</v>
      </c>
      <c r="O76">
        <v>0</v>
      </c>
      <c r="P76">
        <v>0</v>
      </c>
      <c r="Q76">
        <v>0</v>
      </c>
      <c r="R76">
        <v>0</v>
      </c>
      <c r="S76">
        <v>0</v>
      </c>
      <c r="T76">
        <v>0</v>
      </c>
      <c r="U76">
        <v>0</v>
      </c>
      <c r="W76">
        <v>0</v>
      </c>
      <c r="X76">
        <v>0</v>
      </c>
      <c r="Y76">
        <v>0</v>
      </c>
      <c r="Z76">
        <v>0</v>
      </c>
      <c r="AA76">
        <v>0</v>
      </c>
      <c r="AB76">
        <v>0</v>
      </c>
      <c r="AC76">
        <v>0</v>
      </c>
      <c r="AD76">
        <v>0</v>
      </c>
      <c r="AE76">
        <v>0</v>
      </c>
      <c r="AF76">
        <v>0</v>
      </c>
      <c r="AH76" t="s">
        <v>679</v>
      </c>
      <c r="AI76" s="69" t="s">
        <v>1397</v>
      </c>
    </row>
    <row r="77" spans="1:35" x14ac:dyDescent="0.25">
      <c r="A77">
        <v>0</v>
      </c>
      <c r="B77">
        <v>0</v>
      </c>
      <c r="C77">
        <v>0</v>
      </c>
      <c r="D77">
        <v>0</v>
      </c>
      <c r="E77">
        <v>0</v>
      </c>
      <c r="F77">
        <v>0</v>
      </c>
      <c r="G77">
        <v>0</v>
      </c>
      <c r="H77">
        <v>0</v>
      </c>
      <c r="I77">
        <v>0</v>
      </c>
      <c r="J77">
        <v>0</v>
      </c>
      <c r="L77">
        <v>0</v>
      </c>
      <c r="M77">
        <v>0</v>
      </c>
      <c r="N77">
        <v>0</v>
      </c>
      <c r="O77">
        <v>0</v>
      </c>
      <c r="P77">
        <v>0</v>
      </c>
      <c r="Q77">
        <v>0</v>
      </c>
      <c r="R77">
        <v>0</v>
      </c>
      <c r="S77">
        <v>0</v>
      </c>
      <c r="T77">
        <v>0</v>
      </c>
      <c r="U77">
        <v>0</v>
      </c>
      <c r="W77">
        <v>0</v>
      </c>
      <c r="X77">
        <v>0</v>
      </c>
      <c r="Y77">
        <v>0</v>
      </c>
      <c r="Z77">
        <v>0</v>
      </c>
      <c r="AA77">
        <v>0</v>
      </c>
      <c r="AB77">
        <v>0</v>
      </c>
      <c r="AC77">
        <v>0</v>
      </c>
      <c r="AD77">
        <v>0</v>
      </c>
      <c r="AE77">
        <v>0</v>
      </c>
      <c r="AF77">
        <v>0</v>
      </c>
      <c r="AH77" t="s">
        <v>682</v>
      </c>
      <c r="AI77" t="s">
        <v>1401</v>
      </c>
    </row>
    <row r="78" spans="1:35" x14ac:dyDescent="0.25">
      <c r="A78">
        <v>5.0000000000000044</v>
      </c>
      <c r="B78">
        <v>4.0000000000000044</v>
      </c>
      <c r="C78">
        <v>2.9999999999999916</v>
      </c>
      <c r="D78">
        <v>1.99999999999999</v>
      </c>
      <c r="E78">
        <v>0.9999999999999849</v>
      </c>
      <c r="F78">
        <v>-3.4046839421839591E-16</v>
      </c>
      <c r="G78">
        <v>0</v>
      </c>
      <c r="H78">
        <v>0</v>
      </c>
      <c r="I78">
        <v>0</v>
      </c>
      <c r="J78">
        <v>0</v>
      </c>
      <c r="L78">
        <v>15</v>
      </c>
      <c r="M78">
        <v>14</v>
      </c>
      <c r="N78">
        <v>12.999999999999995</v>
      </c>
      <c r="O78">
        <v>12.000000000000002</v>
      </c>
      <c r="P78">
        <v>11</v>
      </c>
      <c r="Q78">
        <v>10</v>
      </c>
      <c r="R78">
        <v>9</v>
      </c>
      <c r="S78">
        <v>8.0000000000000018</v>
      </c>
      <c r="T78">
        <v>0</v>
      </c>
      <c r="U78">
        <v>0</v>
      </c>
      <c r="W78">
        <v>15</v>
      </c>
      <c r="X78">
        <v>13.5</v>
      </c>
      <c r="Y78">
        <v>12</v>
      </c>
      <c r="Z78">
        <v>10.5</v>
      </c>
      <c r="AA78">
        <v>9</v>
      </c>
      <c r="AB78">
        <v>7.5</v>
      </c>
      <c r="AC78">
        <v>6</v>
      </c>
      <c r="AD78">
        <v>4.5</v>
      </c>
      <c r="AE78">
        <v>3</v>
      </c>
      <c r="AF78">
        <v>1.5</v>
      </c>
      <c r="AH78" t="s">
        <v>685</v>
      </c>
      <c r="AI78" t="s">
        <v>1407</v>
      </c>
    </row>
    <row r="79" spans="1:35" x14ac:dyDescent="0.25">
      <c r="A79">
        <v>10.000000000000005</v>
      </c>
      <c r="B79">
        <v>8.6666666666666714</v>
      </c>
      <c r="C79">
        <v>7.3333333333333224</v>
      </c>
      <c r="D79">
        <v>5.9999999999999858</v>
      </c>
      <c r="E79">
        <v>4.6666666666666474</v>
      </c>
      <c r="F79">
        <v>3.333333333333333</v>
      </c>
      <c r="G79">
        <v>2.0000000000000018</v>
      </c>
      <c r="H79">
        <v>0.66666666666666674</v>
      </c>
      <c r="I79">
        <v>0</v>
      </c>
      <c r="J79">
        <v>0</v>
      </c>
      <c r="L79">
        <v>10.000000000000002</v>
      </c>
      <c r="M79">
        <v>8.6666666666666661</v>
      </c>
      <c r="N79">
        <v>7.333333333333325</v>
      </c>
      <c r="O79">
        <v>6.0000000000000018</v>
      </c>
      <c r="P79">
        <v>4.666666666666667</v>
      </c>
      <c r="Q79">
        <v>3.333333333333333</v>
      </c>
      <c r="R79">
        <v>1.9999999999999998</v>
      </c>
      <c r="S79">
        <v>0.66666666666666796</v>
      </c>
      <c r="T79">
        <v>0</v>
      </c>
      <c r="U79">
        <v>0</v>
      </c>
      <c r="W79">
        <v>20</v>
      </c>
      <c r="X79">
        <v>18</v>
      </c>
      <c r="Y79">
        <v>16</v>
      </c>
      <c r="Z79">
        <v>14</v>
      </c>
      <c r="AA79">
        <v>12</v>
      </c>
      <c r="AB79">
        <v>10</v>
      </c>
      <c r="AC79">
        <v>8</v>
      </c>
      <c r="AD79">
        <v>6</v>
      </c>
      <c r="AE79">
        <v>4</v>
      </c>
      <c r="AF79">
        <v>2</v>
      </c>
      <c r="AH79" t="s">
        <v>689</v>
      </c>
      <c r="AI79" t="s">
        <v>1412</v>
      </c>
    </row>
    <row r="80" spans="1:35" x14ac:dyDescent="0.25">
      <c r="A80">
        <v>10</v>
      </c>
      <c r="B80">
        <v>9</v>
      </c>
      <c r="C80">
        <v>8</v>
      </c>
      <c r="D80">
        <v>7</v>
      </c>
      <c r="E80">
        <v>6</v>
      </c>
      <c r="F80">
        <v>5</v>
      </c>
      <c r="G80">
        <v>4</v>
      </c>
      <c r="H80">
        <v>3</v>
      </c>
      <c r="I80">
        <v>0</v>
      </c>
      <c r="J80">
        <v>0</v>
      </c>
      <c r="L80">
        <v>10</v>
      </c>
      <c r="M80">
        <v>9</v>
      </c>
      <c r="N80">
        <v>8</v>
      </c>
      <c r="O80">
        <v>7</v>
      </c>
      <c r="P80">
        <v>6</v>
      </c>
      <c r="Q80">
        <v>5</v>
      </c>
      <c r="R80">
        <v>4</v>
      </c>
      <c r="S80">
        <v>3</v>
      </c>
      <c r="T80">
        <v>0</v>
      </c>
      <c r="U80">
        <v>0</v>
      </c>
      <c r="W80">
        <v>10</v>
      </c>
      <c r="X80">
        <v>9</v>
      </c>
      <c r="Y80">
        <v>8</v>
      </c>
      <c r="Z80">
        <v>7</v>
      </c>
      <c r="AA80">
        <v>6</v>
      </c>
      <c r="AB80">
        <v>5</v>
      </c>
      <c r="AC80">
        <v>4</v>
      </c>
      <c r="AD80">
        <v>3</v>
      </c>
      <c r="AE80">
        <v>2</v>
      </c>
      <c r="AF80">
        <v>1</v>
      </c>
      <c r="AH80" t="s">
        <v>692</v>
      </c>
      <c r="AI80" t="s">
        <v>1417</v>
      </c>
    </row>
    <row r="81" spans="1:35" x14ac:dyDescent="0.25">
      <c r="A81">
        <v>0</v>
      </c>
      <c r="B81">
        <v>0</v>
      </c>
      <c r="C81">
        <v>0</v>
      </c>
      <c r="D81">
        <v>0</v>
      </c>
      <c r="E81">
        <v>0</v>
      </c>
      <c r="F81">
        <v>0</v>
      </c>
      <c r="G81">
        <v>0</v>
      </c>
      <c r="H81">
        <v>0</v>
      </c>
      <c r="I81">
        <v>0</v>
      </c>
      <c r="J81">
        <v>0</v>
      </c>
      <c r="L81">
        <v>0</v>
      </c>
      <c r="M81">
        <v>0</v>
      </c>
      <c r="N81">
        <v>0</v>
      </c>
      <c r="O81">
        <v>0</v>
      </c>
      <c r="P81">
        <v>0</v>
      </c>
      <c r="Q81">
        <v>0</v>
      </c>
      <c r="R81">
        <v>0</v>
      </c>
      <c r="S81">
        <v>0</v>
      </c>
      <c r="T81">
        <v>0</v>
      </c>
      <c r="U81">
        <v>0</v>
      </c>
      <c r="W81">
        <v>0</v>
      </c>
      <c r="X81">
        <v>0</v>
      </c>
      <c r="Y81">
        <v>0</v>
      </c>
      <c r="Z81">
        <v>0</v>
      </c>
      <c r="AA81">
        <v>0</v>
      </c>
      <c r="AB81">
        <v>0</v>
      </c>
      <c r="AC81">
        <v>0</v>
      </c>
      <c r="AD81">
        <v>0</v>
      </c>
      <c r="AE81">
        <v>0</v>
      </c>
      <c r="AF81">
        <v>0</v>
      </c>
      <c r="AH81" t="s">
        <v>695</v>
      </c>
      <c r="AI81" t="s">
        <v>1424</v>
      </c>
    </row>
    <row r="82" spans="1:35" x14ac:dyDescent="0.25">
      <c r="A82">
        <v>0</v>
      </c>
      <c r="B82">
        <v>0</v>
      </c>
      <c r="C82">
        <v>0</v>
      </c>
      <c r="D82">
        <v>0</v>
      </c>
      <c r="E82">
        <v>0</v>
      </c>
      <c r="F82">
        <v>0</v>
      </c>
      <c r="G82">
        <v>0</v>
      </c>
      <c r="H82">
        <v>0</v>
      </c>
      <c r="I82">
        <v>0</v>
      </c>
      <c r="J82">
        <v>0</v>
      </c>
      <c r="L82">
        <v>0</v>
      </c>
      <c r="M82">
        <v>0</v>
      </c>
      <c r="N82">
        <v>0</v>
      </c>
      <c r="O82">
        <v>0</v>
      </c>
      <c r="P82">
        <v>0</v>
      </c>
      <c r="Q82">
        <v>0</v>
      </c>
      <c r="R82">
        <v>0</v>
      </c>
      <c r="S82">
        <v>0</v>
      </c>
      <c r="T82">
        <v>0</v>
      </c>
      <c r="U82">
        <v>0</v>
      </c>
      <c r="W82">
        <v>0</v>
      </c>
      <c r="X82">
        <v>0</v>
      </c>
      <c r="Y82">
        <v>0</v>
      </c>
      <c r="Z82">
        <v>0</v>
      </c>
      <c r="AA82">
        <v>0</v>
      </c>
      <c r="AB82">
        <v>0</v>
      </c>
      <c r="AC82">
        <v>0</v>
      </c>
      <c r="AD82">
        <v>0</v>
      </c>
      <c r="AE82">
        <v>0</v>
      </c>
      <c r="AF82">
        <v>0</v>
      </c>
      <c r="AH82" t="s">
        <v>698</v>
      </c>
      <c r="AI82" t="s">
        <v>1429</v>
      </c>
    </row>
    <row r="83" spans="1:35" x14ac:dyDescent="0.25">
      <c r="A83">
        <v>0</v>
      </c>
      <c r="B83">
        <v>0</v>
      </c>
      <c r="C83">
        <v>0</v>
      </c>
      <c r="D83">
        <v>0</v>
      </c>
      <c r="E83">
        <v>0</v>
      </c>
      <c r="F83">
        <v>0</v>
      </c>
      <c r="G83">
        <v>0</v>
      </c>
      <c r="H83">
        <v>0</v>
      </c>
      <c r="I83">
        <v>0</v>
      </c>
      <c r="J83">
        <v>0</v>
      </c>
      <c r="L83">
        <v>0</v>
      </c>
      <c r="M83">
        <v>0</v>
      </c>
      <c r="N83">
        <v>0</v>
      </c>
      <c r="O83">
        <v>0</v>
      </c>
      <c r="P83">
        <v>0</v>
      </c>
      <c r="Q83">
        <v>0</v>
      </c>
      <c r="R83">
        <v>0</v>
      </c>
      <c r="S83">
        <v>0</v>
      </c>
      <c r="T83">
        <v>0</v>
      </c>
      <c r="U83">
        <v>0</v>
      </c>
      <c r="W83">
        <v>0</v>
      </c>
      <c r="X83">
        <v>0</v>
      </c>
      <c r="Y83">
        <v>0</v>
      </c>
      <c r="Z83">
        <v>0</v>
      </c>
      <c r="AA83">
        <v>0</v>
      </c>
      <c r="AB83">
        <v>0</v>
      </c>
      <c r="AC83">
        <v>0</v>
      </c>
      <c r="AD83">
        <v>0</v>
      </c>
      <c r="AE83">
        <v>0</v>
      </c>
      <c r="AF83">
        <v>0</v>
      </c>
      <c r="AH83" t="s">
        <v>701</v>
      </c>
      <c r="AI83" t="s">
        <v>1435</v>
      </c>
    </row>
    <row r="84" spans="1:35" x14ac:dyDescent="0.25">
      <c r="A84">
        <v>0</v>
      </c>
      <c r="B84">
        <v>0</v>
      </c>
      <c r="C84">
        <v>0</v>
      </c>
      <c r="D84">
        <v>0</v>
      </c>
      <c r="E84">
        <v>0</v>
      </c>
      <c r="F84">
        <v>0</v>
      </c>
      <c r="G84">
        <v>0</v>
      </c>
      <c r="H84">
        <v>0</v>
      </c>
      <c r="I84">
        <v>0</v>
      </c>
      <c r="J84">
        <v>0</v>
      </c>
      <c r="L84">
        <v>0</v>
      </c>
      <c r="M84">
        <v>0</v>
      </c>
      <c r="N84">
        <v>0</v>
      </c>
      <c r="O84">
        <v>0</v>
      </c>
      <c r="P84">
        <v>0</v>
      </c>
      <c r="Q84">
        <v>0</v>
      </c>
      <c r="R84">
        <v>0</v>
      </c>
      <c r="S84">
        <v>0</v>
      </c>
      <c r="T84">
        <v>0</v>
      </c>
      <c r="U84">
        <v>0</v>
      </c>
      <c r="W84">
        <v>0</v>
      </c>
      <c r="X84">
        <v>0</v>
      </c>
      <c r="Y84">
        <v>0</v>
      </c>
      <c r="Z84">
        <v>0</v>
      </c>
      <c r="AA84">
        <v>0</v>
      </c>
      <c r="AB84">
        <v>0</v>
      </c>
      <c r="AC84">
        <v>0</v>
      </c>
      <c r="AD84">
        <v>0</v>
      </c>
      <c r="AE84">
        <v>0</v>
      </c>
      <c r="AF84">
        <v>0</v>
      </c>
      <c r="AH84" t="s">
        <v>705</v>
      </c>
      <c r="AI84" t="s">
        <v>1440</v>
      </c>
    </row>
    <row r="85" spans="1:35" x14ac:dyDescent="0.25">
      <c r="A85">
        <v>30.000000000000007</v>
      </c>
      <c r="B85">
        <v>26.333333333333339</v>
      </c>
      <c r="C85">
        <v>22.666666666666654</v>
      </c>
      <c r="D85">
        <v>18.999999999999982</v>
      </c>
      <c r="E85">
        <v>15.333333333333309</v>
      </c>
      <c r="F85">
        <v>11.666666666666666</v>
      </c>
      <c r="G85">
        <v>9.0000000000000018</v>
      </c>
      <c r="H85">
        <v>6.333333333333333</v>
      </c>
      <c r="I85">
        <v>0</v>
      </c>
      <c r="J85">
        <v>0</v>
      </c>
      <c r="L85">
        <v>39.999999999999993</v>
      </c>
      <c r="M85">
        <v>36.333333333333336</v>
      </c>
      <c r="N85">
        <v>32.666666666666657</v>
      </c>
      <c r="O85">
        <v>29.000000000000004</v>
      </c>
      <c r="P85">
        <v>25.333333333333336</v>
      </c>
      <c r="Q85">
        <v>21.666666666666668</v>
      </c>
      <c r="R85">
        <v>18</v>
      </c>
      <c r="S85">
        <v>14.333333333333334</v>
      </c>
      <c r="T85">
        <v>0</v>
      </c>
      <c r="U85">
        <v>0</v>
      </c>
      <c r="W85">
        <v>45</v>
      </c>
      <c r="X85">
        <v>40.625</v>
      </c>
      <c r="Y85">
        <v>36.25</v>
      </c>
      <c r="Z85">
        <v>31.875</v>
      </c>
      <c r="AA85">
        <v>27.5</v>
      </c>
      <c r="AB85">
        <v>23.125</v>
      </c>
      <c r="AC85">
        <v>18.75</v>
      </c>
      <c r="AD85">
        <v>14.375</v>
      </c>
      <c r="AE85">
        <v>10</v>
      </c>
      <c r="AF85">
        <v>5.625</v>
      </c>
      <c r="AH85" t="s">
        <v>709</v>
      </c>
      <c r="AI85" t="s">
        <v>1444</v>
      </c>
    </row>
    <row r="86" spans="1:35" x14ac:dyDescent="0.25">
      <c r="A86">
        <v>-8.2896652505344096E-16</v>
      </c>
      <c r="B86">
        <v>-5.9211894646675693E-16</v>
      </c>
      <c r="C86">
        <v>1.3618735768735253E-15</v>
      </c>
      <c r="D86">
        <v>1.8947806286936001E-15</v>
      </c>
      <c r="E86">
        <v>2.9457917586720708E-15</v>
      </c>
      <c r="F86">
        <v>4.4408920985007484E-17</v>
      </c>
      <c r="G86">
        <v>-1.7763568394005203E-16</v>
      </c>
      <c r="H86">
        <v>-2.2204460492519224E-17</v>
      </c>
      <c r="I86">
        <v>0</v>
      </c>
      <c r="J86">
        <v>0</v>
      </c>
      <c r="L86">
        <v>-3.5527136787954554E-16</v>
      </c>
      <c r="M86">
        <v>-5.9211894646599074E-17</v>
      </c>
      <c r="N86">
        <v>1.2434497875801299E-15</v>
      </c>
      <c r="O86">
        <v>-2.2007087324057067E-16</v>
      </c>
      <c r="P86">
        <v>4.53957875354292E-17</v>
      </c>
      <c r="Q86">
        <v>1.085551416004572E-16</v>
      </c>
      <c r="R86">
        <v>1.9737298190784881E-17</v>
      </c>
      <c r="S86">
        <v>-6.6613381499208747E-17</v>
      </c>
      <c r="T86">
        <v>0</v>
      </c>
      <c r="U86">
        <v>0</v>
      </c>
      <c r="W86">
        <v>3.944304526105059E-31</v>
      </c>
      <c r="X86">
        <v>3.944304526105059E-31</v>
      </c>
      <c r="Y86">
        <v>-1.9721522630525295E-31</v>
      </c>
      <c r="Z86">
        <v>-1.9721522630525295E-31</v>
      </c>
      <c r="AA86">
        <v>3.944304526105059E-31</v>
      </c>
      <c r="AB86">
        <v>5.9164567891575885E-31</v>
      </c>
      <c r="AC86">
        <v>2.2204460492503131E-16</v>
      </c>
      <c r="AD86">
        <v>2.220446049250317E-16</v>
      </c>
      <c r="AE86">
        <v>2.2204460492503151E-16</v>
      </c>
      <c r="AF86">
        <v>2.2204460492503151E-16</v>
      </c>
      <c r="AH86" t="s">
        <v>712</v>
      </c>
      <c r="AI86" t="s">
        <v>1446</v>
      </c>
    </row>
    <row r="87" spans="1:35" x14ac:dyDescent="0.25">
      <c r="A87">
        <v>35.000000000000014</v>
      </c>
      <c r="B87">
        <v>31.000000000000011</v>
      </c>
      <c r="C87">
        <v>26.999999999999986</v>
      </c>
      <c r="D87">
        <v>22.999999999999975</v>
      </c>
      <c r="E87">
        <v>18.999999999999964</v>
      </c>
      <c r="F87">
        <v>14.999999999999998</v>
      </c>
      <c r="G87">
        <v>11.000000000000004</v>
      </c>
      <c r="H87">
        <v>7</v>
      </c>
      <c r="I87">
        <v>0</v>
      </c>
      <c r="J87">
        <v>0</v>
      </c>
      <c r="L87">
        <v>44.999999999999993</v>
      </c>
      <c r="M87">
        <v>41</v>
      </c>
      <c r="N87">
        <v>36.999999999999986</v>
      </c>
      <c r="O87">
        <v>33</v>
      </c>
      <c r="P87">
        <v>29</v>
      </c>
      <c r="Q87">
        <v>25</v>
      </c>
      <c r="R87">
        <v>21</v>
      </c>
      <c r="S87">
        <v>17</v>
      </c>
      <c r="T87">
        <v>0</v>
      </c>
      <c r="U87">
        <v>0</v>
      </c>
      <c r="W87">
        <v>50.000000000000007</v>
      </c>
      <c r="X87">
        <v>45.624999999999986</v>
      </c>
      <c r="Y87">
        <v>41.250000000000007</v>
      </c>
      <c r="Z87">
        <v>36.875000000000007</v>
      </c>
      <c r="AA87">
        <v>32.499999999999993</v>
      </c>
      <c r="AB87">
        <v>28.125</v>
      </c>
      <c r="AC87">
        <v>23.749999999999993</v>
      </c>
      <c r="AD87">
        <v>19.374999999999993</v>
      </c>
      <c r="AE87">
        <v>15</v>
      </c>
      <c r="AF87">
        <v>10.625</v>
      </c>
      <c r="AH87" t="s">
        <v>254</v>
      </c>
      <c r="AI87" s="60" t="s">
        <v>1450</v>
      </c>
    </row>
    <row r="88" spans="1:35" x14ac:dyDescent="0.25">
      <c r="A88">
        <v>-8.2896652505344096E-16</v>
      </c>
      <c r="B88">
        <v>-5.9211894646675752E-16</v>
      </c>
      <c r="C88">
        <v>1.3618735768735253E-15</v>
      </c>
      <c r="D88">
        <v>1.8947806286936001E-15</v>
      </c>
      <c r="E88">
        <v>2.9457917586720716E-15</v>
      </c>
      <c r="F88">
        <v>4.4408920985007484E-17</v>
      </c>
      <c r="G88">
        <v>-1.7763568394005281E-16</v>
      </c>
      <c r="H88">
        <v>-2.2204460492519224E-17</v>
      </c>
      <c r="I88">
        <v>0</v>
      </c>
      <c r="J88">
        <v>0</v>
      </c>
      <c r="L88">
        <v>-3.5527136786980626E-16</v>
      </c>
      <c r="M88">
        <v>-5.9211894646647195E-17</v>
      </c>
      <c r="N88">
        <v>1.243449787579442E-15</v>
      </c>
      <c r="O88">
        <v>-2.2007087317998615E-16</v>
      </c>
      <c r="P88">
        <v>4.5395787585108504E-17</v>
      </c>
      <c r="Q88">
        <v>1.085551416505404E-16</v>
      </c>
      <c r="R88">
        <v>1.9737298190027574E-17</v>
      </c>
      <c r="S88">
        <v>-6.6613381506933273E-17</v>
      </c>
      <c r="T88">
        <v>0</v>
      </c>
      <c r="U88">
        <v>0</v>
      </c>
      <c r="W88">
        <v>3.944304526105059E-31</v>
      </c>
      <c r="X88">
        <v>3.944304526105059E-31</v>
      </c>
      <c r="Y88">
        <v>-1.9721522630525295E-31</v>
      </c>
      <c r="Z88">
        <v>-1.9721522630525295E-31</v>
      </c>
      <c r="AA88">
        <v>3.944304526105059E-31</v>
      </c>
      <c r="AB88">
        <v>5.9164567891575885E-31</v>
      </c>
      <c r="AC88">
        <v>2.2204460492503131E-16</v>
      </c>
      <c r="AD88">
        <v>2.220446049250317E-16</v>
      </c>
      <c r="AE88">
        <v>2.2204460492503151E-16</v>
      </c>
      <c r="AF88">
        <v>2.2204460492503151E-16</v>
      </c>
      <c r="AH88" t="s">
        <v>718</v>
      </c>
      <c r="AI88" s="73" t="s">
        <v>1453</v>
      </c>
    </row>
    <row r="89" spans="1:35" x14ac:dyDescent="0.25">
      <c r="A89">
        <v>0</v>
      </c>
      <c r="B89">
        <v>0</v>
      </c>
      <c r="C89">
        <v>0</v>
      </c>
      <c r="D89">
        <v>0</v>
      </c>
      <c r="E89">
        <v>0</v>
      </c>
      <c r="F89">
        <v>0</v>
      </c>
      <c r="G89">
        <v>0</v>
      </c>
      <c r="H89">
        <v>0</v>
      </c>
      <c r="I89">
        <v>0</v>
      </c>
      <c r="J89">
        <v>0</v>
      </c>
      <c r="L89">
        <v>0</v>
      </c>
      <c r="M89">
        <v>0</v>
      </c>
      <c r="N89">
        <v>0</v>
      </c>
      <c r="O89">
        <v>0</v>
      </c>
      <c r="P89">
        <v>0</v>
      </c>
      <c r="Q89">
        <v>0</v>
      </c>
      <c r="R89">
        <v>0</v>
      </c>
      <c r="S89">
        <v>0</v>
      </c>
      <c r="T89">
        <v>0</v>
      </c>
      <c r="U89">
        <v>0</v>
      </c>
      <c r="W89">
        <v>0</v>
      </c>
      <c r="X89">
        <v>0</v>
      </c>
      <c r="Y89">
        <v>0</v>
      </c>
      <c r="Z89">
        <v>0</v>
      </c>
      <c r="AA89">
        <v>0</v>
      </c>
      <c r="AB89">
        <v>0</v>
      </c>
      <c r="AC89">
        <v>0</v>
      </c>
      <c r="AD89">
        <v>0</v>
      </c>
      <c r="AE89">
        <v>0</v>
      </c>
      <c r="AF89">
        <v>0</v>
      </c>
      <c r="AH89" t="s">
        <v>722</v>
      </c>
      <c r="AI89" s="60" t="s">
        <v>1456</v>
      </c>
    </row>
    <row r="90" spans="1:35" x14ac:dyDescent="0.25">
      <c r="A90">
        <v>-5.0000000000000009</v>
      </c>
      <c r="B90">
        <v>-4.6666666666666679</v>
      </c>
      <c r="C90">
        <v>-4.3333333333333304</v>
      </c>
      <c r="D90">
        <v>-3.9999999999999964</v>
      </c>
      <c r="E90">
        <v>-3.6666666666666621</v>
      </c>
      <c r="F90">
        <v>-3.3333333333333335</v>
      </c>
      <c r="G90">
        <v>-2.0000000000000018</v>
      </c>
      <c r="H90">
        <v>-0.66666666666666674</v>
      </c>
      <c r="I90">
        <v>0</v>
      </c>
      <c r="J90">
        <v>0</v>
      </c>
      <c r="L90">
        <v>-4.9999999999999991</v>
      </c>
      <c r="M90">
        <v>-4.666666666666667</v>
      </c>
      <c r="N90">
        <v>-4.3333333333333313</v>
      </c>
      <c r="O90">
        <v>-4.0000000000000009</v>
      </c>
      <c r="P90">
        <v>-3.6666666666666665</v>
      </c>
      <c r="Q90">
        <v>-3.3333333333333335</v>
      </c>
      <c r="R90">
        <v>-3</v>
      </c>
      <c r="S90">
        <v>-2.666666666666667</v>
      </c>
      <c r="T90">
        <v>0</v>
      </c>
      <c r="U90">
        <v>0</v>
      </c>
      <c r="W90">
        <v>-5</v>
      </c>
      <c r="X90">
        <v>-4.5</v>
      </c>
      <c r="Y90">
        <v>-4</v>
      </c>
      <c r="Z90">
        <v>-3.5</v>
      </c>
      <c r="AA90">
        <v>-3</v>
      </c>
      <c r="AB90">
        <v>-2.5</v>
      </c>
      <c r="AC90">
        <v>-2</v>
      </c>
      <c r="AD90">
        <v>-1.5</v>
      </c>
      <c r="AE90">
        <v>-1</v>
      </c>
      <c r="AF90">
        <v>-0.5</v>
      </c>
      <c r="AH90" t="s">
        <v>726</v>
      </c>
      <c r="AI90" t="s">
        <v>1461</v>
      </c>
    </row>
    <row r="91" spans="1:35" x14ac:dyDescent="0.25">
      <c r="A91">
        <v>0</v>
      </c>
      <c r="B91">
        <v>0</v>
      </c>
      <c r="C91">
        <v>0</v>
      </c>
      <c r="D91">
        <v>0</v>
      </c>
      <c r="E91">
        <v>0</v>
      </c>
      <c r="F91">
        <v>0</v>
      </c>
      <c r="G91">
        <v>0</v>
      </c>
      <c r="H91">
        <v>0</v>
      </c>
      <c r="I91">
        <v>0</v>
      </c>
      <c r="J91">
        <v>0</v>
      </c>
      <c r="L91">
        <v>-8.885729236409477E-27</v>
      </c>
      <c r="M91">
        <v>-9.087677628146056E-28</v>
      </c>
      <c r="N91">
        <v>6.815758221109542E-28</v>
      </c>
      <c r="O91">
        <v>-1.3490152568003479E-25</v>
      </c>
      <c r="P91">
        <v>-1.530768809363269E-25</v>
      </c>
      <c r="Q91">
        <v>3.1302000719169748E-25</v>
      </c>
      <c r="R91">
        <v>6.0907634947752233E-25</v>
      </c>
      <c r="S91">
        <v>1.0137809265176267E-25</v>
      </c>
      <c r="T91">
        <v>0</v>
      </c>
      <c r="U91">
        <v>0</v>
      </c>
      <c r="W91">
        <v>-1.9032394707859838E-16</v>
      </c>
      <c r="X91">
        <v>0.5</v>
      </c>
      <c r="Y91">
        <v>1</v>
      </c>
      <c r="Z91">
        <v>1.5</v>
      </c>
      <c r="AA91">
        <v>2</v>
      </c>
      <c r="AB91">
        <v>2.5</v>
      </c>
      <c r="AC91">
        <v>2.9999999999999987</v>
      </c>
      <c r="AD91">
        <v>3.4999999999999987</v>
      </c>
      <c r="AE91">
        <v>3.9999999999999987</v>
      </c>
      <c r="AF91">
        <v>4.4999999999999991</v>
      </c>
      <c r="AH91" t="s">
        <v>729</v>
      </c>
      <c r="AI91" t="s">
        <v>1465</v>
      </c>
    </row>
    <row r="92" spans="1:35" x14ac:dyDescent="0.25">
      <c r="A92">
        <v>9.6635460889573946E-30</v>
      </c>
      <c r="B92">
        <v>2.8398992587956425E-29</v>
      </c>
      <c r="C92">
        <v>1.1044052673094165E-29</v>
      </c>
      <c r="D92">
        <v>4.141519752410312E-30</v>
      </c>
      <c r="E92">
        <v>1.8143800820083272E-29</v>
      </c>
      <c r="F92">
        <v>7.2969633732943592E-30</v>
      </c>
      <c r="G92">
        <v>1.2306230121447784E-28</v>
      </c>
      <c r="H92">
        <v>6.3108872417680944E-29</v>
      </c>
      <c r="I92">
        <v>0</v>
      </c>
      <c r="J92">
        <v>0</v>
      </c>
      <c r="L92">
        <v>0</v>
      </c>
      <c r="M92">
        <v>0</v>
      </c>
      <c r="N92">
        <v>0</v>
      </c>
      <c r="O92">
        <v>0</v>
      </c>
      <c r="P92">
        <v>0</v>
      </c>
      <c r="Q92">
        <v>0</v>
      </c>
      <c r="R92">
        <v>0</v>
      </c>
      <c r="S92">
        <v>0</v>
      </c>
      <c r="T92">
        <v>0</v>
      </c>
      <c r="U92">
        <v>0</v>
      </c>
      <c r="W92">
        <v>0</v>
      </c>
      <c r="X92">
        <v>0</v>
      </c>
      <c r="Y92">
        <v>0</v>
      </c>
      <c r="Z92">
        <v>0</v>
      </c>
      <c r="AA92">
        <v>0</v>
      </c>
      <c r="AB92">
        <v>0</v>
      </c>
      <c r="AC92">
        <v>0</v>
      </c>
      <c r="AD92">
        <v>0</v>
      </c>
      <c r="AE92">
        <v>0</v>
      </c>
      <c r="AF92">
        <v>0</v>
      </c>
      <c r="AH92" t="s">
        <v>733</v>
      </c>
      <c r="AI92" t="s">
        <v>1469</v>
      </c>
    </row>
    <row r="93" spans="1:35" x14ac:dyDescent="0.25">
      <c r="A93">
        <v>0</v>
      </c>
      <c r="B93">
        <v>0</v>
      </c>
      <c r="C93">
        <v>0</v>
      </c>
      <c r="D93">
        <v>0</v>
      </c>
      <c r="E93">
        <v>0</v>
      </c>
      <c r="F93">
        <v>0</v>
      </c>
      <c r="G93">
        <v>0</v>
      </c>
      <c r="H93">
        <v>0</v>
      </c>
      <c r="I93">
        <v>0</v>
      </c>
      <c r="J93">
        <v>0</v>
      </c>
      <c r="L93">
        <v>0</v>
      </c>
      <c r="M93">
        <v>0</v>
      </c>
      <c r="N93">
        <v>0</v>
      </c>
      <c r="O93">
        <v>0</v>
      </c>
      <c r="P93">
        <v>0</v>
      </c>
      <c r="Q93">
        <v>0</v>
      </c>
      <c r="R93">
        <v>0</v>
      </c>
      <c r="S93">
        <v>0</v>
      </c>
      <c r="T93">
        <v>0</v>
      </c>
      <c r="U93">
        <v>0</v>
      </c>
      <c r="W93">
        <v>0</v>
      </c>
      <c r="X93">
        <v>0</v>
      </c>
      <c r="Y93">
        <v>0</v>
      </c>
      <c r="Z93">
        <v>0</v>
      </c>
      <c r="AA93">
        <v>0</v>
      </c>
      <c r="AB93">
        <v>0</v>
      </c>
      <c r="AC93">
        <v>0</v>
      </c>
      <c r="AD93">
        <v>0</v>
      </c>
      <c r="AE93">
        <v>0</v>
      </c>
      <c r="AF93">
        <v>0</v>
      </c>
      <c r="AH93" t="s">
        <v>737</v>
      </c>
      <c r="AI93" t="s">
        <v>1473</v>
      </c>
    </row>
    <row r="94" spans="1:35" x14ac:dyDescent="0.25">
      <c r="A94">
        <v>0</v>
      </c>
      <c r="B94">
        <v>0</v>
      </c>
      <c r="C94">
        <v>0</v>
      </c>
      <c r="D94">
        <v>0</v>
      </c>
      <c r="E94">
        <v>0</v>
      </c>
      <c r="F94">
        <v>0</v>
      </c>
      <c r="G94">
        <v>0</v>
      </c>
      <c r="H94">
        <v>0</v>
      </c>
      <c r="I94">
        <v>0</v>
      </c>
      <c r="J94">
        <v>0</v>
      </c>
      <c r="L94">
        <v>0</v>
      </c>
      <c r="M94">
        <v>0</v>
      </c>
      <c r="N94">
        <v>0</v>
      </c>
      <c r="O94">
        <v>0</v>
      </c>
      <c r="P94">
        <v>0</v>
      </c>
      <c r="Q94">
        <v>0</v>
      </c>
      <c r="R94">
        <v>0</v>
      </c>
      <c r="S94">
        <v>0</v>
      </c>
      <c r="T94">
        <v>0</v>
      </c>
      <c r="U94">
        <v>0</v>
      </c>
      <c r="W94">
        <v>0</v>
      </c>
      <c r="X94">
        <v>0</v>
      </c>
      <c r="Y94">
        <v>0</v>
      </c>
      <c r="Z94">
        <v>0</v>
      </c>
      <c r="AA94">
        <v>0</v>
      </c>
      <c r="AB94">
        <v>0</v>
      </c>
      <c r="AC94">
        <v>0</v>
      </c>
      <c r="AD94">
        <v>0</v>
      </c>
      <c r="AE94">
        <v>0</v>
      </c>
      <c r="AF94">
        <v>0</v>
      </c>
      <c r="AH94" t="s">
        <v>746</v>
      </c>
      <c r="AI94" t="s">
        <v>1480</v>
      </c>
    </row>
    <row r="95" spans="1:35" x14ac:dyDescent="0.25">
      <c r="A95">
        <v>0</v>
      </c>
      <c r="B95">
        <v>0</v>
      </c>
      <c r="C95">
        <v>0</v>
      </c>
      <c r="D95">
        <v>0</v>
      </c>
      <c r="E95">
        <v>0</v>
      </c>
      <c r="F95">
        <v>0</v>
      </c>
      <c r="G95">
        <v>0</v>
      </c>
      <c r="H95">
        <v>0</v>
      </c>
      <c r="I95">
        <v>0</v>
      </c>
      <c r="J95">
        <v>0</v>
      </c>
      <c r="L95">
        <v>0</v>
      </c>
      <c r="M95">
        <v>0</v>
      </c>
      <c r="N95">
        <v>0</v>
      </c>
      <c r="O95">
        <v>0</v>
      </c>
      <c r="P95">
        <v>0</v>
      </c>
      <c r="Q95">
        <v>0</v>
      </c>
      <c r="R95">
        <v>0</v>
      </c>
      <c r="S95">
        <v>0</v>
      </c>
      <c r="T95">
        <v>0</v>
      </c>
      <c r="U95">
        <v>0</v>
      </c>
      <c r="W95">
        <v>0</v>
      </c>
      <c r="X95">
        <v>0</v>
      </c>
      <c r="Y95">
        <v>0</v>
      </c>
      <c r="Z95">
        <v>0</v>
      </c>
      <c r="AA95">
        <v>0</v>
      </c>
      <c r="AB95">
        <v>0</v>
      </c>
      <c r="AC95">
        <v>0</v>
      </c>
      <c r="AD95">
        <v>0</v>
      </c>
      <c r="AE95">
        <v>0</v>
      </c>
      <c r="AF95">
        <v>0</v>
      </c>
      <c r="AH95" t="s">
        <v>1484</v>
      </c>
      <c r="AI95" t="s">
        <v>1486</v>
      </c>
    </row>
    <row r="96" spans="1:35" x14ac:dyDescent="0.25">
      <c r="A96">
        <v>0</v>
      </c>
      <c r="B96">
        <v>0</v>
      </c>
      <c r="C96">
        <v>0</v>
      </c>
      <c r="D96">
        <v>0</v>
      </c>
      <c r="E96">
        <v>0</v>
      </c>
      <c r="F96">
        <v>0</v>
      </c>
      <c r="G96">
        <v>0</v>
      </c>
      <c r="H96">
        <v>0</v>
      </c>
      <c r="I96">
        <v>0</v>
      </c>
      <c r="J96">
        <v>0</v>
      </c>
      <c r="L96">
        <v>0</v>
      </c>
      <c r="M96">
        <v>0</v>
      </c>
      <c r="N96">
        <v>0</v>
      </c>
      <c r="O96">
        <v>0</v>
      </c>
      <c r="P96">
        <v>0</v>
      </c>
      <c r="Q96">
        <v>0</v>
      </c>
      <c r="R96">
        <v>0</v>
      </c>
      <c r="S96">
        <v>0</v>
      </c>
      <c r="T96">
        <v>0</v>
      </c>
      <c r="U96">
        <v>0</v>
      </c>
      <c r="W96">
        <v>0</v>
      </c>
      <c r="X96">
        <v>0</v>
      </c>
      <c r="Y96">
        <v>0</v>
      </c>
      <c r="Z96">
        <v>0</v>
      </c>
      <c r="AA96">
        <v>0</v>
      </c>
      <c r="AB96">
        <v>0</v>
      </c>
      <c r="AC96">
        <v>0</v>
      </c>
      <c r="AD96">
        <v>0</v>
      </c>
      <c r="AE96">
        <v>0</v>
      </c>
      <c r="AF96">
        <v>0</v>
      </c>
      <c r="AH96" t="s">
        <v>1490</v>
      </c>
      <c r="AI96" t="s">
        <v>1491</v>
      </c>
    </row>
    <row r="97" spans="1:35" x14ac:dyDescent="0.25">
      <c r="A97">
        <v>0</v>
      </c>
      <c r="B97">
        <v>0</v>
      </c>
      <c r="C97">
        <v>0</v>
      </c>
      <c r="D97">
        <v>0</v>
      </c>
      <c r="E97">
        <v>0</v>
      </c>
      <c r="F97">
        <v>0</v>
      </c>
      <c r="G97">
        <v>0</v>
      </c>
      <c r="H97">
        <v>0</v>
      </c>
      <c r="I97">
        <v>0</v>
      </c>
      <c r="J97">
        <v>0</v>
      </c>
      <c r="L97">
        <v>0</v>
      </c>
      <c r="M97">
        <v>0</v>
      </c>
      <c r="N97">
        <v>0</v>
      </c>
      <c r="O97">
        <v>0</v>
      </c>
      <c r="P97">
        <v>0</v>
      </c>
      <c r="Q97">
        <v>0</v>
      </c>
      <c r="R97">
        <v>0</v>
      </c>
      <c r="S97">
        <v>0</v>
      </c>
      <c r="T97">
        <v>0</v>
      </c>
      <c r="U97">
        <v>0</v>
      </c>
      <c r="W97">
        <v>0</v>
      </c>
      <c r="X97">
        <v>0</v>
      </c>
      <c r="Y97">
        <v>0</v>
      </c>
      <c r="Z97">
        <v>0</v>
      </c>
      <c r="AA97">
        <v>0</v>
      </c>
      <c r="AB97">
        <v>0</v>
      </c>
      <c r="AC97">
        <v>0</v>
      </c>
      <c r="AD97">
        <v>0</v>
      </c>
      <c r="AE97">
        <v>0</v>
      </c>
      <c r="AF97">
        <v>0</v>
      </c>
      <c r="AH97" t="s">
        <v>1495</v>
      </c>
      <c r="AI97" t="s">
        <v>1496</v>
      </c>
    </row>
    <row r="98" spans="1:35" x14ac:dyDescent="0.25">
      <c r="A98">
        <v>0</v>
      </c>
      <c r="B98">
        <v>0</v>
      </c>
      <c r="C98">
        <v>0</v>
      </c>
      <c r="D98">
        <v>0</v>
      </c>
      <c r="E98">
        <v>0</v>
      </c>
      <c r="F98">
        <v>0</v>
      </c>
      <c r="G98">
        <v>0</v>
      </c>
      <c r="H98">
        <v>0</v>
      </c>
      <c r="I98">
        <v>0</v>
      </c>
      <c r="J98">
        <v>0</v>
      </c>
      <c r="L98">
        <v>0</v>
      </c>
      <c r="M98">
        <v>0</v>
      </c>
      <c r="N98">
        <v>0</v>
      </c>
      <c r="O98">
        <v>0</v>
      </c>
      <c r="P98">
        <v>0</v>
      </c>
      <c r="Q98">
        <v>0</v>
      </c>
      <c r="R98">
        <v>0</v>
      </c>
      <c r="S98">
        <v>0</v>
      </c>
      <c r="T98">
        <v>0</v>
      </c>
      <c r="U98">
        <v>0</v>
      </c>
      <c r="W98">
        <v>0</v>
      </c>
      <c r="X98">
        <v>0</v>
      </c>
      <c r="Y98">
        <v>0</v>
      </c>
      <c r="Z98">
        <v>0</v>
      </c>
      <c r="AA98">
        <v>0</v>
      </c>
      <c r="AB98">
        <v>0</v>
      </c>
      <c r="AC98">
        <v>0</v>
      </c>
      <c r="AD98">
        <v>0</v>
      </c>
      <c r="AE98">
        <v>0</v>
      </c>
      <c r="AF98">
        <v>0</v>
      </c>
      <c r="AH98" t="s">
        <v>1500</v>
      </c>
      <c r="AI98" t="s">
        <v>1502</v>
      </c>
    </row>
    <row r="99" spans="1:35" x14ac:dyDescent="0.25">
      <c r="A99">
        <v>10</v>
      </c>
      <c r="B99">
        <v>10</v>
      </c>
      <c r="C99">
        <v>10</v>
      </c>
      <c r="D99">
        <v>10</v>
      </c>
      <c r="E99">
        <v>10</v>
      </c>
      <c r="F99">
        <v>10</v>
      </c>
      <c r="G99">
        <v>10</v>
      </c>
      <c r="H99">
        <v>10</v>
      </c>
      <c r="I99">
        <v>0</v>
      </c>
      <c r="J99">
        <v>0</v>
      </c>
      <c r="L99">
        <v>10</v>
      </c>
      <c r="M99">
        <v>10</v>
      </c>
      <c r="N99">
        <v>10</v>
      </c>
      <c r="O99">
        <v>10</v>
      </c>
      <c r="P99">
        <v>10</v>
      </c>
      <c r="Q99">
        <v>10</v>
      </c>
      <c r="R99">
        <v>10</v>
      </c>
      <c r="S99">
        <v>10</v>
      </c>
      <c r="T99">
        <v>0</v>
      </c>
      <c r="U99">
        <v>0</v>
      </c>
      <c r="W99">
        <v>10</v>
      </c>
      <c r="X99">
        <v>10</v>
      </c>
      <c r="Y99">
        <v>10</v>
      </c>
      <c r="Z99">
        <v>10</v>
      </c>
      <c r="AA99">
        <v>10</v>
      </c>
      <c r="AB99">
        <v>10</v>
      </c>
      <c r="AC99">
        <v>10</v>
      </c>
      <c r="AD99">
        <v>10</v>
      </c>
      <c r="AE99">
        <v>10</v>
      </c>
      <c r="AF99">
        <v>10</v>
      </c>
      <c r="AH99" t="s">
        <v>751</v>
      </c>
      <c r="AI99" t="s">
        <v>1507</v>
      </c>
    </row>
    <row r="100" spans="1:35" x14ac:dyDescent="0.25">
      <c r="A100">
        <v>-19.999999999999993</v>
      </c>
      <c r="B100">
        <v>-18.666666666666657</v>
      </c>
      <c r="C100">
        <v>-17.333333333333339</v>
      </c>
      <c r="D100">
        <v>-16.000000000000011</v>
      </c>
      <c r="E100">
        <v>-14.666666666666675</v>
      </c>
      <c r="F100">
        <v>-13.333333333333336</v>
      </c>
      <c r="G100">
        <v>-12</v>
      </c>
      <c r="H100">
        <v>-10.666666666666666</v>
      </c>
      <c r="I100">
        <v>0</v>
      </c>
      <c r="J100">
        <v>0</v>
      </c>
      <c r="L100">
        <v>-19.999999999999993</v>
      </c>
      <c r="M100">
        <v>-18.666666666666664</v>
      </c>
      <c r="N100">
        <v>-17.333333333333339</v>
      </c>
      <c r="O100">
        <v>-16</v>
      </c>
      <c r="P100">
        <v>-14.666666666666666</v>
      </c>
      <c r="Q100">
        <v>-13.333333333333337</v>
      </c>
      <c r="R100">
        <v>-12</v>
      </c>
      <c r="S100">
        <v>-10.666666666666666</v>
      </c>
      <c r="T100">
        <v>0</v>
      </c>
      <c r="U100">
        <v>0</v>
      </c>
      <c r="W100">
        <v>-19.999999999999993</v>
      </c>
      <c r="X100">
        <v>-19.000000000000007</v>
      </c>
      <c r="Y100">
        <v>-17.999999999999993</v>
      </c>
      <c r="Z100">
        <v>-16.999999999999993</v>
      </c>
      <c r="AA100">
        <v>-16.000000000000007</v>
      </c>
      <c r="AB100">
        <v>-15.000000000000004</v>
      </c>
      <c r="AC100">
        <v>-14.000000000000004</v>
      </c>
      <c r="AD100">
        <v>-13.000000000000007</v>
      </c>
      <c r="AE100">
        <v>-12</v>
      </c>
      <c r="AF100">
        <v>-10.999999999999998</v>
      </c>
      <c r="AH100" t="s">
        <v>756</v>
      </c>
      <c r="AI100" t="s">
        <v>1508</v>
      </c>
    </row>
    <row r="101" spans="1:35" x14ac:dyDescent="0.25">
      <c r="A101">
        <v>1.4210854715202004E-14</v>
      </c>
      <c r="B101">
        <v>3.5527136788005009E-15</v>
      </c>
      <c r="C101">
        <v>-1.0658141036401503E-14</v>
      </c>
      <c r="D101">
        <v>7.1054273576010019E-15</v>
      </c>
      <c r="E101">
        <v>-3.5527136788005009E-15</v>
      </c>
      <c r="F101">
        <v>-3.5527136788005009E-15</v>
      </c>
      <c r="G101">
        <v>3.5527136788005009E-15</v>
      </c>
      <c r="H101">
        <v>1.7763568394002505E-15</v>
      </c>
      <c r="I101">
        <v>0</v>
      </c>
      <c r="J101">
        <v>0</v>
      </c>
      <c r="L101">
        <v>2.7296683432095587E-14</v>
      </c>
      <c r="M101">
        <v>-3.6711374680937937E-15</v>
      </c>
      <c r="N101">
        <v>1.4684549872379264E-14</v>
      </c>
      <c r="O101">
        <v>1.7696461575728854E-14</v>
      </c>
      <c r="P101">
        <v>1.2889442595867608E-14</v>
      </c>
      <c r="Q101">
        <v>-1.6125372645844389E-14</v>
      </c>
      <c r="R101">
        <v>-4.4902353537242488E-16</v>
      </c>
      <c r="S101">
        <v>6.1506355559808579E-15</v>
      </c>
      <c r="T101">
        <v>0</v>
      </c>
      <c r="U101">
        <v>0</v>
      </c>
      <c r="W101">
        <v>-3.4892723631076335E-15</v>
      </c>
      <c r="X101">
        <v>-0.49999999999999378</v>
      </c>
      <c r="Y101">
        <v>-1.00000000000001</v>
      </c>
      <c r="Z101">
        <v>-1.50000000000001</v>
      </c>
      <c r="AA101">
        <v>-1.9999999999999993</v>
      </c>
      <c r="AB101">
        <v>-2.5</v>
      </c>
      <c r="AC101">
        <v>-3</v>
      </c>
      <c r="AD101">
        <v>-3.5000000000000004</v>
      </c>
      <c r="AE101">
        <v>-4.0000000000000053</v>
      </c>
      <c r="AF101">
        <v>-4.5</v>
      </c>
      <c r="AH101" t="s">
        <v>760</v>
      </c>
      <c r="AI101" t="s">
        <v>1509</v>
      </c>
    </row>
    <row r="102" spans="1:35" x14ac:dyDescent="0.25">
      <c r="A102">
        <v>20</v>
      </c>
      <c r="B102">
        <v>19</v>
      </c>
      <c r="C102">
        <v>18</v>
      </c>
      <c r="D102">
        <v>17</v>
      </c>
      <c r="E102">
        <v>16</v>
      </c>
      <c r="F102">
        <v>15</v>
      </c>
      <c r="G102">
        <v>14</v>
      </c>
      <c r="H102">
        <v>13</v>
      </c>
      <c r="I102">
        <v>0</v>
      </c>
      <c r="J102">
        <v>0</v>
      </c>
      <c r="L102">
        <v>20</v>
      </c>
      <c r="M102">
        <v>19</v>
      </c>
      <c r="N102">
        <v>18</v>
      </c>
      <c r="O102">
        <v>17</v>
      </c>
      <c r="P102">
        <v>16</v>
      </c>
      <c r="Q102">
        <v>15</v>
      </c>
      <c r="R102">
        <v>14</v>
      </c>
      <c r="S102">
        <v>13</v>
      </c>
      <c r="T102">
        <v>0</v>
      </c>
      <c r="U102">
        <v>0</v>
      </c>
      <c r="W102">
        <v>20</v>
      </c>
      <c r="X102">
        <v>19</v>
      </c>
      <c r="Y102">
        <v>18</v>
      </c>
      <c r="Z102">
        <v>17</v>
      </c>
      <c r="AA102">
        <v>16</v>
      </c>
      <c r="AB102">
        <v>15</v>
      </c>
      <c r="AC102">
        <v>14</v>
      </c>
      <c r="AD102">
        <v>13</v>
      </c>
      <c r="AE102">
        <v>12</v>
      </c>
      <c r="AF102">
        <v>11</v>
      </c>
      <c r="AH102" t="s">
        <v>765</v>
      </c>
      <c r="AI102" t="s">
        <v>1510</v>
      </c>
    </row>
    <row r="103" spans="1:35" x14ac:dyDescent="0.25">
      <c r="A103">
        <v>7.1054273576010019E-15</v>
      </c>
      <c r="B103">
        <v>0.6666666666666714</v>
      </c>
      <c r="C103">
        <v>1.3333333333333233</v>
      </c>
      <c r="D103">
        <v>1.9999999999999876</v>
      </c>
      <c r="E103">
        <v>2.6666666666666465</v>
      </c>
      <c r="F103">
        <v>3.333333333333333</v>
      </c>
      <c r="G103">
        <v>4.0000000000000018</v>
      </c>
      <c r="H103">
        <v>4.666666666666667</v>
      </c>
      <c r="I103">
        <v>0</v>
      </c>
      <c r="J103">
        <v>0</v>
      </c>
      <c r="L103">
        <v>1.7763568394002505E-15</v>
      </c>
      <c r="M103">
        <v>0.66666666666666607</v>
      </c>
      <c r="N103">
        <v>1.333333333333325</v>
      </c>
      <c r="O103">
        <v>2.0000000000000018</v>
      </c>
      <c r="P103">
        <v>2.666666666666667</v>
      </c>
      <c r="Q103">
        <v>3.333333333333333</v>
      </c>
      <c r="R103">
        <v>4</v>
      </c>
      <c r="S103">
        <v>4.6666666666666679</v>
      </c>
      <c r="T103">
        <v>0</v>
      </c>
      <c r="U103">
        <v>0</v>
      </c>
      <c r="W103">
        <v>0</v>
      </c>
      <c r="X103">
        <v>0</v>
      </c>
      <c r="Y103">
        <v>0</v>
      </c>
      <c r="Z103">
        <v>0</v>
      </c>
      <c r="AA103">
        <v>0</v>
      </c>
      <c r="AB103">
        <v>0</v>
      </c>
      <c r="AC103">
        <v>0</v>
      </c>
      <c r="AD103">
        <v>0</v>
      </c>
      <c r="AE103">
        <v>0</v>
      </c>
      <c r="AF103">
        <v>0</v>
      </c>
      <c r="AH103" t="s">
        <v>770</v>
      </c>
      <c r="AI103" t="s">
        <v>1511</v>
      </c>
    </row>
    <row r="104" spans="1:35" x14ac:dyDescent="0.25">
      <c r="A104">
        <v>0</v>
      </c>
      <c r="B104">
        <v>0</v>
      </c>
      <c r="C104">
        <v>0</v>
      </c>
      <c r="D104">
        <v>0</v>
      </c>
      <c r="E104">
        <v>0</v>
      </c>
      <c r="F104">
        <v>0</v>
      </c>
      <c r="G104">
        <v>0</v>
      </c>
      <c r="H104">
        <v>0</v>
      </c>
      <c r="I104">
        <v>0</v>
      </c>
      <c r="J104">
        <v>0</v>
      </c>
      <c r="L104">
        <v>0</v>
      </c>
      <c r="M104">
        <v>0</v>
      </c>
      <c r="N104">
        <v>0</v>
      </c>
      <c r="O104">
        <v>0</v>
      </c>
      <c r="P104">
        <v>0</v>
      </c>
      <c r="Q104">
        <v>0</v>
      </c>
      <c r="R104">
        <v>0</v>
      </c>
      <c r="S104">
        <v>0</v>
      </c>
      <c r="T104">
        <v>0</v>
      </c>
      <c r="U104">
        <v>0</v>
      </c>
      <c r="W104">
        <v>0</v>
      </c>
      <c r="X104">
        <v>0</v>
      </c>
      <c r="Y104">
        <v>0</v>
      </c>
      <c r="Z104">
        <v>0</v>
      </c>
      <c r="AA104">
        <v>0</v>
      </c>
      <c r="AB104">
        <v>0</v>
      </c>
      <c r="AC104">
        <v>0</v>
      </c>
      <c r="AD104">
        <v>0</v>
      </c>
      <c r="AE104">
        <v>0</v>
      </c>
      <c r="AF104">
        <v>0</v>
      </c>
      <c r="AH104" t="s">
        <v>774</v>
      </c>
      <c r="AI104" t="s">
        <v>1512</v>
      </c>
    </row>
    <row r="105" spans="1:35" x14ac:dyDescent="0.25">
      <c r="A105">
        <v>0</v>
      </c>
      <c r="B105">
        <v>0</v>
      </c>
      <c r="C105">
        <v>0</v>
      </c>
      <c r="D105">
        <v>0</v>
      </c>
      <c r="E105">
        <v>0</v>
      </c>
      <c r="F105">
        <v>0</v>
      </c>
      <c r="G105">
        <v>0</v>
      </c>
      <c r="H105">
        <v>0</v>
      </c>
      <c r="I105">
        <v>0</v>
      </c>
      <c r="J105">
        <v>0</v>
      </c>
      <c r="L105">
        <v>0</v>
      </c>
      <c r="M105">
        <v>0</v>
      </c>
      <c r="N105">
        <v>0</v>
      </c>
      <c r="O105">
        <v>0</v>
      </c>
      <c r="P105">
        <v>0</v>
      </c>
      <c r="Q105">
        <v>0</v>
      </c>
      <c r="R105">
        <v>0</v>
      </c>
      <c r="S105">
        <v>0</v>
      </c>
      <c r="T105">
        <v>0</v>
      </c>
      <c r="U105">
        <v>0</v>
      </c>
      <c r="W105">
        <v>-5.1070259132757217E-15</v>
      </c>
      <c r="X105">
        <v>9.1038288019262836E-15</v>
      </c>
      <c r="Y105">
        <v>-5.1704672289685875E-15</v>
      </c>
      <c r="Z105">
        <v>-5.1704672289685875E-15</v>
      </c>
      <c r="AA105">
        <v>3.4892723631076335E-15</v>
      </c>
      <c r="AB105">
        <v>1.2688263138573015E-16</v>
      </c>
      <c r="AC105">
        <v>2.6010939434075083E-15</v>
      </c>
      <c r="AD105">
        <v>3.0451831532575709E-15</v>
      </c>
      <c r="AE105">
        <v>-5.0753052554293006E-16</v>
      </c>
      <c r="AF105">
        <v>-5.0753052554293006E-16</v>
      </c>
      <c r="AH105" t="s">
        <v>778</v>
      </c>
      <c r="AI105" t="s">
        <v>1513</v>
      </c>
    </row>
    <row r="106" spans="1:35" x14ac:dyDescent="0.25">
      <c r="A106">
        <v>0</v>
      </c>
      <c r="B106">
        <v>0</v>
      </c>
      <c r="C106">
        <v>0</v>
      </c>
      <c r="D106">
        <v>0</v>
      </c>
      <c r="E106">
        <v>0</v>
      </c>
      <c r="F106">
        <v>0</v>
      </c>
      <c r="G106">
        <v>0</v>
      </c>
      <c r="H106">
        <v>0</v>
      </c>
      <c r="I106">
        <v>0</v>
      </c>
      <c r="J106">
        <v>0</v>
      </c>
      <c r="L106">
        <v>0</v>
      </c>
      <c r="M106">
        <v>0</v>
      </c>
      <c r="N106">
        <v>0</v>
      </c>
      <c r="O106">
        <v>0</v>
      </c>
      <c r="P106">
        <v>0</v>
      </c>
      <c r="Q106">
        <v>0</v>
      </c>
      <c r="R106">
        <v>0</v>
      </c>
      <c r="S106">
        <v>0</v>
      </c>
      <c r="T106">
        <v>0</v>
      </c>
      <c r="U106">
        <v>0</v>
      </c>
      <c r="W106">
        <v>0</v>
      </c>
      <c r="X106">
        <v>0</v>
      </c>
      <c r="Y106">
        <v>0</v>
      </c>
      <c r="Z106">
        <v>0</v>
      </c>
      <c r="AA106">
        <v>0</v>
      </c>
      <c r="AB106">
        <v>0</v>
      </c>
      <c r="AC106">
        <v>0</v>
      </c>
      <c r="AD106">
        <v>0</v>
      </c>
      <c r="AE106">
        <v>0</v>
      </c>
      <c r="AF106">
        <v>0</v>
      </c>
      <c r="AH106" t="s">
        <v>781</v>
      </c>
      <c r="AI106" t="s">
        <v>1514</v>
      </c>
    </row>
    <row r="107" spans="1:35" x14ac:dyDescent="0.25">
      <c r="A107">
        <v>0</v>
      </c>
      <c r="B107">
        <v>0</v>
      </c>
      <c r="C107">
        <v>0</v>
      </c>
      <c r="D107">
        <v>0</v>
      </c>
      <c r="E107">
        <v>0</v>
      </c>
      <c r="F107">
        <v>0</v>
      </c>
      <c r="G107">
        <v>0</v>
      </c>
      <c r="H107">
        <v>0</v>
      </c>
      <c r="I107">
        <v>0</v>
      </c>
      <c r="J107">
        <v>0</v>
      </c>
      <c r="L107">
        <v>0</v>
      </c>
      <c r="M107">
        <v>0</v>
      </c>
      <c r="N107">
        <v>0</v>
      </c>
      <c r="O107">
        <v>0</v>
      </c>
      <c r="P107">
        <v>0</v>
      </c>
      <c r="Q107">
        <v>0</v>
      </c>
      <c r="R107">
        <v>0</v>
      </c>
      <c r="S107">
        <v>0</v>
      </c>
      <c r="T107">
        <v>0</v>
      </c>
      <c r="U107">
        <v>0</v>
      </c>
      <c r="W107">
        <v>0</v>
      </c>
      <c r="X107">
        <v>0</v>
      </c>
      <c r="Y107">
        <v>0</v>
      </c>
      <c r="Z107">
        <v>0</v>
      </c>
      <c r="AA107">
        <v>0</v>
      </c>
      <c r="AB107">
        <v>0</v>
      </c>
      <c r="AC107">
        <v>0</v>
      </c>
      <c r="AD107">
        <v>0</v>
      </c>
      <c r="AE107">
        <v>0</v>
      </c>
      <c r="AF107">
        <v>0</v>
      </c>
      <c r="AH107" t="s">
        <v>785</v>
      </c>
      <c r="AI107" t="s">
        <v>1515</v>
      </c>
    </row>
    <row r="108" spans="1:35" x14ac:dyDescent="0.25">
      <c r="A108">
        <v>0</v>
      </c>
      <c r="B108">
        <v>0</v>
      </c>
      <c r="C108">
        <v>0</v>
      </c>
      <c r="D108">
        <v>0</v>
      </c>
      <c r="E108">
        <v>0</v>
      </c>
      <c r="F108">
        <v>0</v>
      </c>
      <c r="G108">
        <v>0</v>
      </c>
      <c r="H108">
        <v>0</v>
      </c>
      <c r="I108">
        <v>0</v>
      </c>
      <c r="J108">
        <v>0</v>
      </c>
      <c r="L108">
        <v>0</v>
      </c>
      <c r="M108">
        <v>0</v>
      </c>
      <c r="N108">
        <v>0</v>
      </c>
      <c r="O108">
        <v>0</v>
      </c>
      <c r="P108">
        <v>0</v>
      </c>
      <c r="Q108">
        <v>0</v>
      </c>
      <c r="R108">
        <v>0</v>
      </c>
      <c r="S108">
        <v>0</v>
      </c>
      <c r="T108">
        <v>0</v>
      </c>
      <c r="U108">
        <v>0</v>
      </c>
      <c r="W108">
        <v>0</v>
      </c>
      <c r="X108">
        <v>0</v>
      </c>
      <c r="Y108">
        <v>0</v>
      </c>
      <c r="Z108">
        <v>0</v>
      </c>
      <c r="AA108">
        <v>0</v>
      </c>
      <c r="AB108">
        <v>0</v>
      </c>
      <c r="AC108">
        <v>0</v>
      </c>
      <c r="AD108">
        <v>0</v>
      </c>
      <c r="AE108">
        <v>0</v>
      </c>
      <c r="AF108">
        <v>0</v>
      </c>
      <c r="AH108" t="s">
        <v>788</v>
      </c>
      <c r="AI108" s="60" t="s">
        <v>1516</v>
      </c>
    </row>
    <row r="109" spans="1:35" x14ac:dyDescent="0.25">
      <c r="A109">
        <v>0</v>
      </c>
      <c r="B109">
        <v>0</v>
      </c>
      <c r="C109">
        <v>0</v>
      </c>
      <c r="D109">
        <v>0</v>
      </c>
      <c r="E109">
        <v>0</v>
      </c>
      <c r="F109">
        <v>0</v>
      </c>
      <c r="G109">
        <v>0</v>
      </c>
      <c r="H109">
        <v>0</v>
      </c>
      <c r="I109">
        <v>0</v>
      </c>
      <c r="J109">
        <v>0</v>
      </c>
      <c r="L109">
        <v>0</v>
      </c>
      <c r="M109">
        <v>0</v>
      </c>
      <c r="N109">
        <v>0</v>
      </c>
      <c r="O109">
        <v>0</v>
      </c>
      <c r="P109">
        <v>0</v>
      </c>
      <c r="Q109">
        <v>0</v>
      </c>
      <c r="R109">
        <v>0</v>
      </c>
      <c r="S109">
        <v>0</v>
      </c>
      <c r="T109">
        <v>0</v>
      </c>
      <c r="U109">
        <v>0</v>
      </c>
      <c r="W109">
        <v>0</v>
      </c>
      <c r="X109">
        <v>0</v>
      </c>
      <c r="Y109">
        <v>0</v>
      </c>
      <c r="Z109">
        <v>0</v>
      </c>
      <c r="AA109">
        <v>0</v>
      </c>
      <c r="AB109">
        <v>0</v>
      </c>
      <c r="AC109">
        <v>0</v>
      </c>
      <c r="AD109">
        <v>0</v>
      </c>
      <c r="AE109">
        <v>0</v>
      </c>
      <c r="AF109">
        <v>0</v>
      </c>
      <c r="AH109" t="s">
        <v>792</v>
      </c>
      <c r="AI109" t="s">
        <v>1519</v>
      </c>
    </row>
    <row r="110" spans="1:35" x14ac:dyDescent="0.25">
      <c r="A110">
        <v>0</v>
      </c>
      <c r="B110">
        <v>0</v>
      </c>
      <c r="C110">
        <v>0</v>
      </c>
      <c r="D110">
        <v>0</v>
      </c>
      <c r="E110">
        <v>0</v>
      </c>
      <c r="F110">
        <v>0</v>
      </c>
      <c r="G110">
        <v>0</v>
      </c>
      <c r="H110">
        <v>0</v>
      </c>
      <c r="I110">
        <v>0</v>
      </c>
      <c r="J110">
        <v>0</v>
      </c>
      <c r="L110">
        <v>0</v>
      </c>
      <c r="M110">
        <v>0</v>
      </c>
      <c r="N110">
        <v>0</v>
      </c>
      <c r="O110">
        <v>0</v>
      </c>
      <c r="P110">
        <v>0</v>
      </c>
      <c r="Q110">
        <v>0</v>
      </c>
      <c r="R110">
        <v>0</v>
      </c>
      <c r="S110">
        <v>0</v>
      </c>
      <c r="T110">
        <v>0</v>
      </c>
      <c r="U110">
        <v>0</v>
      </c>
      <c r="W110">
        <v>0</v>
      </c>
      <c r="X110">
        <v>0</v>
      </c>
      <c r="Y110">
        <v>0</v>
      </c>
      <c r="Z110">
        <v>0</v>
      </c>
      <c r="AA110">
        <v>0</v>
      </c>
      <c r="AB110">
        <v>0</v>
      </c>
      <c r="AC110">
        <v>0</v>
      </c>
      <c r="AD110">
        <v>0</v>
      </c>
      <c r="AE110">
        <v>0</v>
      </c>
      <c r="AF110">
        <v>0</v>
      </c>
      <c r="AH110" t="s">
        <v>795</v>
      </c>
      <c r="AI110" t="s">
        <v>1520</v>
      </c>
    </row>
    <row r="111" spans="1:35" x14ac:dyDescent="0.25">
      <c r="A111">
        <v>0</v>
      </c>
      <c r="B111">
        <v>0</v>
      </c>
      <c r="C111">
        <v>0</v>
      </c>
      <c r="D111">
        <v>0</v>
      </c>
      <c r="E111">
        <v>0</v>
      </c>
      <c r="F111">
        <v>0</v>
      </c>
      <c r="G111">
        <v>0</v>
      </c>
      <c r="H111">
        <v>0</v>
      </c>
      <c r="I111">
        <v>0</v>
      </c>
      <c r="J111">
        <v>0</v>
      </c>
      <c r="L111">
        <v>0</v>
      </c>
      <c r="M111">
        <v>0</v>
      </c>
      <c r="N111">
        <v>0</v>
      </c>
      <c r="O111">
        <v>0</v>
      </c>
      <c r="P111">
        <v>0</v>
      </c>
      <c r="Q111">
        <v>0</v>
      </c>
      <c r="R111">
        <v>0</v>
      </c>
      <c r="S111">
        <v>0</v>
      </c>
      <c r="T111">
        <v>0</v>
      </c>
      <c r="U111">
        <v>0</v>
      </c>
      <c r="W111">
        <v>0</v>
      </c>
      <c r="X111">
        <v>0</v>
      </c>
      <c r="Y111">
        <v>0</v>
      </c>
      <c r="Z111">
        <v>0</v>
      </c>
      <c r="AA111">
        <v>0</v>
      </c>
      <c r="AB111">
        <v>0</v>
      </c>
      <c r="AC111">
        <v>0</v>
      </c>
      <c r="AD111">
        <v>0</v>
      </c>
      <c r="AE111">
        <v>0</v>
      </c>
      <c r="AF111">
        <v>0</v>
      </c>
      <c r="AH111" t="s">
        <v>798</v>
      </c>
      <c r="AI111" t="s">
        <v>1521</v>
      </c>
    </row>
    <row r="112" spans="1:35" x14ac:dyDescent="0.25">
      <c r="A112">
        <v>0</v>
      </c>
      <c r="B112">
        <v>0</v>
      </c>
      <c r="C112">
        <v>0</v>
      </c>
      <c r="D112">
        <v>0</v>
      </c>
      <c r="E112">
        <v>0</v>
      </c>
      <c r="F112">
        <v>0</v>
      </c>
      <c r="G112">
        <v>0</v>
      </c>
      <c r="H112">
        <v>0</v>
      </c>
      <c r="I112">
        <v>0</v>
      </c>
      <c r="J112">
        <v>0</v>
      </c>
      <c r="L112">
        <v>0</v>
      </c>
      <c r="M112">
        <v>0</v>
      </c>
      <c r="N112">
        <v>0</v>
      </c>
      <c r="O112">
        <v>0</v>
      </c>
      <c r="P112">
        <v>0</v>
      </c>
      <c r="Q112">
        <v>0</v>
      </c>
      <c r="R112">
        <v>0</v>
      </c>
      <c r="S112">
        <v>0</v>
      </c>
      <c r="T112">
        <v>0</v>
      </c>
      <c r="U112">
        <v>0</v>
      </c>
      <c r="W112">
        <v>0</v>
      </c>
      <c r="X112">
        <v>0</v>
      </c>
      <c r="Y112">
        <v>0</v>
      </c>
      <c r="Z112">
        <v>0</v>
      </c>
      <c r="AA112">
        <v>0</v>
      </c>
      <c r="AB112">
        <v>0</v>
      </c>
      <c r="AC112">
        <v>0</v>
      </c>
      <c r="AD112">
        <v>0</v>
      </c>
      <c r="AE112">
        <v>0</v>
      </c>
      <c r="AF112">
        <v>0</v>
      </c>
      <c r="AH112" t="s">
        <v>802</v>
      </c>
      <c r="AI112" t="s">
        <v>1523</v>
      </c>
    </row>
    <row r="113" spans="1:35" x14ac:dyDescent="0.25">
      <c r="A113">
        <v>0</v>
      </c>
      <c r="B113">
        <v>0</v>
      </c>
      <c r="C113">
        <v>0</v>
      </c>
      <c r="D113">
        <v>0</v>
      </c>
      <c r="E113">
        <v>0</v>
      </c>
      <c r="F113">
        <v>0</v>
      </c>
      <c r="G113">
        <v>0</v>
      </c>
      <c r="H113">
        <v>0</v>
      </c>
      <c r="I113">
        <v>0</v>
      </c>
      <c r="J113">
        <v>0</v>
      </c>
      <c r="L113">
        <v>0</v>
      </c>
      <c r="M113">
        <v>0</v>
      </c>
      <c r="N113">
        <v>0</v>
      </c>
      <c r="O113">
        <v>0</v>
      </c>
      <c r="P113">
        <v>0</v>
      </c>
      <c r="Q113">
        <v>0</v>
      </c>
      <c r="R113">
        <v>0</v>
      </c>
      <c r="S113">
        <v>0</v>
      </c>
      <c r="T113">
        <v>0</v>
      </c>
      <c r="U113">
        <v>0</v>
      </c>
      <c r="W113">
        <v>-1.9032394707859838E-16</v>
      </c>
      <c r="X113">
        <v>0.5</v>
      </c>
      <c r="Y113">
        <v>1</v>
      </c>
      <c r="Z113">
        <v>1.5</v>
      </c>
      <c r="AA113">
        <v>2</v>
      </c>
      <c r="AB113">
        <v>2.5</v>
      </c>
      <c r="AC113">
        <v>2.9999999999999987</v>
      </c>
      <c r="AD113">
        <v>3.4999999999999987</v>
      </c>
      <c r="AE113">
        <v>3.9999999999999987</v>
      </c>
      <c r="AF113">
        <v>4.4999999999999991</v>
      </c>
      <c r="AH113" t="s">
        <v>805</v>
      </c>
      <c r="AI113" t="s">
        <v>1524</v>
      </c>
    </row>
    <row r="114" spans="1:35" x14ac:dyDescent="0.25">
      <c r="A114">
        <v>0</v>
      </c>
      <c r="B114">
        <v>0</v>
      </c>
      <c r="C114">
        <v>0</v>
      </c>
      <c r="D114">
        <v>0</v>
      </c>
      <c r="E114">
        <v>0</v>
      </c>
      <c r="F114">
        <v>0</v>
      </c>
      <c r="G114">
        <v>0</v>
      </c>
      <c r="H114">
        <v>0</v>
      </c>
      <c r="I114">
        <v>0</v>
      </c>
      <c r="J114">
        <v>0</v>
      </c>
      <c r="L114">
        <v>2.261821987449685E-26</v>
      </c>
      <c r="M114">
        <v>7.0681937107802658E-28</v>
      </c>
      <c r="N114">
        <v>-8.8352421384753322E-28</v>
      </c>
      <c r="O114">
        <v>3.4169667881829171E-25</v>
      </c>
      <c r="P114">
        <v>3.340226399323017E-25</v>
      </c>
      <c r="Q114">
        <v>-1.4499894526686374E-25</v>
      </c>
      <c r="R114">
        <v>-2.8919009696678116E-25</v>
      </c>
      <c r="S114">
        <v>2.1204581132340797E-25</v>
      </c>
      <c r="T114">
        <v>0</v>
      </c>
      <c r="U114">
        <v>0</v>
      </c>
      <c r="W114">
        <v>0</v>
      </c>
      <c r="X114">
        <v>0</v>
      </c>
      <c r="Y114">
        <v>0</v>
      </c>
      <c r="Z114">
        <v>0</v>
      </c>
      <c r="AA114">
        <v>0</v>
      </c>
      <c r="AB114">
        <v>0</v>
      </c>
      <c r="AC114">
        <v>0</v>
      </c>
      <c r="AD114">
        <v>0</v>
      </c>
      <c r="AE114">
        <v>0</v>
      </c>
      <c r="AF114">
        <v>0</v>
      </c>
      <c r="AH114" t="s">
        <v>809</v>
      </c>
      <c r="AI114" t="s">
        <v>1526</v>
      </c>
    </row>
    <row r="115" spans="1:35" x14ac:dyDescent="0.25">
      <c r="A115">
        <v>0</v>
      </c>
      <c r="B115">
        <v>0</v>
      </c>
      <c r="C115">
        <v>0</v>
      </c>
      <c r="D115">
        <v>0</v>
      </c>
      <c r="E115">
        <v>0</v>
      </c>
      <c r="F115">
        <v>0</v>
      </c>
      <c r="G115">
        <v>0</v>
      </c>
      <c r="H115">
        <v>0</v>
      </c>
      <c r="I115">
        <v>0</v>
      </c>
      <c r="J115">
        <v>0</v>
      </c>
      <c r="L115">
        <v>0</v>
      </c>
      <c r="M115">
        <v>0</v>
      </c>
      <c r="N115">
        <v>0</v>
      </c>
      <c r="O115">
        <v>0</v>
      </c>
      <c r="P115">
        <v>0</v>
      </c>
      <c r="Q115">
        <v>0</v>
      </c>
      <c r="R115">
        <v>0</v>
      </c>
      <c r="S115">
        <v>0</v>
      </c>
      <c r="T115">
        <v>0</v>
      </c>
      <c r="U115">
        <v>0</v>
      </c>
      <c r="W115">
        <v>0</v>
      </c>
      <c r="X115">
        <v>0</v>
      </c>
      <c r="Y115">
        <v>0</v>
      </c>
      <c r="Z115">
        <v>0</v>
      </c>
      <c r="AA115">
        <v>0</v>
      </c>
      <c r="AB115">
        <v>0</v>
      </c>
      <c r="AC115">
        <v>0</v>
      </c>
      <c r="AD115">
        <v>0</v>
      </c>
      <c r="AE115">
        <v>0</v>
      </c>
      <c r="AF115">
        <v>0</v>
      </c>
      <c r="AH115" t="s">
        <v>813</v>
      </c>
      <c r="AI115" t="s">
        <v>1528</v>
      </c>
    </row>
    <row r="116" spans="1:35" x14ac:dyDescent="0.25">
      <c r="A116">
        <v>0</v>
      </c>
      <c r="B116">
        <v>0</v>
      </c>
      <c r="C116">
        <v>0</v>
      </c>
      <c r="D116">
        <v>0</v>
      </c>
      <c r="E116">
        <v>0</v>
      </c>
      <c r="F116">
        <v>0</v>
      </c>
      <c r="G116">
        <v>0</v>
      </c>
      <c r="H116">
        <v>0</v>
      </c>
      <c r="I116">
        <v>0</v>
      </c>
      <c r="J116">
        <v>0</v>
      </c>
      <c r="L116">
        <v>0</v>
      </c>
      <c r="M116">
        <v>0</v>
      </c>
      <c r="N116">
        <v>0</v>
      </c>
      <c r="O116">
        <v>0</v>
      </c>
      <c r="P116">
        <v>0</v>
      </c>
      <c r="Q116">
        <v>0</v>
      </c>
      <c r="R116">
        <v>0</v>
      </c>
      <c r="S116">
        <v>0</v>
      </c>
      <c r="T116">
        <v>0</v>
      </c>
      <c r="U116">
        <v>0</v>
      </c>
      <c r="W116">
        <v>0</v>
      </c>
      <c r="X116">
        <v>0</v>
      </c>
      <c r="Y116">
        <v>0</v>
      </c>
      <c r="Z116">
        <v>0</v>
      </c>
      <c r="AA116">
        <v>0</v>
      </c>
      <c r="AB116">
        <v>0</v>
      </c>
      <c r="AC116">
        <v>0</v>
      </c>
      <c r="AD116">
        <v>0</v>
      </c>
      <c r="AE116">
        <v>0</v>
      </c>
      <c r="AF116">
        <v>0</v>
      </c>
      <c r="AH116" t="s">
        <v>816</v>
      </c>
      <c r="AI116" t="s">
        <v>1529</v>
      </c>
    </row>
    <row r="117" spans="1:35" x14ac:dyDescent="0.25">
      <c r="A117">
        <v>0</v>
      </c>
      <c r="B117">
        <v>0</v>
      </c>
      <c r="C117">
        <v>0</v>
      </c>
      <c r="D117">
        <v>0</v>
      </c>
      <c r="E117">
        <v>0</v>
      </c>
      <c r="F117">
        <v>0</v>
      </c>
      <c r="G117">
        <v>0</v>
      </c>
      <c r="H117">
        <v>0</v>
      </c>
      <c r="I117">
        <v>0</v>
      </c>
      <c r="J117">
        <v>0</v>
      </c>
      <c r="L117">
        <v>0</v>
      </c>
      <c r="M117">
        <v>0</v>
      </c>
      <c r="N117">
        <v>0</v>
      </c>
      <c r="O117">
        <v>0</v>
      </c>
      <c r="P117">
        <v>0</v>
      </c>
      <c r="Q117">
        <v>0</v>
      </c>
      <c r="R117">
        <v>0</v>
      </c>
      <c r="S117">
        <v>0</v>
      </c>
      <c r="T117">
        <v>0</v>
      </c>
      <c r="U117">
        <v>0</v>
      </c>
      <c r="W117">
        <v>0</v>
      </c>
      <c r="X117">
        <v>0</v>
      </c>
      <c r="Y117">
        <v>0</v>
      </c>
      <c r="Z117">
        <v>0</v>
      </c>
      <c r="AA117">
        <v>0</v>
      </c>
      <c r="AB117">
        <v>0</v>
      </c>
      <c r="AC117">
        <v>0</v>
      </c>
      <c r="AD117">
        <v>0</v>
      </c>
      <c r="AE117">
        <v>0</v>
      </c>
      <c r="AF117">
        <v>0</v>
      </c>
      <c r="AH117" t="s">
        <v>820</v>
      </c>
      <c r="AI117" t="s">
        <v>1530</v>
      </c>
    </row>
    <row r="118" spans="1:35" x14ac:dyDescent="0.25">
      <c r="A118">
        <v>0</v>
      </c>
      <c r="B118">
        <v>0</v>
      </c>
      <c r="C118">
        <v>0</v>
      </c>
      <c r="D118">
        <v>0</v>
      </c>
      <c r="E118">
        <v>0</v>
      </c>
      <c r="F118">
        <v>0</v>
      </c>
      <c r="G118">
        <v>0</v>
      </c>
      <c r="H118">
        <v>0</v>
      </c>
      <c r="I118">
        <v>0</v>
      </c>
      <c r="J118">
        <v>0</v>
      </c>
      <c r="L118">
        <v>0</v>
      </c>
      <c r="M118">
        <v>0</v>
      </c>
      <c r="N118">
        <v>0</v>
      </c>
      <c r="O118">
        <v>0</v>
      </c>
      <c r="P118">
        <v>0</v>
      </c>
      <c r="Q118">
        <v>0</v>
      </c>
      <c r="R118">
        <v>0</v>
      </c>
      <c r="S118">
        <v>0</v>
      </c>
      <c r="T118">
        <v>0</v>
      </c>
      <c r="U118">
        <v>0</v>
      </c>
      <c r="W118">
        <v>0</v>
      </c>
      <c r="X118">
        <v>0</v>
      </c>
      <c r="Y118">
        <v>0</v>
      </c>
      <c r="Z118">
        <v>0</v>
      </c>
      <c r="AA118">
        <v>0</v>
      </c>
      <c r="AB118">
        <v>0</v>
      </c>
      <c r="AC118">
        <v>0</v>
      </c>
      <c r="AD118">
        <v>0</v>
      </c>
      <c r="AE118">
        <v>0</v>
      </c>
      <c r="AF118">
        <v>0</v>
      </c>
      <c r="AH118" t="s">
        <v>825</v>
      </c>
      <c r="AI118" t="s">
        <v>1531</v>
      </c>
    </row>
    <row r="119" spans="1:35" x14ac:dyDescent="0.25">
      <c r="A119">
        <v>0</v>
      </c>
      <c r="B119">
        <v>0</v>
      </c>
      <c r="C119">
        <v>0</v>
      </c>
      <c r="D119">
        <v>0</v>
      </c>
      <c r="E119">
        <v>0</v>
      </c>
      <c r="F119">
        <v>0</v>
      </c>
      <c r="G119">
        <v>0</v>
      </c>
      <c r="H119">
        <v>0</v>
      </c>
      <c r="I119">
        <v>0</v>
      </c>
      <c r="J119">
        <v>0</v>
      </c>
      <c r="L119">
        <v>0</v>
      </c>
      <c r="M119">
        <v>0</v>
      </c>
      <c r="N119">
        <v>0</v>
      </c>
      <c r="O119">
        <v>0</v>
      </c>
      <c r="P119">
        <v>0</v>
      </c>
      <c r="Q119">
        <v>0</v>
      </c>
      <c r="R119">
        <v>0</v>
      </c>
      <c r="S119">
        <v>0</v>
      </c>
      <c r="T119">
        <v>0</v>
      </c>
      <c r="U119">
        <v>0</v>
      </c>
      <c r="W119">
        <v>0</v>
      </c>
      <c r="X119">
        <v>0</v>
      </c>
      <c r="Y119">
        <v>0</v>
      </c>
      <c r="Z119">
        <v>0</v>
      </c>
      <c r="AA119">
        <v>0</v>
      </c>
      <c r="AB119">
        <v>0</v>
      </c>
      <c r="AC119">
        <v>0</v>
      </c>
      <c r="AD119">
        <v>0</v>
      </c>
      <c r="AE119">
        <v>0</v>
      </c>
      <c r="AF119">
        <v>0</v>
      </c>
      <c r="AH119" t="s">
        <v>1533</v>
      </c>
      <c r="AI119" t="s">
        <v>1534</v>
      </c>
    </row>
    <row r="120" spans="1:35" x14ac:dyDescent="0.25">
      <c r="A120">
        <v>0</v>
      </c>
      <c r="B120">
        <v>0</v>
      </c>
      <c r="C120">
        <v>0</v>
      </c>
      <c r="D120">
        <v>0</v>
      </c>
      <c r="E120">
        <v>0</v>
      </c>
      <c r="F120">
        <v>0</v>
      </c>
      <c r="G120">
        <v>0</v>
      </c>
      <c r="H120">
        <v>0</v>
      </c>
      <c r="I120">
        <v>0</v>
      </c>
      <c r="J120">
        <v>0</v>
      </c>
      <c r="L120">
        <v>0</v>
      </c>
      <c r="M120">
        <v>0</v>
      </c>
      <c r="N120">
        <v>0</v>
      </c>
      <c r="O120">
        <v>0</v>
      </c>
      <c r="P120">
        <v>0</v>
      </c>
      <c r="Q120">
        <v>0</v>
      </c>
      <c r="R120">
        <v>0</v>
      </c>
      <c r="S120">
        <v>0</v>
      </c>
      <c r="T120">
        <v>0</v>
      </c>
      <c r="U120">
        <v>0</v>
      </c>
      <c r="W120">
        <v>0</v>
      </c>
      <c r="X120">
        <v>0</v>
      </c>
      <c r="Y120">
        <v>0</v>
      </c>
      <c r="Z120">
        <v>0</v>
      </c>
      <c r="AA120">
        <v>0</v>
      </c>
      <c r="AB120">
        <v>0</v>
      </c>
      <c r="AC120">
        <v>0</v>
      </c>
      <c r="AD120">
        <v>0</v>
      </c>
      <c r="AE120">
        <v>0</v>
      </c>
      <c r="AF120">
        <v>0</v>
      </c>
      <c r="AH120" t="s">
        <v>1535</v>
      </c>
      <c r="AI120" t="s">
        <v>1536</v>
      </c>
    </row>
    <row r="121" spans="1:35" x14ac:dyDescent="0.25">
      <c r="A121">
        <v>0</v>
      </c>
      <c r="B121">
        <v>0</v>
      </c>
      <c r="C121">
        <v>0</v>
      </c>
      <c r="D121">
        <v>0</v>
      </c>
      <c r="E121">
        <v>0</v>
      </c>
      <c r="F121">
        <v>0</v>
      </c>
      <c r="G121">
        <v>0</v>
      </c>
      <c r="H121">
        <v>0</v>
      </c>
      <c r="I121">
        <v>0</v>
      </c>
      <c r="J121">
        <v>0</v>
      </c>
      <c r="L121">
        <v>0</v>
      </c>
      <c r="M121">
        <v>0</v>
      </c>
      <c r="N121">
        <v>0</v>
      </c>
      <c r="O121">
        <v>0</v>
      </c>
      <c r="P121">
        <v>0</v>
      </c>
      <c r="Q121">
        <v>0</v>
      </c>
      <c r="R121">
        <v>0</v>
      </c>
      <c r="S121">
        <v>0</v>
      </c>
      <c r="T121">
        <v>0</v>
      </c>
      <c r="U121">
        <v>0</v>
      </c>
      <c r="W121">
        <v>0</v>
      </c>
      <c r="X121">
        <v>0</v>
      </c>
      <c r="Y121">
        <v>0</v>
      </c>
      <c r="Z121">
        <v>0</v>
      </c>
      <c r="AA121">
        <v>0</v>
      </c>
      <c r="AB121">
        <v>0</v>
      </c>
      <c r="AC121">
        <v>0</v>
      </c>
      <c r="AD121">
        <v>0</v>
      </c>
      <c r="AE121">
        <v>0</v>
      </c>
      <c r="AF121">
        <v>0</v>
      </c>
      <c r="AH121" t="s">
        <v>837</v>
      </c>
      <c r="AI121" t="s">
        <v>1539</v>
      </c>
    </row>
    <row r="122" spans="1:35" x14ac:dyDescent="0.25">
      <c r="A122">
        <v>10.000000000000002</v>
      </c>
      <c r="B122">
        <v>9.3333333333333357</v>
      </c>
      <c r="C122">
        <v>8.6666666666666607</v>
      </c>
      <c r="D122">
        <v>7.9999999999999929</v>
      </c>
      <c r="E122">
        <v>7.3333333333333233</v>
      </c>
      <c r="F122">
        <v>6.666666666666667</v>
      </c>
      <c r="G122">
        <v>6.0000000000000009</v>
      </c>
      <c r="H122">
        <v>5.3333333333333339</v>
      </c>
      <c r="I122">
        <v>0</v>
      </c>
      <c r="J122">
        <v>0</v>
      </c>
      <c r="L122">
        <v>9.9999999999999982</v>
      </c>
      <c r="M122">
        <v>9.3333333333333339</v>
      </c>
      <c r="N122">
        <v>8.6666666666666625</v>
      </c>
      <c r="O122">
        <v>8.0000000000000018</v>
      </c>
      <c r="P122">
        <v>7.333333333333333</v>
      </c>
      <c r="Q122">
        <v>6.666666666666667</v>
      </c>
      <c r="R122">
        <v>6</v>
      </c>
      <c r="S122">
        <v>5.3333333333333339</v>
      </c>
      <c r="T122">
        <v>0</v>
      </c>
      <c r="U122">
        <v>0</v>
      </c>
      <c r="W122">
        <v>10</v>
      </c>
      <c r="X122">
        <v>9</v>
      </c>
      <c r="Y122">
        <v>8</v>
      </c>
      <c r="Z122">
        <v>7</v>
      </c>
      <c r="AA122">
        <v>6</v>
      </c>
      <c r="AB122">
        <v>5</v>
      </c>
      <c r="AC122">
        <v>4</v>
      </c>
      <c r="AD122">
        <v>3</v>
      </c>
      <c r="AE122">
        <v>2</v>
      </c>
      <c r="AF122">
        <v>1</v>
      </c>
      <c r="AH122" t="s">
        <v>840</v>
      </c>
      <c r="AI122" t="s">
        <v>1540</v>
      </c>
    </row>
    <row r="123" spans="1:35" x14ac:dyDescent="0.25">
      <c r="A123">
        <v>0</v>
      </c>
      <c r="B123">
        <v>0</v>
      </c>
      <c r="C123">
        <v>0</v>
      </c>
      <c r="D123">
        <v>0</v>
      </c>
      <c r="E123">
        <v>0</v>
      </c>
      <c r="F123">
        <v>0</v>
      </c>
      <c r="G123">
        <v>0</v>
      </c>
      <c r="H123">
        <v>0</v>
      </c>
      <c r="I123">
        <v>0</v>
      </c>
      <c r="J123">
        <v>0</v>
      </c>
      <c r="L123">
        <v>0</v>
      </c>
      <c r="M123">
        <v>0</v>
      </c>
      <c r="N123">
        <v>0</v>
      </c>
      <c r="O123">
        <v>0</v>
      </c>
      <c r="P123">
        <v>0</v>
      </c>
      <c r="Q123">
        <v>0</v>
      </c>
      <c r="R123">
        <v>0</v>
      </c>
      <c r="S123">
        <v>0</v>
      </c>
      <c r="T123">
        <v>0</v>
      </c>
      <c r="U123">
        <v>0</v>
      </c>
      <c r="W123">
        <v>0</v>
      </c>
      <c r="X123">
        <v>0</v>
      </c>
      <c r="Y123">
        <v>0</v>
      </c>
      <c r="Z123">
        <v>0</v>
      </c>
      <c r="AA123">
        <v>0</v>
      </c>
      <c r="AB123">
        <v>0</v>
      </c>
      <c r="AC123">
        <v>0</v>
      </c>
      <c r="AD123">
        <v>0</v>
      </c>
      <c r="AE123">
        <v>0</v>
      </c>
      <c r="AF123">
        <v>0</v>
      </c>
      <c r="AH123" t="s">
        <v>844</v>
      </c>
      <c r="AI123" t="s">
        <v>1542</v>
      </c>
    </row>
    <row r="124" spans="1:35" x14ac:dyDescent="0.25">
      <c r="A124">
        <v>0</v>
      </c>
      <c r="B124">
        <v>0</v>
      </c>
      <c r="C124">
        <v>0</v>
      </c>
      <c r="D124">
        <v>0</v>
      </c>
      <c r="E124">
        <v>0</v>
      </c>
      <c r="F124">
        <v>0</v>
      </c>
      <c r="G124">
        <v>0</v>
      </c>
      <c r="H124">
        <v>0</v>
      </c>
      <c r="I124">
        <v>0</v>
      </c>
      <c r="J124">
        <v>0</v>
      </c>
      <c r="L124">
        <v>0</v>
      </c>
      <c r="M124">
        <v>0</v>
      </c>
      <c r="N124">
        <v>0</v>
      </c>
      <c r="O124">
        <v>0</v>
      </c>
      <c r="P124">
        <v>0</v>
      </c>
      <c r="Q124">
        <v>0</v>
      </c>
      <c r="R124">
        <v>0</v>
      </c>
      <c r="S124">
        <v>0</v>
      </c>
      <c r="T124">
        <v>0</v>
      </c>
      <c r="U124">
        <v>0</v>
      </c>
      <c r="W124">
        <v>0</v>
      </c>
      <c r="X124">
        <v>0</v>
      </c>
      <c r="Y124">
        <v>0</v>
      </c>
      <c r="Z124">
        <v>0</v>
      </c>
      <c r="AA124">
        <v>0</v>
      </c>
      <c r="AB124">
        <v>0</v>
      </c>
      <c r="AC124">
        <v>0</v>
      </c>
      <c r="AD124">
        <v>0</v>
      </c>
      <c r="AE124">
        <v>0</v>
      </c>
      <c r="AF124">
        <v>0</v>
      </c>
      <c r="AH124" t="s">
        <v>847</v>
      </c>
      <c r="AI124" t="s">
        <v>1544</v>
      </c>
    </row>
    <row r="125" spans="1:35" x14ac:dyDescent="0.25">
      <c r="A125">
        <v>0</v>
      </c>
      <c r="B125">
        <v>0</v>
      </c>
      <c r="C125">
        <v>0</v>
      </c>
      <c r="D125">
        <v>0</v>
      </c>
      <c r="E125">
        <v>0</v>
      </c>
      <c r="F125">
        <v>0</v>
      </c>
      <c r="G125">
        <v>0</v>
      </c>
      <c r="H125">
        <v>0</v>
      </c>
      <c r="I125">
        <v>0</v>
      </c>
      <c r="J125">
        <v>0</v>
      </c>
      <c r="L125">
        <v>0</v>
      </c>
      <c r="M125">
        <v>0</v>
      </c>
      <c r="N125">
        <v>0</v>
      </c>
      <c r="O125">
        <v>0</v>
      </c>
      <c r="P125">
        <v>0</v>
      </c>
      <c r="Q125">
        <v>0</v>
      </c>
      <c r="R125">
        <v>0</v>
      </c>
      <c r="S125">
        <v>0</v>
      </c>
      <c r="T125">
        <v>0</v>
      </c>
      <c r="U125">
        <v>0</v>
      </c>
      <c r="W125">
        <v>0</v>
      </c>
      <c r="X125">
        <v>0</v>
      </c>
      <c r="Y125">
        <v>0</v>
      </c>
      <c r="Z125">
        <v>0</v>
      </c>
      <c r="AA125">
        <v>0</v>
      </c>
      <c r="AB125">
        <v>0</v>
      </c>
      <c r="AC125">
        <v>0</v>
      </c>
      <c r="AD125">
        <v>0</v>
      </c>
      <c r="AE125">
        <v>0</v>
      </c>
      <c r="AF125">
        <v>0</v>
      </c>
      <c r="AH125" t="s">
        <v>1547</v>
      </c>
      <c r="AI125" s="60" t="s">
        <v>1564</v>
      </c>
    </row>
    <row r="126" spans="1:35" x14ac:dyDescent="0.25">
      <c r="A126">
        <v>-88.4</v>
      </c>
      <c r="B126">
        <v>-89.066666666666663</v>
      </c>
      <c r="C126">
        <v>-89.733333333333348</v>
      </c>
      <c r="D126">
        <v>-90.4</v>
      </c>
      <c r="E126">
        <v>-91.066666666666677</v>
      </c>
      <c r="F126">
        <v>-91.733333333333334</v>
      </c>
      <c r="G126">
        <v>-92.4</v>
      </c>
      <c r="H126">
        <v>-93.066666666666677</v>
      </c>
      <c r="I126">
        <v>0</v>
      </c>
      <c r="J126">
        <v>0</v>
      </c>
      <c r="L126">
        <v>-88.4</v>
      </c>
      <c r="M126">
        <v>-89.066666666666677</v>
      </c>
      <c r="N126">
        <v>-89.733333333333348</v>
      </c>
      <c r="O126">
        <v>-90.4</v>
      </c>
      <c r="P126">
        <v>-91.066666666666677</v>
      </c>
      <c r="Q126">
        <v>-91.733333333333334</v>
      </c>
      <c r="R126">
        <v>-92.4</v>
      </c>
      <c r="S126">
        <v>-93.066666666666677</v>
      </c>
      <c r="T126">
        <v>0</v>
      </c>
      <c r="U126">
        <v>0</v>
      </c>
      <c r="W126">
        <v>-88.4</v>
      </c>
      <c r="X126">
        <v>-89.4</v>
      </c>
      <c r="Y126">
        <v>-90.4</v>
      </c>
      <c r="Z126">
        <v>-91.4</v>
      </c>
      <c r="AA126">
        <v>-92.4</v>
      </c>
      <c r="AB126">
        <v>-93.4</v>
      </c>
      <c r="AC126">
        <v>-94.4</v>
      </c>
      <c r="AD126">
        <v>-95.4</v>
      </c>
      <c r="AE126">
        <v>-96.4</v>
      </c>
      <c r="AF126">
        <v>-97.4</v>
      </c>
      <c r="AH126" t="s">
        <v>292</v>
      </c>
      <c r="AI126" t="s">
        <v>1551</v>
      </c>
    </row>
    <row r="127" spans="1:35" x14ac:dyDescent="0.25">
      <c r="A127">
        <v>-280.39999999999998</v>
      </c>
      <c r="B127">
        <v>-281.06666666666666</v>
      </c>
      <c r="C127">
        <v>-281.73333333333329</v>
      </c>
      <c r="D127">
        <v>-282.39999999999998</v>
      </c>
      <c r="E127">
        <v>-283.06666666666666</v>
      </c>
      <c r="F127">
        <v>-283.73333333333329</v>
      </c>
      <c r="G127">
        <v>-284.39999999999998</v>
      </c>
      <c r="H127">
        <v>-285.06666666666666</v>
      </c>
      <c r="I127">
        <v>0</v>
      </c>
      <c r="J127">
        <v>0</v>
      </c>
      <c r="L127">
        <v>-280.39999999999998</v>
      </c>
      <c r="M127">
        <v>-281.06666666666666</v>
      </c>
      <c r="N127">
        <v>-281.73333333333329</v>
      </c>
      <c r="O127">
        <v>-282.39999999999998</v>
      </c>
      <c r="P127">
        <v>-283.06666666666666</v>
      </c>
      <c r="Q127">
        <v>-283.73333333333329</v>
      </c>
      <c r="R127">
        <v>-284.39999999999998</v>
      </c>
      <c r="S127">
        <v>-285.06666666666666</v>
      </c>
      <c r="T127">
        <v>0</v>
      </c>
      <c r="U127">
        <v>0</v>
      </c>
      <c r="W127">
        <v>-280.39999999999998</v>
      </c>
      <c r="X127">
        <v>-281.39999999999998</v>
      </c>
      <c r="Y127">
        <v>-282.39999999999998</v>
      </c>
      <c r="Z127">
        <v>-283.39999999999998</v>
      </c>
      <c r="AA127">
        <v>-284.39999999999998</v>
      </c>
      <c r="AB127">
        <v>-285.39999999999998</v>
      </c>
      <c r="AC127">
        <v>-286.39999999999998</v>
      </c>
      <c r="AD127">
        <v>-287.39999999999998</v>
      </c>
      <c r="AE127">
        <v>-288.39999999999998</v>
      </c>
      <c r="AF127">
        <v>-289.39999999999998</v>
      </c>
      <c r="AH127" t="s">
        <v>293</v>
      </c>
      <c r="AI127" t="s">
        <v>1553</v>
      </c>
    </row>
    <row r="128" spans="1:35" x14ac:dyDescent="0.25">
      <c r="A128">
        <v>3.5000000000000013</v>
      </c>
      <c r="B128">
        <v>3.100000000000001</v>
      </c>
      <c r="C128">
        <v>2.6999999999999984</v>
      </c>
      <c r="D128">
        <v>2.2999999999999976</v>
      </c>
      <c r="E128">
        <v>1.8999999999999964</v>
      </c>
      <c r="F128">
        <v>1.4999999999999998</v>
      </c>
      <c r="G128">
        <v>1.1000000000000003</v>
      </c>
      <c r="H128">
        <v>0.7</v>
      </c>
      <c r="I128">
        <v>0</v>
      </c>
      <c r="J128">
        <v>0</v>
      </c>
      <c r="L128">
        <v>4.4999999999999991</v>
      </c>
      <c r="M128">
        <v>4.0999999999999996</v>
      </c>
      <c r="N128">
        <v>3.6999999999999984</v>
      </c>
      <c r="O128">
        <v>3.3</v>
      </c>
      <c r="P128">
        <v>2.9</v>
      </c>
      <c r="Q128">
        <v>2.5</v>
      </c>
      <c r="R128">
        <v>2.1</v>
      </c>
      <c r="S128">
        <v>1.7</v>
      </c>
      <c r="T128">
        <v>0</v>
      </c>
      <c r="U128">
        <v>0</v>
      </c>
      <c r="W128">
        <v>5.0000000000000009</v>
      </c>
      <c r="X128">
        <v>4.5624999999999982</v>
      </c>
      <c r="Y128">
        <v>4.1250000000000009</v>
      </c>
      <c r="Z128">
        <v>3.6875000000000009</v>
      </c>
      <c r="AA128">
        <v>3.2499999999999991</v>
      </c>
      <c r="AB128">
        <v>2.8125</v>
      </c>
      <c r="AC128">
        <v>2.3749999999999991</v>
      </c>
      <c r="AD128">
        <v>1.9374999999999993</v>
      </c>
      <c r="AE128">
        <v>1.5</v>
      </c>
      <c r="AF128">
        <v>1.0625</v>
      </c>
      <c r="AH128" t="s">
        <v>1631</v>
      </c>
    </row>
    <row r="129" spans="1:34" x14ac:dyDescent="0.25">
      <c r="A129">
        <v>2</v>
      </c>
      <c r="B129">
        <v>1.9</v>
      </c>
      <c r="C129">
        <v>1.8</v>
      </c>
      <c r="D129">
        <v>1.7</v>
      </c>
      <c r="E129">
        <v>1.6</v>
      </c>
      <c r="F129">
        <v>1.5</v>
      </c>
      <c r="G129">
        <v>1.4</v>
      </c>
      <c r="H129">
        <v>1.3</v>
      </c>
      <c r="I129">
        <v>0</v>
      </c>
      <c r="J129">
        <v>0</v>
      </c>
      <c r="L129">
        <v>2</v>
      </c>
      <c r="M129">
        <v>1.9</v>
      </c>
      <c r="N129">
        <v>1.8</v>
      </c>
      <c r="O129">
        <v>1.7</v>
      </c>
      <c r="P129">
        <v>1.6</v>
      </c>
      <c r="Q129">
        <v>1.5</v>
      </c>
      <c r="R129">
        <v>1.4</v>
      </c>
      <c r="S129">
        <v>1.3</v>
      </c>
      <c r="T129">
        <v>0</v>
      </c>
      <c r="U129">
        <v>0</v>
      </c>
      <c r="W129">
        <v>2</v>
      </c>
      <c r="X129">
        <v>1.9</v>
      </c>
      <c r="Y129">
        <v>1.8</v>
      </c>
      <c r="Z129">
        <v>1.7</v>
      </c>
      <c r="AA129">
        <v>1.6</v>
      </c>
      <c r="AB129">
        <v>1.5</v>
      </c>
      <c r="AC129">
        <v>1.4</v>
      </c>
      <c r="AD129">
        <v>1.3</v>
      </c>
      <c r="AE129">
        <v>1.2</v>
      </c>
      <c r="AF129">
        <v>1.1000000000000001</v>
      </c>
      <c r="AH129" t="s">
        <v>1615</v>
      </c>
    </row>
    <row r="130" spans="1:34" x14ac:dyDescent="0.25">
      <c r="A130">
        <v>1.0000000000000002</v>
      </c>
      <c r="B130">
        <v>0.93333333333333357</v>
      </c>
      <c r="C130">
        <v>0.86666666666666603</v>
      </c>
      <c r="D130">
        <v>0.79999999999999927</v>
      </c>
      <c r="E130">
        <v>0.73333333333333228</v>
      </c>
      <c r="F130">
        <v>0.66666666666666674</v>
      </c>
      <c r="G130">
        <v>0.60000000000000009</v>
      </c>
      <c r="H130">
        <v>0.53333333333333344</v>
      </c>
      <c r="I130">
        <v>0</v>
      </c>
      <c r="J130">
        <v>0</v>
      </c>
      <c r="L130">
        <v>0.99999999999999978</v>
      </c>
      <c r="M130">
        <v>0.93333333333333335</v>
      </c>
      <c r="N130">
        <v>0.86666666666666625</v>
      </c>
      <c r="O130">
        <v>0.80000000000000016</v>
      </c>
      <c r="P130">
        <v>0.73333333333333328</v>
      </c>
      <c r="Q130">
        <v>0.66666666666666674</v>
      </c>
      <c r="R130">
        <v>0.6</v>
      </c>
      <c r="S130">
        <v>0.53333333333333344</v>
      </c>
      <c r="T130">
        <v>0</v>
      </c>
      <c r="U130">
        <v>0</v>
      </c>
      <c r="W130">
        <v>1</v>
      </c>
      <c r="X130">
        <v>0.9</v>
      </c>
      <c r="Y130">
        <v>0.8</v>
      </c>
      <c r="Z130">
        <v>0.7</v>
      </c>
      <c r="AA130">
        <v>0.6</v>
      </c>
      <c r="AB130">
        <v>0.5</v>
      </c>
      <c r="AC130">
        <v>0.4</v>
      </c>
      <c r="AD130">
        <v>0.3</v>
      </c>
      <c r="AE130">
        <v>0.2</v>
      </c>
      <c r="AF130">
        <v>0.1</v>
      </c>
      <c r="AH130" t="s">
        <v>1616</v>
      </c>
    </row>
    <row r="131" spans="1:34" x14ac:dyDescent="0.25">
      <c r="A131">
        <v>-8.84</v>
      </c>
      <c r="B131">
        <v>-8.9066666666666663</v>
      </c>
      <c r="C131">
        <v>-8.9733333333333345</v>
      </c>
      <c r="D131">
        <v>-9.0400000000000009</v>
      </c>
      <c r="E131">
        <v>-9.1066666666666674</v>
      </c>
      <c r="F131">
        <v>-9.1733333333333338</v>
      </c>
      <c r="G131">
        <v>-9.24</v>
      </c>
      <c r="H131">
        <v>-9.3066666666666684</v>
      </c>
      <c r="I131">
        <v>0</v>
      </c>
      <c r="J131">
        <v>0</v>
      </c>
      <c r="L131">
        <v>-8.84</v>
      </c>
      <c r="M131">
        <v>-8.9066666666666681</v>
      </c>
      <c r="N131">
        <v>-8.9733333333333345</v>
      </c>
      <c r="O131">
        <v>-9.0400000000000009</v>
      </c>
      <c r="P131">
        <v>-9.1066666666666674</v>
      </c>
      <c r="Q131">
        <v>-9.1733333333333338</v>
      </c>
      <c r="R131">
        <v>-9.24</v>
      </c>
      <c r="S131">
        <v>-9.3066666666666684</v>
      </c>
      <c r="T131">
        <v>0</v>
      </c>
      <c r="U131">
        <v>0</v>
      </c>
      <c r="W131">
        <v>-8.84</v>
      </c>
      <c r="X131">
        <v>-8.9400000000000013</v>
      </c>
      <c r="Y131">
        <v>-9.0400000000000009</v>
      </c>
      <c r="Z131">
        <v>-9.14</v>
      </c>
      <c r="AA131">
        <v>-9.24</v>
      </c>
      <c r="AB131">
        <v>-9.34</v>
      </c>
      <c r="AC131">
        <v>-9.4400000000000013</v>
      </c>
      <c r="AD131">
        <v>-9.5400000000000009</v>
      </c>
      <c r="AE131">
        <v>-9.64</v>
      </c>
      <c r="AF131">
        <v>-9.74</v>
      </c>
      <c r="AH131" t="s">
        <v>1617</v>
      </c>
    </row>
    <row r="132" spans="1:34" x14ac:dyDescent="0.25">
      <c r="A132">
        <v>0</v>
      </c>
      <c r="B132">
        <v>0</v>
      </c>
      <c r="C132">
        <v>0</v>
      </c>
      <c r="D132">
        <v>0</v>
      </c>
      <c r="E132">
        <v>0</v>
      </c>
      <c r="F132">
        <v>0</v>
      </c>
      <c r="G132">
        <v>0</v>
      </c>
      <c r="H132">
        <v>0</v>
      </c>
      <c r="I132">
        <v>0</v>
      </c>
      <c r="J132">
        <v>0</v>
      </c>
      <c r="L132">
        <v>0</v>
      </c>
      <c r="M132">
        <v>0</v>
      </c>
      <c r="N132">
        <v>0</v>
      </c>
      <c r="O132">
        <v>0</v>
      </c>
      <c r="P132">
        <v>0</v>
      </c>
      <c r="Q132">
        <v>0</v>
      </c>
      <c r="R132">
        <v>0</v>
      </c>
      <c r="S132">
        <v>0</v>
      </c>
      <c r="T132">
        <v>0</v>
      </c>
      <c r="U132">
        <v>0</v>
      </c>
      <c r="W132">
        <v>-3.8064789415719678E-17</v>
      </c>
      <c r="X132">
        <v>0.1</v>
      </c>
      <c r="Y132">
        <v>0.2</v>
      </c>
      <c r="Z132">
        <v>0.3</v>
      </c>
      <c r="AA132">
        <v>0.4</v>
      </c>
      <c r="AB132">
        <v>0.5</v>
      </c>
      <c r="AC132">
        <v>0.59999999999999976</v>
      </c>
      <c r="AD132">
        <v>0.69999999999999973</v>
      </c>
      <c r="AE132">
        <v>0.79999999999999971</v>
      </c>
      <c r="AF132">
        <v>0.8999999999999998</v>
      </c>
      <c r="AH132" t="s">
        <v>1618</v>
      </c>
    </row>
    <row r="133" spans="1:34" x14ac:dyDescent="0.25">
      <c r="A133">
        <v>0</v>
      </c>
      <c r="B133">
        <v>0</v>
      </c>
      <c r="C133">
        <v>0</v>
      </c>
      <c r="D133">
        <v>0</v>
      </c>
      <c r="E133">
        <v>0</v>
      </c>
      <c r="F133">
        <v>0</v>
      </c>
      <c r="G133">
        <v>0</v>
      </c>
      <c r="H133">
        <v>0</v>
      </c>
      <c r="I133">
        <v>0</v>
      </c>
      <c r="J133">
        <v>0</v>
      </c>
      <c r="L133">
        <v>0</v>
      </c>
      <c r="M133">
        <v>0</v>
      </c>
      <c r="N133">
        <v>0</v>
      </c>
      <c r="O133">
        <v>0</v>
      </c>
      <c r="P133">
        <v>0</v>
      </c>
      <c r="Q133">
        <v>0</v>
      </c>
      <c r="R133">
        <v>0</v>
      </c>
      <c r="S133">
        <v>0</v>
      </c>
      <c r="T133">
        <v>0</v>
      </c>
      <c r="U133">
        <v>0</v>
      </c>
      <c r="W133">
        <v>0</v>
      </c>
      <c r="X133">
        <v>0</v>
      </c>
      <c r="Y133">
        <v>0</v>
      </c>
      <c r="Z133">
        <v>0</v>
      </c>
      <c r="AA133">
        <v>0</v>
      </c>
      <c r="AB133">
        <v>0</v>
      </c>
      <c r="AC133">
        <v>0</v>
      </c>
      <c r="AD133">
        <v>0</v>
      </c>
      <c r="AE133">
        <v>0</v>
      </c>
      <c r="AF133">
        <v>0</v>
      </c>
      <c r="AH133" t="s">
        <v>1619</v>
      </c>
    </row>
    <row r="134" spans="1:34" x14ac:dyDescent="0.25">
      <c r="A134">
        <v>0</v>
      </c>
      <c r="B134">
        <v>0</v>
      </c>
      <c r="C134">
        <v>0</v>
      </c>
      <c r="D134">
        <v>0</v>
      </c>
      <c r="E134">
        <v>0</v>
      </c>
      <c r="F134">
        <v>0</v>
      </c>
      <c r="G134">
        <v>0</v>
      </c>
      <c r="H134">
        <v>0</v>
      </c>
      <c r="I134">
        <v>0</v>
      </c>
      <c r="J134">
        <v>0</v>
      </c>
      <c r="L134">
        <v>0</v>
      </c>
      <c r="M134">
        <v>0</v>
      </c>
      <c r="N134">
        <v>0</v>
      </c>
      <c r="O134">
        <v>0</v>
      </c>
      <c r="P134">
        <v>0</v>
      </c>
      <c r="Q134">
        <v>0</v>
      </c>
      <c r="R134">
        <v>0</v>
      </c>
      <c r="S134">
        <v>0</v>
      </c>
      <c r="T134">
        <v>0</v>
      </c>
      <c r="U134">
        <v>0</v>
      </c>
      <c r="W134">
        <v>0</v>
      </c>
      <c r="X134">
        <v>0</v>
      </c>
      <c r="Y134">
        <v>0</v>
      </c>
      <c r="Z134">
        <v>0</v>
      </c>
      <c r="AA134">
        <v>0</v>
      </c>
      <c r="AB134">
        <v>0</v>
      </c>
      <c r="AC134">
        <v>0</v>
      </c>
      <c r="AD134">
        <v>0</v>
      </c>
      <c r="AE134">
        <v>0</v>
      </c>
      <c r="AF134">
        <v>0</v>
      </c>
      <c r="AH134" t="s">
        <v>1620</v>
      </c>
    </row>
    <row r="135" spans="1:34" x14ac:dyDescent="0.25">
      <c r="A135">
        <v>0</v>
      </c>
      <c r="B135">
        <v>0</v>
      </c>
      <c r="C135">
        <v>0</v>
      </c>
      <c r="D135">
        <v>0</v>
      </c>
      <c r="E135">
        <v>0</v>
      </c>
      <c r="F135">
        <v>0</v>
      </c>
      <c r="G135">
        <v>0</v>
      </c>
      <c r="H135">
        <v>0</v>
      </c>
      <c r="I135">
        <v>0</v>
      </c>
      <c r="J135">
        <v>0</v>
      </c>
      <c r="L135">
        <v>0</v>
      </c>
      <c r="M135">
        <v>0</v>
      </c>
      <c r="N135">
        <v>0</v>
      </c>
      <c r="O135">
        <v>0</v>
      </c>
      <c r="P135">
        <v>0</v>
      </c>
      <c r="Q135">
        <v>0</v>
      </c>
      <c r="R135">
        <v>0</v>
      </c>
      <c r="S135">
        <v>0</v>
      </c>
      <c r="T135">
        <v>0</v>
      </c>
      <c r="U135">
        <v>0</v>
      </c>
      <c r="W135">
        <v>0</v>
      </c>
      <c r="X135">
        <v>0</v>
      </c>
      <c r="Y135">
        <v>0</v>
      </c>
      <c r="Z135">
        <v>0</v>
      </c>
      <c r="AA135">
        <v>0</v>
      </c>
      <c r="AB135">
        <v>0</v>
      </c>
      <c r="AC135">
        <v>0</v>
      </c>
      <c r="AD135">
        <v>0</v>
      </c>
      <c r="AE135">
        <v>0</v>
      </c>
      <c r="AF135">
        <v>0</v>
      </c>
      <c r="AH135" t="s">
        <v>1621</v>
      </c>
    </row>
    <row r="136" spans="1:34" x14ac:dyDescent="0.25">
      <c r="A136">
        <v>0</v>
      </c>
      <c r="B136">
        <v>0</v>
      </c>
      <c r="C136">
        <v>0</v>
      </c>
      <c r="D136">
        <v>0</v>
      </c>
      <c r="E136">
        <v>0</v>
      </c>
      <c r="F136">
        <v>0</v>
      </c>
      <c r="G136">
        <v>0</v>
      </c>
      <c r="H136">
        <v>0</v>
      </c>
      <c r="I136">
        <v>0</v>
      </c>
      <c r="J136">
        <v>0</v>
      </c>
      <c r="L136">
        <v>0</v>
      </c>
      <c r="M136">
        <v>0</v>
      </c>
      <c r="N136">
        <v>0</v>
      </c>
      <c r="O136">
        <v>0</v>
      </c>
      <c r="P136">
        <v>0</v>
      </c>
      <c r="Q136">
        <v>0</v>
      </c>
      <c r="R136">
        <v>0</v>
      </c>
      <c r="S136">
        <v>0</v>
      </c>
      <c r="T136">
        <v>0</v>
      </c>
      <c r="U136">
        <v>0</v>
      </c>
      <c r="W136">
        <v>0</v>
      </c>
      <c r="X136">
        <v>0</v>
      </c>
      <c r="Y136">
        <v>0</v>
      </c>
      <c r="Z136">
        <v>0</v>
      </c>
      <c r="AA136">
        <v>0</v>
      </c>
      <c r="AB136">
        <v>0</v>
      </c>
      <c r="AC136">
        <v>0</v>
      </c>
      <c r="AD136">
        <v>0</v>
      </c>
      <c r="AE136">
        <v>0</v>
      </c>
      <c r="AF136">
        <v>0</v>
      </c>
      <c r="AH136" t="s">
        <v>1622</v>
      </c>
    </row>
    <row r="137" spans="1:34" x14ac:dyDescent="0.25">
      <c r="A137">
        <v>0</v>
      </c>
      <c r="B137">
        <v>0</v>
      </c>
      <c r="C137">
        <v>0</v>
      </c>
      <c r="D137">
        <v>0</v>
      </c>
      <c r="E137">
        <v>0</v>
      </c>
      <c r="F137">
        <v>0</v>
      </c>
      <c r="G137">
        <v>0</v>
      </c>
      <c r="H137">
        <v>0</v>
      </c>
      <c r="I137">
        <v>0</v>
      </c>
      <c r="J137">
        <v>0</v>
      </c>
      <c r="L137">
        <v>6.7854659623490554E-27</v>
      </c>
      <c r="M137">
        <v>2.1204581132340798E-28</v>
      </c>
      <c r="N137">
        <v>-2.6505726415425997E-28</v>
      </c>
      <c r="O137">
        <v>1.0250900364548752E-25</v>
      </c>
      <c r="P137">
        <v>1.0020679197969051E-25</v>
      </c>
      <c r="Q137">
        <v>-4.3499683580059123E-26</v>
      </c>
      <c r="R137">
        <v>-8.6757029090034353E-26</v>
      </c>
      <c r="S137">
        <v>6.3613743397022392E-26</v>
      </c>
      <c r="T137">
        <v>0</v>
      </c>
      <c r="U137">
        <v>0</v>
      </c>
      <c r="W137">
        <v>0</v>
      </c>
      <c r="X137">
        <v>0</v>
      </c>
      <c r="Y137">
        <v>0</v>
      </c>
      <c r="Z137">
        <v>0</v>
      </c>
      <c r="AA137">
        <v>0</v>
      </c>
      <c r="AB137">
        <v>0</v>
      </c>
      <c r="AC137">
        <v>0</v>
      </c>
      <c r="AD137">
        <v>0</v>
      </c>
      <c r="AE137">
        <v>0</v>
      </c>
      <c r="AF137">
        <v>0</v>
      </c>
      <c r="AH137" t="s">
        <v>1623</v>
      </c>
    </row>
    <row r="138" spans="1:34" x14ac:dyDescent="0.25">
      <c r="A138">
        <v>7.1054273576010023E-16</v>
      </c>
      <c r="B138">
        <v>6.6666666666667138E-2</v>
      </c>
      <c r="C138">
        <v>0.13333333333333233</v>
      </c>
      <c r="D138">
        <v>0.19999999999999876</v>
      </c>
      <c r="E138">
        <v>0.26666666666666466</v>
      </c>
      <c r="F138">
        <v>0.33333333333333331</v>
      </c>
      <c r="G138">
        <v>0.40000000000000019</v>
      </c>
      <c r="H138">
        <v>0.46666666666666667</v>
      </c>
      <c r="I138">
        <v>0</v>
      </c>
      <c r="J138">
        <v>0</v>
      </c>
      <c r="L138">
        <v>1.7763568394002506E-16</v>
      </c>
      <c r="M138">
        <v>6.666666666666661E-2</v>
      </c>
      <c r="N138">
        <v>0.1333333333333325</v>
      </c>
      <c r="O138">
        <v>0.20000000000000018</v>
      </c>
      <c r="P138">
        <v>0.26666666666666672</v>
      </c>
      <c r="Q138">
        <v>0.33333333333333331</v>
      </c>
      <c r="R138">
        <v>0.4</v>
      </c>
      <c r="S138">
        <v>0.46666666666666679</v>
      </c>
      <c r="T138">
        <v>0</v>
      </c>
      <c r="U138">
        <v>0</v>
      </c>
      <c r="W138">
        <v>0</v>
      </c>
      <c r="X138">
        <v>0</v>
      </c>
      <c r="Y138">
        <v>0</v>
      </c>
      <c r="Z138">
        <v>0</v>
      </c>
      <c r="AA138">
        <v>0</v>
      </c>
      <c r="AB138">
        <v>0</v>
      </c>
      <c r="AC138">
        <v>0</v>
      </c>
      <c r="AD138">
        <v>0</v>
      </c>
      <c r="AE138">
        <v>0</v>
      </c>
      <c r="AF138">
        <v>0</v>
      </c>
      <c r="AH138" t="s">
        <v>1624</v>
      </c>
    </row>
    <row r="139" spans="1:34" x14ac:dyDescent="0.25">
      <c r="A139">
        <v>0</v>
      </c>
      <c r="B139">
        <v>0</v>
      </c>
      <c r="C139">
        <v>0</v>
      </c>
      <c r="D139">
        <v>0</v>
      </c>
      <c r="E139">
        <v>0</v>
      </c>
      <c r="F139">
        <v>0</v>
      </c>
      <c r="G139">
        <v>0</v>
      </c>
      <c r="H139">
        <v>0</v>
      </c>
      <c r="I139">
        <v>0</v>
      </c>
      <c r="J139">
        <v>0</v>
      </c>
      <c r="L139">
        <v>0</v>
      </c>
      <c r="M139">
        <v>0</v>
      </c>
      <c r="N139">
        <v>0</v>
      </c>
      <c r="O139">
        <v>0</v>
      </c>
      <c r="P139">
        <v>0</v>
      </c>
      <c r="Q139">
        <v>0</v>
      </c>
      <c r="R139">
        <v>0</v>
      </c>
      <c r="S139">
        <v>0</v>
      </c>
      <c r="T139">
        <v>0</v>
      </c>
      <c r="U139">
        <v>0</v>
      </c>
      <c r="W139">
        <v>0</v>
      </c>
      <c r="X139">
        <v>0</v>
      </c>
      <c r="Y139">
        <v>0</v>
      </c>
      <c r="Z139">
        <v>0</v>
      </c>
      <c r="AA139">
        <v>0</v>
      </c>
      <c r="AB139">
        <v>0</v>
      </c>
      <c r="AC139">
        <v>0</v>
      </c>
      <c r="AD139">
        <v>0</v>
      </c>
      <c r="AE139">
        <v>0</v>
      </c>
      <c r="AF139">
        <v>0</v>
      </c>
      <c r="AH139" t="s">
        <v>1625</v>
      </c>
    </row>
    <row r="140" spans="1:34" x14ac:dyDescent="0.25">
      <c r="A140">
        <v>0</v>
      </c>
      <c r="B140">
        <v>0</v>
      </c>
      <c r="C140">
        <v>0</v>
      </c>
      <c r="D140">
        <v>0</v>
      </c>
      <c r="E140">
        <v>0</v>
      </c>
      <c r="F140">
        <v>0</v>
      </c>
      <c r="G140">
        <v>0</v>
      </c>
      <c r="H140">
        <v>0</v>
      </c>
      <c r="I140">
        <v>0</v>
      </c>
      <c r="J140">
        <v>0</v>
      </c>
      <c r="L140">
        <v>0</v>
      </c>
      <c r="M140">
        <v>0</v>
      </c>
      <c r="N140">
        <v>0</v>
      </c>
      <c r="O140">
        <v>0</v>
      </c>
      <c r="P140">
        <v>0</v>
      </c>
      <c r="Q140">
        <v>0</v>
      </c>
      <c r="R140">
        <v>0</v>
      </c>
      <c r="S140">
        <v>0</v>
      </c>
      <c r="T140">
        <v>0</v>
      </c>
      <c r="U140">
        <v>0</v>
      </c>
      <c r="W140">
        <v>0</v>
      </c>
      <c r="X140">
        <v>0</v>
      </c>
      <c r="Y140">
        <v>0</v>
      </c>
      <c r="Z140">
        <v>0</v>
      </c>
      <c r="AA140">
        <v>0</v>
      </c>
      <c r="AB140">
        <v>0</v>
      </c>
      <c r="AC140">
        <v>0</v>
      </c>
      <c r="AD140">
        <v>0</v>
      </c>
      <c r="AE140">
        <v>0</v>
      </c>
      <c r="AF140">
        <v>0</v>
      </c>
      <c r="AH140" t="s">
        <v>1626</v>
      </c>
    </row>
    <row r="141" spans="1:34" x14ac:dyDescent="0.25">
      <c r="A141">
        <v>7.1054273576010023E-16</v>
      </c>
      <c r="B141">
        <v>6.6666666666667138E-2</v>
      </c>
      <c r="C141">
        <v>0.13333333333333233</v>
      </c>
      <c r="D141">
        <v>0.19999999999999876</v>
      </c>
      <c r="E141">
        <v>0.26666666666666466</v>
      </c>
      <c r="F141">
        <v>0.33333333333333331</v>
      </c>
      <c r="G141">
        <v>0.40000000000000019</v>
      </c>
      <c r="H141">
        <v>0.46666666666666667</v>
      </c>
      <c r="I141">
        <v>0</v>
      </c>
      <c r="J141">
        <v>0</v>
      </c>
      <c r="L141">
        <v>1.7763568394681052E-16</v>
      </c>
      <c r="M141">
        <v>6.666666666666661E-2</v>
      </c>
      <c r="N141">
        <v>0.1333333333333325</v>
      </c>
      <c r="O141">
        <v>0.20000000000000018</v>
      </c>
      <c r="P141">
        <v>0.26666666666666672</v>
      </c>
      <c r="Q141">
        <v>0.33333333333333331</v>
      </c>
      <c r="R141">
        <v>0.4</v>
      </c>
      <c r="S141">
        <v>0.46666666666666679</v>
      </c>
      <c r="T141">
        <v>0</v>
      </c>
      <c r="U141">
        <v>0</v>
      </c>
      <c r="W141">
        <v>-3.8064789415719678E-17</v>
      </c>
      <c r="X141">
        <v>0.1</v>
      </c>
      <c r="Y141">
        <v>0.2</v>
      </c>
      <c r="Z141">
        <v>0.3</v>
      </c>
      <c r="AA141">
        <v>0.4</v>
      </c>
      <c r="AB141">
        <v>0.5</v>
      </c>
      <c r="AC141">
        <v>0.59999999999999976</v>
      </c>
      <c r="AD141">
        <v>0.69999999999999973</v>
      </c>
      <c r="AE141">
        <v>0.79999999999999971</v>
      </c>
      <c r="AF141">
        <v>0.8999999999999998</v>
      </c>
      <c r="AH141" t="s">
        <v>1627</v>
      </c>
    </row>
    <row r="142" spans="1:34" x14ac:dyDescent="0.25">
      <c r="A142">
        <v>0</v>
      </c>
      <c r="B142">
        <v>0</v>
      </c>
      <c r="C142">
        <v>0</v>
      </c>
      <c r="D142">
        <v>0</v>
      </c>
      <c r="E142">
        <v>0</v>
      </c>
      <c r="F142">
        <v>0</v>
      </c>
      <c r="G142">
        <v>0</v>
      </c>
      <c r="H142">
        <v>0</v>
      </c>
      <c r="I142">
        <v>0</v>
      </c>
      <c r="J142">
        <v>0</v>
      </c>
      <c r="L142">
        <v>0</v>
      </c>
      <c r="M142">
        <v>0</v>
      </c>
      <c r="N142">
        <v>0</v>
      </c>
      <c r="O142">
        <v>0</v>
      </c>
      <c r="P142">
        <v>0</v>
      </c>
      <c r="Q142">
        <v>0</v>
      </c>
      <c r="R142">
        <v>0</v>
      </c>
      <c r="S142">
        <v>0</v>
      </c>
      <c r="T142">
        <v>0</v>
      </c>
      <c r="U142">
        <v>0</v>
      </c>
      <c r="W142">
        <v>0</v>
      </c>
      <c r="X142">
        <v>0</v>
      </c>
      <c r="Y142">
        <v>0</v>
      </c>
      <c r="Z142">
        <v>0</v>
      </c>
      <c r="AA142">
        <v>0</v>
      </c>
      <c r="AB142">
        <v>0</v>
      </c>
      <c r="AC142">
        <v>0</v>
      </c>
      <c r="AD142">
        <v>0</v>
      </c>
      <c r="AE142">
        <v>0</v>
      </c>
      <c r="AF142">
        <v>0</v>
      </c>
      <c r="AH142" t="s">
        <v>1628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2ABDA-B068-4C03-8A17-16A1E3BA8E82}">
  <sheetPr codeName="Sheet17"/>
  <dimension ref="A1:AI142"/>
  <sheetViews>
    <sheetView topLeftCell="M1" workbookViewId="0">
      <selection activeCell="A103" sqref="A103:XFD103"/>
    </sheetView>
  </sheetViews>
  <sheetFormatPr defaultRowHeight="15" x14ac:dyDescent="0.25"/>
  <sheetData>
    <row r="1" spans="1:35" x14ac:dyDescent="0.25">
      <c r="A1" t="s">
        <v>1635</v>
      </c>
    </row>
    <row r="3" spans="1:35" x14ac:dyDescent="0.25">
      <c r="A3" t="s">
        <v>871</v>
      </c>
      <c r="L3" t="s">
        <v>870</v>
      </c>
      <c r="W3" t="s">
        <v>872</v>
      </c>
    </row>
    <row r="4" spans="1:35" x14ac:dyDescent="0.25">
      <c r="A4">
        <v>0</v>
      </c>
      <c r="B4">
        <v>0</v>
      </c>
      <c r="C4">
        <v>0</v>
      </c>
      <c r="D4">
        <v>0</v>
      </c>
      <c r="E4">
        <v>0</v>
      </c>
      <c r="F4">
        <v>0</v>
      </c>
      <c r="G4">
        <v>0</v>
      </c>
      <c r="H4">
        <v>0</v>
      </c>
      <c r="I4">
        <v>0</v>
      </c>
      <c r="J4">
        <v>0</v>
      </c>
      <c r="L4">
        <v>10</v>
      </c>
      <c r="M4">
        <v>10</v>
      </c>
      <c r="N4">
        <v>10</v>
      </c>
      <c r="O4">
        <v>10</v>
      </c>
      <c r="P4">
        <v>10</v>
      </c>
      <c r="Q4">
        <v>10</v>
      </c>
      <c r="R4">
        <v>10</v>
      </c>
      <c r="S4">
        <v>10</v>
      </c>
      <c r="T4">
        <v>10</v>
      </c>
      <c r="U4">
        <v>10</v>
      </c>
      <c r="W4">
        <v>0</v>
      </c>
      <c r="X4">
        <v>0</v>
      </c>
      <c r="Y4">
        <v>0</v>
      </c>
      <c r="Z4">
        <v>0</v>
      </c>
      <c r="AA4">
        <v>0</v>
      </c>
      <c r="AB4">
        <v>0</v>
      </c>
      <c r="AC4">
        <v>0</v>
      </c>
      <c r="AD4">
        <v>0</v>
      </c>
      <c r="AE4">
        <v>0</v>
      </c>
      <c r="AF4">
        <v>0</v>
      </c>
      <c r="AH4" t="s">
        <v>343</v>
      </c>
      <c r="AI4" t="s">
        <v>987</v>
      </c>
    </row>
    <row r="5" spans="1:35" x14ac:dyDescent="0.25">
      <c r="A5">
        <v>10</v>
      </c>
      <c r="B5">
        <v>10</v>
      </c>
      <c r="C5">
        <v>10</v>
      </c>
      <c r="D5">
        <v>10</v>
      </c>
      <c r="E5">
        <v>10</v>
      </c>
      <c r="F5">
        <v>10</v>
      </c>
      <c r="G5">
        <v>10</v>
      </c>
      <c r="H5">
        <v>10</v>
      </c>
      <c r="I5">
        <v>10</v>
      </c>
      <c r="J5">
        <v>0</v>
      </c>
      <c r="L5">
        <v>0</v>
      </c>
      <c r="M5">
        <v>0</v>
      </c>
      <c r="N5">
        <v>0</v>
      </c>
      <c r="O5">
        <v>0</v>
      </c>
      <c r="P5">
        <v>0</v>
      </c>
      <c r="Q5">
        <v>0</v>
      </c>
      <c r="R5">
        <v>0</v>
      </c>
      <c r="S5">
        <v>0</v>
      </c>
      <c r="T5">
        <v>0</v>
      </c>
      <c r="U5">
        <v>0</v>
      </c>
      <c r="W5">
        <v>0</v>
      </c>
      <c r="X5">
        <v>0</v>
      </c>
      <c r="Y5">
        <v>0</v>
      </c>
      <c r="Z5">
        <v>0</v>
      </c>
      <c r="AA5">
        <v>0</v>
      </c>
      <c r="AB5">
        <v>0</v>
      </c>
      <c r="AC5">
        <v>0</v>
      </c>
      <c r="AD5">
        <v>0</v>
      </c>
      <c r="AE5">
        <v>0</v>
      </c>
      <c r="AF5">
        <v>0</v>
      </c>
      <c r="AH5" t="s">
        <v>348</v>
      </c>
      <c r="AI5" t="s">
        <v>992</v>
      </c>
    </row>
    <row r="6" spans="1:35" x14ac:dyDescent="0.25">
      <c r="A6">
        <v>0</v>
      </c>
      <c r="B6">
        <v>0</v>
      </c>
      <c r="C6">
        <v>0</v>
      </c>
      <c r="D6">
        <v>0</v>
      </c>
      <c r="E6">
        <v>0</v>
      </c>
      <c r="F6">
        <v>0</v>
      </c>
      <c r="G6">
        <v>0</v>
      </c>
      <c r="H6">
        <v>0</v>
      </c>
      <c r="I6">
        <v>0</v>
      </c>
      <c r="J6">
        <v>0</v>
      </c>
      <c r="L6">
        <v>0</v>
      </c>
      <c r="M6">
        <v>0</v>
      </c>
      <c r="N6">
        <v>0</v>
      </c>
      <c r="O6">
        <v>0</v>
      </c>
      <c r="P6">
        <v>0</v>
      </c>
      <c r="Q6">
        <v>0</v>
      </c>
      <c r="R6">
        <v>0</v>
      </c>
      <c r="S6">
        <v>0</v>
      </c>
      <c r="T6">
        <v>0</v>
      </c>
      <c r="U6">
        <v>0</v>
      </c>
      <c r="W6">
        <v>10</v>
      </c>
      <c r="X6">
        <v>10</v>
      </c>
      <c r="Y6">
        <v>10</v>
      </c>
      <c r="Z6">
        <v>10</v>
      </c>
      <c r="AA6">
        <v>10</v>
      </c>
      <c r="AB6">
        <v>10</v>
      </c>
      <c r="AC6">
        <v>10</v>
      </c>
      <c r="AD6">
        <v>10</v>
      </c>
      <c r="AE6">
        <v>10</v>
      </c>
      <c r="AF6">
        <v>10</v>
      </c>
      <c r="AH6" t="s">
        <v>353</v>
      </c>
      <c r="AI6" t="s">
        <v>997</v>
      </c>
    </row>
    <row r="7" spans="1:35" x14ac:dyDescent="0.25">
      <c r="A7">
        <v>9.9999999999999876</v>
      </c>
      <c r="B7">
        <v>9.3333333333333428</v>
      </c>
      <c r="C7">
        <v>8.6666666666666323</v>
      </c>
      <c r="D7">
        <v>7.9999999999999822</v>
      </c>
      <c r="E7">
        <v>7.3333333333333268</v>
      </c>
      <c r="F7">
        <v>6.666666666666675</v>
      </c>
      <c r="G7">
        <v>6.0000000000000018</v>
      </c>
      <c r="H7">
        <v>5.3333333333333304</v>
      </c>
      <c r="I7">
        <v>5.9999999999999973</v>
      </c>
      <c r="J7">
        <v>0</v>
      </c>
      <c r="L7">
        <v>10.000000000000012</v>
      </c>
      <c r="M7">
        <v>9.3333333333333339</v>
      </c>
      <c r="N7">
        <v>8.6666666666666377</v>
      </c>
      <c r="O7">
        <v>8.0000000000000497</v>
      </c>
      <c r="P7">
        <v>7.3333333333333446</v>
      </c>
      <c r="Q7">
        <v>6.6666666666666448</v>
      </c>
      <c r="R7">
        <v>6.0000000000000062</v>
      </c>
      <c r="S7">
        <v>5.3333333333333268</v>
      </c>
      <c r="T7">
        <v>6.0000000000000169</v>
      </c>
      <c r="U7">
        <v>7.999999999999976</v>
      </c>
      <c r="W7">
        <v>0</v>
      </c>
      <c r="X7">
        <v>0</v>
      </c>
      <c r="Y7">
        <v>0</v>
      </c>
      <c r="Z7">
        <v>0</v>
      </c>
      <c r="AA7">
        <v>0</v>
      </c>
      <c r="AB7">
        <v>0</v>
      </c>
      <c r="AC7">
        <v>0</v>
      </c>
      <c r="AD7">
        <v>0</v>
      </c>
      <c r="AE7">
        <v>0</v>
      </c>
      <c r="AF7">
        <v>0</v>
      </c>
      <c r="AH7" t="s">
        <v>357</v>
      </c>
      <c r="AI7" t="s">
        <v>999</v>
      </c>
    </row>
    <row r="8" spans="1:35" x14ac:dyDescent="0.25">
      <c r="A8">
        <v>0</v>
      </c>
      <c r="B8">
        <v>0</v>
      </c>
      <c r="C8">
        <v>0</v>
      </c>
      <c r="D8">
        <v>0</v>
      </c>
      <c r="E8">
        <v>0</v>
      </c>
      <c r="F8">
        <v>0</v>
      </c>
      <c r="G8">
        <v>0</v>
      </c>
      <c r="H8">
        <v>0</v>
      </c>
      <c r="I8">
        <v>0</v>
      </c>
      <c r="J8">
        <v>0</v>
      </c>
      <c r="L8">
        <v>0</v>
      </c>
      <c r="M8">
        <v>0</v>
      </c>
      <c r="N8">
        <v>0</v>
      </c>
      <c r="O8">
        <v>0</v>
      </c>
      <c r="P8">
        <v>0</v>
      </c>
      <c r="Q8">
        <v>0</v>
      </c>
      <c r="R8">
        <v>0</v>
      </c>
      <c r="S8">
        <v>0</v>
      </c>
      <c r="T8">
        <v>0</v>
      </c>
      <c r="U8">
        <v>0</v>
      </c>
      <c r="W8">
        <v>0</v>
      </c>
      <c r="X8">
        <v>0</v>
      </c>
      <c r="Y8">
        <v>0</v>
      </c>
      <c r="Z8">
        <v>0</v>
      </c>
      <c r="AA8">
        <v>0</v>
      </c>
      <c r="AB8">
        <v>0</v>
      </c>
      <c r="AC8">
        <v>0</v>
      </c>
      <c r="AD8">
        <v>0</v>
      </c>
      <c r="AE8">
        <v>0</v>
      </c>
      <c r="AF8">
        <v>0</v>
      </c>
      <c r="AH8" t="s">
        <v>361</v>
      </c>
      <c r="AI8" t="s">
        <v>1005</v>
      </c>
    </row>
    <row r="9" spans="1:35" x14ac:dyDescent="0.25">
      <c r="A9">
        <v>0</v>
      </c>
      <c r="B9">
        <v>0</v>
      </c>
      <c r="C9">
        <v>0</v>
      </c>
      <c r="D9">
        <v>0</v>
      </c>
      <c r="E9">
        <v>0</v>
      </c>
      <c r="F9">
        <v>0</v>
      </c>
      <c r="G9">
        <v>0</v>
      </c>
      <c r="H9">
        <v>0</v>
      </c>
      <c r="I9">
        <v>0</v>
      </c>
      <c r="J9">
        <v>0</v>
      </c>
      <c r="L9">
        <v>0</v>
      </c>
      <c r="M9">
        <v>0</v>
      </c>
      <c r="N9">
        <v>0</v>
      </c>
      <c r="O9">
        <v>0</v>
      </c>
      <c r="P9">
        <v>0</v>
      </c>
      <c r="Q9">
        <v>0</v>
      </c>
      <c r="R9">
        <v>0</v>
      </c>
      <c r="S9">
        <v>0</v>
      </c>
      <c r="T9">
        <v>0</v>
      </c>
      <c r="U9">
        <v>0</v>
      </c>
      <c r="W9">
        <v>0</v>
      </c>
      <c r="X9">
        <v>0</v>
      </c>
      <c r="Y9">
        <v>0</v>
      </c>
      <c r="Z9">
        <v>0</v>
      </c>
      <c r="AA9">
        <v>0</v>
      </c>
      <c r="AB9">
        <v>0</v>
      </c>
      <c r="AC9">
        <v>0</v>
      </c>
      <c r="AD9">
        <v>0</v>
      </c>
      <c r="AE9">
        <v>0</v>
      </c>
      <c r="AF9">
        <v>0</v>
      </c>
      <c r="AH9" t="s">
        <v>366</v>
      </c>
      <c r="AI9" t="s">
        <v>1009</v>
      </c>
    </row>
    <row r="10" spans="1:35" x14ac:dyDescent="0.25">
      <c r="A10">
        <v>9.9999999999999876</v>
      </c>
      <c r="B10">
        <v>9.3333333333333428</v>
      </c>
      <c r="C10">
        <v>8.6666666666666341</v>
      </c>
      <c r="D10">
        <v>7.9999999999999813</v>
      </c>
      <c r="E10">
        <v>7.3333333333333277</v>
      </c>
      <c r="F10">
        <v>6.6666666666666758</v>
      </c>
      <c r="G10">
        <v>4</v>
      </c>
      <c r="H10">
        <v>1.3333333333333368</v>
      </c>
      <c r="I10">
        <v>0</v>
      </c>
      <c r="J10">
        <v>0</v>
      </c>
      <c r="L10">
        <v>10.000000000000012</v>
      </c>
      <c r="M10">
        <v>9.3333333333333339</v>
      </c>
      <c r="N10">
        <v>8.6666666666666394</v>
      </c>
      <c r="O10">
        <v>8.0000000000000497</v>
      </c>
      <c r="P10">
        <v>7.3333333333333464</v>
      </c>
      <c r="Q10">
        <v>6.6666666666666448</v>
      </c>
      <c r="R10">
        <v>6.0000000000000071</v>
      </c>
      <c r="S10">
        <v>5.3333333333333277</v>
      </c>
      <c r="T10">
        <v>6.0000000000000169</v>
      </c>
      <c r="U10">
        <v>7.9999999999999769</v>
      </c>
      <c r="W10">
        <v>10</v>
      </c>
      <c r="X10">
        <v>10</v>
      </c>
      <c r="Y10">
        <v>10</v>
      </c>
      <c r="Z10">
        <v>10</v>
      </c>
      <c r="AA10">
        <v>10</v>
      </c>
      <c r="AB10">
        <v>10</v>
      </c>
      <c r="AC10">
        <v>10</v>
      </c>
      <c r="AD10">
        <v>10</v>
      </c>
      <c r="AE10">
        <v>10</v>
      </c>
      <c r="AF10">
        <v>10</v>
      </c>
      <c r="AH10" t="s">
        <v>1015</v>
      </c>
      <c r="AI10" t="s">
        <v>1017</v>
      </c>
    </row>
    <row r="11" spans="1:35" x14ac:dyDescent="0.25">
      <c r="A11">
        <v>9.9999999999999876</v>
      </c>
      <c r="B11">
        <v>9.3333333333333428</v>
      </c>
      <c r="C11">
        <v>8.6666666666666341</v>
      </c>
      <c r="D11">
        <v>7.9999999999999813</v>
      </c>
      <c r="E11">
        <v>7.3333333333333277</v>
      </c>
      <c r="F11">
        <v>6.666666666666675</v>
      </c>
      <c r="G11">
        <v>4</v>
      </c>
      <c r="H11">
        <v>1.3333333333333368</v>
      </c>
      <c r="I11">
        <v>0</v>
      </c>
      <c r="J11">
        <v>0</v>
      </c>
      <c r="L11">
        <v>10.000000000000012</v>
      </c>
      <c r="M11">
        <v>9.3333333333333339</v>
      </c>
      <c r="N11">
        <v>8.6666666666666394</v>
      </c>
      <c r="O11">
        <v>8.0000000000000497</v>
      </c>
      <c r="P11">
        <v>7.3333333333333472</v>
      </c>
      <c r="Q11">
        <v>6.6666666666666448</v>
      </c>
      <c r="R11">
        <v>6.0000000000000062</v>
      </c>
      <c r="S11">
        <v>5.3333333333333277</v>
      </c>
      <c r="T11">
        <v>6.0000000000000169</v>
      </c>
      <c r="U11">
        <v>7.999999999999976</v>
      </c>
      <c r="W11">
        <v>10.000000000000002</v>
      </c>
      <c r="X11">
        <v>10</v>
      </c>
      <c r="Y11">
        <v>10.000000000000002</v>
      </c>
      <c r="Z11">
        <v>10.000000000000004</v>
      </c>
      <c r="AA11">
        <v>10.000000000000002</v>
      </c>
      <c r="AB11">
        <v>10.000000000000002</v>
      </c>
      <c r="AC11">
        <v>10</v>
      </c>
      <c r="AD11">
        <v>10.000000000000004</v>
      </c>
      <c r="AE11">
        <v>10.000000000000002</v>
      </c>
      <c r="AF11">
        <v>10.000000000000002</v>
      </c>
      <c r="AH11" t="s">
        <v>1021</v>
      </c>
      <c r="AI11" t="s">
        <v>1022</v>
      </c>
    </row>
    <row r="12" spans="1:35" x14ac:dyDescent="0.25">
      <c r="A12">
        <v>0</v>
      </c>
      <c r="B12">
        <v>0</v>
      </c>
      <c r="C12">
        <v>0</v>
      </c>
      <c r="D12">
        <v>0</v>
      </c>
      <c r="E12">
        <v>0</v>
      </c>
      <c r="F12">
        <v>0</v>
      </c>
      <c r="G12">
        <v>2.0000000000000018</v>
      </c>
      <c r="H12">
        <v>3.9999999999999947</v>
      </c>
      <c r="I12">
        <v>5.9999999999999982</v>
      </c>
      <c r="J12">
        <v>0</v>
      </c>
      <c r="L12">
        <v>0</v>
      </c>
      <c r="M12">
        <v>0</v>
      </c>
      <c r="N12">
        <v>0</v>
      </c>
      <c r="O12">
        <v>0</v>
      </c>
      <c r="P12">
        <v>0</v>
      </c>
      <c r="Q12">
        <v>0</v>
      </c>
      <c r="R12">
        <v>0</v>
      </c>
      <c r="S12">
        <v>0</v>
      </c>
      <c r="T12">
        <v>0</v>
      </c>
      <c r="U12">
        <v>0</v>
      </c>
      <c r="W12">
        <v>0</v>
      </c>
      <c r="X12">
        <v>0</v>
      </c>
      <c r="Y12">
        <v>0</v>
      </c>
      <c r="Z12">
        <v>0</v>
      </c>
      <c r="AA12">
        <v>0</v>
      </c>
      <c r="AB12">
        <v>0</v>
      </c>
      <c r="AC12">
        <v>0</v>
      </c>
      <c r="AD12">
        <v>0</v>
      </c>
      <c r="AE12">
        <v>0</v>
      </c>
      <c r="AF12">
        <v>0</v>
      </c>
      <c r="AH12" t="s">
        <v>371</v>
      </c>
      <c r="AI12" t="s">
        <v>1027</v>
      </c>
    </row>
    <row r="13" spans="1:35" x14ac:dyDescent="0.25">
      <c r="A13">
        <v>0</v>
      </c>
      <c r="B13">
        <v>0</v>
      </c>
      <c r="C13">
        <v>0</v>
      </c>
      <c r="D13">
        <v>0</v>
      </c>
      <c r="E13">
        <v>0</v>
      </c>
      <c r="F13">
        <v>0</v>
      </c>
      <c r="G13">
        <v>0</v>
      </c>
      <c r="H13">
        <v>0</v>
      </c>
      <c r="I13">
        <v>0</v>
      </c>
      <c r="J13">
        <v>0</v>
      </c>
      <c r="L13">
        <v>0</v>
      </c>
      <c r="M13">
        <v>0</v>
      </c>
      <c r="N13">
        <v>0</v>
      </c>
      <c r="O13">
        <v>0</v>
      </c>
      <c r="P13">
        <v>0</v>
      </c>
      <c r="Q13">
        <v>0</v>
      </c>
      <c r="R13">
        <v>0</v>
      </c>
      <c r="S13">
        <v>0</v>
      </c>
      <c r="T13">
        <v>0</v>
      </c>
      <c r="U13">
        <v>0</v>
      </c>
      <c r="W13">
        <v>0</v>
      </c>
      <c r="X13">
        <v>0</v>
      </c>
      <c r="Y13">
        <v>0</v>
      </c>
      <c r="Z13">
        <v>0</v>
      </c>
      <c r="AA13">
        <v>0</v>
      </c>
      <c r="AB13">
        <v>0</v>
      </c>
      <c r="AC13">
        <v>0</v>
      </c>
      <c r="AD13">
        <v>0</v>
      </c>
      <c r="AE13">
        <v>0</v>
      </c>
      <c r="AF13">
        <v>0</v>
      </c>
      <c r="AH13" t="s">
        <v>375</v>
      </c>
      <c r="AI13" t="s">
        <v>1031</v>
      </c>
    </row>
    <row r="14" spans="1:35" x14ac:dyDescent="0.25">
      <c r="A14">
        <v>0</v>
      </c>
      <c r="B14">
        <v>0</v>
      </c>
      <c r="C14">
        <v>0</v>
      </c>
      <c r="D14">
        <v>0</v>
      </c>
      <c r="E14">
        <v>0</v>
      </c>
      <c r="F14">
        <v>0</v>
      </c>
      <c r="G14">
        <v>2.0000000000000013</v>
      </c>
      <c r="H14">
        <v>3.9999999999999942</v>
      </c>
      <c r="I14">
        <v>5.9999999999999982</v>
      </c>
      <c r="J14">
        <v>0</v>
      </c>
      <c r="L14">
        <v>0</v>
      </c>
      <c r="M14">
        <v>0</v>
      </c>
      <c r="N14">
        <v>0</v>
      </c>
      <c r="O14">
        <v>0</v>
      </c>
      <c r="P14">
        <v>0</v>
      </c>
      <c r="Q14">
        <v>0</v>
      </c>
      <c r="R14">
        <v>0</v>
      </c>
      <c r="S14">
        <v>0</v>
      </c>
      <c r="T14">
        <v>0</v>
      </c>
      <c r="U14">
        <v>0</v>
      </c>
      <c r="W14">
        <v>0</v>
      </c>
      <c r="X14">
        <v>0</v>
      </c>
      <c r="Y14">
        <v>0</v>
      </c>
      <c r="Z14">
        <v>0</v>
      </c>
      <c r="AA14">
        <v>0</v>
      </c>
      <c r="AB14">
        <v>0</v>
      </c>
      <c r="AC14">
        <v>0</v>
      </c>
      <c r="AD14">
        <v>0</v>
      </c>
      <c r="AE14">
        <v>0</v>
      </c>
      <c r="AF14">
        <v>0</v>
      </c>
      <c r="AH14" t="s">
        <v>380</v>
      </c>
      <c r="AI14" t="s">
        <v>1035</v>
      </c>
    </row>
    <row r="15" spans="1:35" x14ac:dyDescent="0.25">
      <c r="A15">
        <v>0</v>
      </c>
      <c r="B15">
        <v>0</v>
      </c>
      <c r="C15">
        <v>0</v>
      </c>
      <c r="D15">
        <v>0</v>
      </c>
      <c r="E15">
        <v>0</v>
      </c>
      <c r="F15">
        <v>0</v>
      </c>
      <c r="G15">
        <v>2.0000000000000013</v>
      </c>
      <c r="H15">
        <v>3.9999999999999951</v>
      </c>
      <c r="I15">
        <v>5.9999999999999982</v>
      </c>
      <c r="J15">
        <v>0</v>
      </c>
      <c r="L15">
        <v>0</v>
      </c>
      <c r="M15">
        <v>0</v>
      </c>
      <c r="N15">
        <v>0</v>
      </c>
      <c r="O15">
        <v>0</v>
      </c>
      <c r="P15">
        <v>0</v>
      </c>
      <c r="Q15">
        <v>0</v>
      </c>
      <c r="R15">
        <v>0</v>
      </c>
      <c r="S15">
        <v>0</v>
      </c>
      <c r="T15">
        <v>0</v>
      </c>
      <c r="U15">
        <v>0</v>
      </c>
      <c r="W15">
        <v>0</v>
      </c>
      <c r="X15">
        <v>0</v>
      </c>
      <c r="Y15">
        <v>0</v>
      </c>
      <c r="Z15">
        <v>0</v>
      </c>
      <c r="AA15">
        <v>0</v>
      </c>
      <c r="AB15">
        <v>0</v>
      </c>
      <c r="AC15">
        <v>0</v>
      </c>
      <c r="AD15">
        <v>0</v>
      </c>
      <c r="AE15">
        <v>0</v>
      </c>
      <c r="AF15">
        <v>0</v>
      </c>
      <c r="AH15" t="s">
        <v>385</v>
      </c>
      <c r="AI15" t="s">
        <v>1036</v>
      </c>
    </row>
    <row r="16" spans="1:35" x14ac:dyDescent="0.25">
      <c r="A16">
        <v>0</v>
      </c>
      <c r="B16">
        <v>0</v>
      </c>
      <c r="C16">
        <v>0</v>
      </c>
      <c r="D16">
        <v>0</v>
      </c>
      <c r="E16">
        <v>0</v>
      </c>
      <c r="F16">
        <v>0</v>
      </c>
      <c r="G16">
        <v>2.0000000000000013</v>
      </c>
      <c r="H16">
        <v>3.9999999999999951</v>
      </c>
      <c r="I16">
        <v>5.9999999999999982</v>
      </c>
      <c r="J16">
        <v>0</v>
      </c>
      <c r="L16">
        <v>0</v>
      </c>
      <c r="M16">
        <v>0</v>
      </c>
      <c r="N16">
        <v>0</v>
      </c>
      <c r="O16">
        <v>0</v>
      </c>
      <c r="P16">
        <v>0</v>
      </c>
      <c r="Q16">
        <v>0</v>
      </c>
      <c r="R16">
        <v>0</v>
      </c>
      <c r="S16">
        <v>0</v>
      </c>
      <c r="T16">
        <v>0</v>
      </c>
      <c r="U16">
        <v>0</v>
      </c>
      <c r="W16">
        <v>0</v>
      </c>
      <c r="X16">
        <v>0</v>
      </c>
      <c r="Y16">
        <v>0</v>
      </c>
      <c r="Z16">
        <v>0</v>
      </c>
      <c r="AA16">
        <v>0</v>
      </c>
      <c r="AB16">
        <v>0</v>
      </c>
      <c r="AC16">
        <v>0</v>
      </c>
      <c r="AD16">
        <v>0</v>
      </c>
      <c r="AE16">
        <v>0</v>
      </c>
      <c r="AF16">
        <v>0</v>
      </c>
      <c r="AH16" t="s">
        <v>390</v>
      </c>
      <c r="AI16" t="s">
        <v>1040</v>
      </c>
    </row>
    <row r="17" spans="1:35" x14ac:dyDescent="0.25">
      <c r="A17">
        <v>0</v>
      </c>
      <c r="B17">
        <v>-4.9571415738455179E-30</v>
      </c>
      <c r="C17">
        <v>0</v>
      </c>
      <c r="D17">
        <v>4.9571415738455179E-30</v>
      </c>
      <c r="E17">
        <v>-1.7917379182574161E-31</v>
      </c>
      <c r="F17">
        <v>-1.2542165427801914E-30</v>
      </c>
      <c r="G17">
        <v>0</v>
      </c>
      <c r="H17">
        <v>0</v>
      </c>
      <c r="I17">
        <v>-7.5252992566811484E-30</v>
      </c>
      <c r="J17">
        <v>0</v>
      </c>
      <c r="L17">
        <v>2.9623400248522617E-29</v>
      </c>
      <c r="M17">
        <v>9.5559355640395535E-30</v>
      </c>
      <c r="N17">
        <v>4.8735271376601721E-29</v>
      </c>
      <c r="O17">
        <v>0</v>
      </c>
      <c r="P17">
        <v>-4.7779677820197767E-30</v>
      </c>
      <c r="Q17">
        <v>9.5559355640395535E-30</v>
      </c>
      <c r="R17">
        <v>0</v>
      </c>
      <c r="S17">
        <v>0</v>
      </c>
      <c r="T17">
        <v>-9.6291075776495481E-30</v>
      </c>
      <c r="U17">
        <v>0</v>
      </c>
      <c r="W17">
        <v>-4.7856125304710085E-27</v>
      </c>
      <c r="X17">
        <v>2.568635479613832E-27</v>
      </c>
      <c r="Y17">
        <v>2.0182135911251534E-27</v>
      </c>
      <c r="Z17">
        <v>1.4219232119290855E-27</v>
      </c>
      <c r="AA17">
        <v>3.7000582503961152E-27</v>
      </c>
      <c r="AB17">
        <v>2.950872902175414E-27</v>
      </c>
      <c r="AC17">
        <v>6.077575018729156E-27</v>
      </c>
      <c r="AD17">
        <v>3.2490180917734484E-27</v>
      </c>
      <c r="AE17">
        <v>2.7903331846995496E-27</v>
      </c>
      <c r="AF17">
        <v>3.4401368030542388E-27</v>
      </c>
      <c r="AH17" t="s">
        <v>394</v>
      </c>
      <c r="AI17" t="s">
        <v>1044</v>
      </c>
    </row>
    <row r="18" spans="1:35" x14ac:dyDescent="0.25">
      <c r="A18">
        <v>0</v>
      </c>
      <c r="B18">
        <v>0</v>
      </c>
      <c r="C18">
        <v>0</v>
      </c>
      <c r="D18">
        <v>0</v>
      </c>
      <c r="E18">
        <v>0</v>
      </c>
      <c r="F18">
        <v>0</v>
      </c>
      <c r="G18">
        <v>0</v>
      </c>
      <c r="H18">
        <v>0</v>
      </c>
      <c r="I18">
        <v>0</v>
      </c>
      <c r="J18">
        <v>0</v>
      </c>
      <c r="L18">
        <v>0</v>
      </c>
      <c r="M18">
        <v>0</v>
      </c>
      <c r="N18">
        <v>0</v>
      </c>
      <c r="O18">
        <v>0</v>
      </c>
      <c r="P18">
        <v>0</v>
      </c>
      <c r="Q18">
        <v>0</v>
      </c>
      <c r="R18">
        <v>0</v>
      </c>
      <c r="S18">
        <v>0</v>
      </c>
      <c r="T18">
        <v>0</v>
      </c>
      <c r="U18">
        <v>0</v>
      </c>
      <c r="W18">
        <v>0</v>
      </c>
      <c r="X18">
        <v>0</v>
      </c>
      <c r="Y18">
        <v>0</v>
      </c>
      <c r="Z18">
        <v>0</v>
      </c>
      <c r="AA18">
        <v>0</v>
      </c>
      <c r="AB18">
        <v>0</v>
      </c>
      <c r="AC18">
        <v>0</v>
      </c>
      <c r="AD18">
        <v>0</v>
      </c>
      <c r="AE18">
        <v>0</v>
      </c>
      <c r="AF18">
        <v>0</v>
      </c>
      <c r="AH18" t="s">
        <v>399</v>
      </c>
      <c r="AI18" t="s">
        <v>1046</v>
      </c>
    </row>
    <row r="19" spans="1:35" x14ac:dyDescent="0.25">
      <c r="A19">
        <v>0</v>
      </c>
      <c r="B19">
        <v>0</v>
      </c>
      <c r="C19">
        <v>0</v>
      </c>
      <c r="D19">
        <v>0</v>
      </c>
      <c r="E19">
        <v>0</v>
      </c>
      <c r="F19">
        <v>0</v>
      </c>
      <c r="G19">
        <v>0</v>
      </c>
      <c r="H19">
        <v>0</v>
      </c>
      <c r="I19">
        <v>0</v>
      </c>
      <c r="J19">
        <v>0</v>
      </c>
      <c r="L19">
        <v>0</v>
      </c>
      <c r="M19">
        <v>0</v>
      </c>
      <c r="N19">
        <v>0</v>
      </c>
      <c r="O19">
        <v>0</v>
      </c>
      <c r="P19">
        <v>0</v>
      </c>
      <c r="Q19">
        <v>0</v>
      </c>
      <c r="R19">
        <v>0</v>
      </c>
      <c r="S19">
        <v>0</v>
      </c>
      <c r="T19">
        <v>0</v>
      </c>
      <c r="U19">
        <v>0</v>
      </c>
      <c r="W19">
        <v>0</v>
      </c>
      <c r="X19">
        <v>0</v>
      </c>
      <c r="Y19">
        <v>0</v>
      </c>
      <c r="Z19">
        <v>0</v>
      </c>
      <c r="AA19">
        <v>0</v>
      </c>
      <c r="AB19">
        <v>0</v>
      </c>
      <c r="AC19">
        <v>0</v>
      </c>
      <c r="AD19">
        <v>0</v>
      </c>
      <c r="AE19">
        <v>0</v>
      </c>
      <c r="AF19">
        <v>0</v>
      </c>
      <c r="AH19" t="s">
        <v>409</v>
      </c>
      <c r="AI19" t="s">
        <v>1055</v>
      </c>
    </row>
    <row r="20" spans="1:35" x14ac:dyDescent="0.25">
      <c r="A20">
        <v>0</v>
      </c>
      <c r="B20">
        <v>0</v>
      </c>
      <c r="C20">
        <v>0</v>
      </c>
      <c r="D20">
        <v>0</v>
      </c>
      <c r="E20">
        <v>0</v>
      </c>
      <c r="F20">
        <v>0</v>
      </c>
      <c r="G20">
        <v>2.0000000000000018</v>
      </c>
      <c r="H20">
        <v>3.9999999999999947</v>
      </c>
      <c r="I20">
        <v>5.9999999999999973</v>
      </c>
      <c r="J20">
        <v>0</v>
      </c>
      <c r="L20">
        <v>0</v>
      </c>
      <c r="M20">
        <v>0</v>
      </c>
      <c r="N20">
        <v>0</v>
      </c>
      <c r="O20">
        <v>0</v>
      </c>
      <c r="P20">
        <v>0</v>
      </c>
      <c r="Q20">
        <v>0</v>
      </c>
      <c r="R20">
        <v>0</v>
      </c>
      <c r="S20">
        <v>0</v>
      </c>
      <c r="T20">
        <v>0</v>
      </c>
      <c r="U20">
        <v>0</v>
      </c>
      <c r="W20">
        <v>0</v>
      </c>
      <c r="X20">
        <v>0</v>
      </c>
      <c r="Y20">
        <v>0</v>
      </c>
      <c r="Z20">
        <v>0</v>
      </c>
      <c r="AA20">
        <v>0</v>
      </c>
      <c r="AB20">
        <v>0</v>
      </c>
      <c r="AC20">
        <v>0</v>
      </c>
      <c r="AD20">
        <v>0</v>
      </c>
      <c r="AE20">
        <v>0</v>
      </c>
      <c r="AF20">
        <v>0</v>
      </c>
      <c r="AH20" t="s">
        <v>413</v>
      </c>
      <c r="AI20" t="s">
        <v>1060</v>
      </c>
    </row>
    <row r="21" spans="1:35" x14ac:dyDescent="0.25">
      <c r="A21">
        <v>1.5767293680665261E-29</v>
      </c>
      <c r="B21">
        <v>-8.3614436185346084E-30</v>
      </c>
      <c r="C21">
        <v>-1.7866986553623173E-29</v>
      </c>
      <c r="D21">
        <v>1.0511529120443509E-29</v>
      </c>
      <c r="E21">
        <v>1.2900513011453398E-29</v>
      </c>
      <c r="F21">
        <v>-5.2557645602217545E-30</v>
      </c>
      <c r="G21">
        <v>-2.2695346964593939E-30</v>
      </c>
      <c r="H21">
        <v>-8.2419944239841143E-30</v>
      </c>
      <c r="I21">
        <v>-5.0765907683960126E-30</v>
      </c>
      <c r="J21">
        <v>0</v>
      </c>
      <c r="L21">
        <v>2.9623400248522617E-29</v>
      </c>
      <c r="M21">
        <v>9.5559355640395535E-30</v>
      </c>
      <c r="N21">
        <v>4.8735271376601721E-29</v>
      </c>
      <c r="O21">
        <v>0</v>
      </c>
      <c r="P21">
        <v>-4.7779677820197767E-30</v>
      </c>
      <c r="Q21">
        <v>9.5559355640395535E-30</v>
      </c>
      <c r="R21">
        <v>0</v>
      </c>
      <c r="S21">
        <v>0</v>
      </c>
      <c r="T21">
        <v>-9.6291075776495481E-30</v>
      </c>
      <c r="U21">
        <v>0</v>
      </c>
      <c r="W21">
        <v>1.6047855948825465E-24</v>
      </c>
      <c r="X21">
        <v>-1.6537119849704288E-25</v>
      </c>
      <c r="Y21">
        <v>-4.8926390087882511E-25</v>
      </c>
      <c r="Z21">
        <v>-4.8926390087882509E-26</v>
      </c>
      <c r="AA21">
        <v>-6.2038662631435027E-25</v>
      </c>
      <c r="AB21">
        <v>8.4398022901597328E-26</v>
      </c>
      <c r="AC21">
        <v>-5.479755689842841E-25</v>
      </c>
      <c r="AD21">
        <v>-3.1851079947211513E-25</v>
      </c>
      <c r="AE21">
        <v>7.901611999193026E-26</v>
      </c>
      <c r="AF21">
        <v>1.8298469892868058E-25</v>
      </c>
      <c r="AH21" t="s">
        <v>418</v>
      </c>
      <c r="AI21" t="s">
        <v>1065</v>
      </c>
    </row>
    <row r="22" spans="1:35" x14ac:dyDescent="0.25">
      <c r="A22">
        <v>1.5848558132714546E-29</v>
      </c>
      <c r="B22">
        <v>-8.2233084650877362E-30</v>
      </c>
      <c r="C22">
        <v>-1.7867590615939567E-29</v>
      </c>
      <c r="D22">
        <v>1.0166999556835747E-29</v>
      </c>
      <c r="E22">
        <v>1.2858264145409915E-29</v>
      </c>
      <c r="F22">
        <v>-5.3825291771483365E-30</v>
      </c>
      <c r="G22">
        <v>-2.2427204904784735E-30</v>
      </c>
      <c r="H22">
        <v>-8.2233084650877362E-30</v>
      </c>
      <c r="I22">
        <v>-5.0834997784178733E-30</v>
      </c>
      <c r="J22">
        <v>0</v>
      </c>
      <c r="L22">
        <v>1.0166999556835747E-29</v>
      </c>
      <c r="M22">
        <v>0</v>
      </c>
      <c r="N22">
        <v>2.0333999113671493E-29</v>
      </c>
      <c r="O22">
        <v>0</v>
      </c>
      <c r="P22">
        <v>1.6818831406693769E-30</v>
      </c>
      <c r="Q22">
        <v>6.7281614714354206E-30</v>
      </c>
      <c r="R22">
        <v>1.6446616930175472E-30</v>
      </c>
      <c r="S22">
        <v>0</v>
      </c>
      <c r="T22">
        <v>3.3637662813387537E-30</v>
      </c>
      <c r="U22">
        <v>0</v>
      </c>
      <c r="W22">
        <v>1.6069696353663698E-24</v>
      </c>
      <c r="X22">
        <v>-1.656575024262969E-25</v>
      </c>
      <c r="Y22">
        <v>-4.8924080314531578E-25</v>
      </c>
      <c r="Z22">
        <v>-4.899297668799908E-26</v>
      </c>
      <c r="AA22">
        <v>-6.1976115510318841E-25</v>
      </c>
      <c r="AB22">
        <v>8.4359781734648413E-26</v>
      </c>
      <c r="AC22">
        <v>-5.487213389055897E-25</v>
      </c>
      <c r="AD22">
        <v>-3.1845434847199402E-25</v>
      </c>
      <c r="AE22">
        <v>7.9001174909398517E-26</v>
      </c>
      <c r="AF22">
        <v>1.8311125037139655E-25</v>
      </c>
      <c r="AH22" t="s">
        <v>423</v>
      </c>
      <c r="AI22" t="s">
        <v>1070</v>
      </c>
    </row>
    <row r="23" spans="1:35" x14ac:dyDescent="0.25">
      <c r="A23">
        <v>0</v>
      </c>
      <c r="B23">
        <v>0</v>
      </c>
      <c r="C23">
        <v>0</v>
      </c>
      <c r="D23">
        <v>0</v>
      </c>
      <c r="E23">
        <v>0</v>
      </c>
      <c r="F23">
        <v>0</v>
      </c>
      <c r="G23">
        <v>0</v>
      </c>
      <c r="H23">
        <v>0</v>
      </c>
      <c r="I23">
        <v>0</v>
      </c>
      <c r="J23">
        <v>0</v>
      </c>
      <c r="L23">
        <v>0</v>
      </c>
      <c r="M23">
        <v>0</v>
      </c>
      <c r="N23">
        <v>0</v>
      </c>
      <c r="O23">
        <v>0</v>
      </c>
      <c r="P23">
        <v>0</v>
      </c>
      <c r="Q23">
        <v>0</v>
      </c>
      <c r="R23">
        <v>0</v>
      </c>
      <c r="S23">
        <v>0</v>
      </c>
      <c r="T23">
        <v>0</v>
      </c>
      <c r="U23">
        <v>0</v>
      </c>
      <c r="W23">
        <v>0</v>
      </c>
      <c r="X23">
        <v>0</v>
      </c>
      <c r="Y23">
        <v>0</v>
      </c>
      <c r="Z23">
        <v>0</v>
      </c>
      <c r="AA23">
        <v>0</v>
      </c>
      <c r="AB23">
        <v>0</v>
      </c>
      <c r="AC23">
        <v>0</v>
      </c>
      <c r="AD23">
        <v>0</v>
      </c>
      <c r="AE23">
        <v>0</v>
      </c>
      <c r="AF23">
        <v>0</v>
      </c>
      <c r="AH23" t="s">
        <v>427</v>
      </c>
      <c r="AI23" t="s">
        <v>1075</v>
      </c>
    </row>
    <row r="24" spans="1:35" x14ac:dyDescent="0.25">
      <c r="A24">
        <v>0</v>
      </c>
      <c r="B24">
        <v>0</v>
      </c>
      <c r="C24">
        <v>0</v>
      </c>
      <c r="D24">
        <v>0</v>
      </c>
      <c r="E24">
        <v>0</v>
      </c>
      <c r="F24">
        <v>0</v>
      </c>
      <c r="G24">
        <v>0</v>
      </c>
      <c r="H24">
        <v>0</v>
      </c>
      <c r="I24">
        <v>0</v>
      </c>
      <c r="J24">
        <v>0</v>
      </c>
      <c r="L24">
        <v>0</v>
      </c>
      <c r="M24">
        <v>0</v>
      </c>
      <c r="N24">
        <v>0</v>
      </c>
      <c r="O24">
        <v>0</v>
      </c>
      <c r="P24">
        <v>0</v>
      </c>
      <c r="Q24">
        <v>0</v>
      </c>
      <c r="R24">
        <v>0</v>
      </c>
      <c r="S24">
        <v>0</v>
      </c>
      <c r="T24">
        <v>0</v>
      </c>
      <c r="U24">
        <v>0</v>
      </c>
      <c r="W24">
        <v>0</v>
      </c>
      <c r="X24">
        <v>0</v>
      </c>
      <c r="Y24">
        <v>0</v>
      </c>
      <c r="Z24">
        <v>0</v>
      </c>
      <c r="AA24">
        <v>0</v>
      </c>
      <c r="AB24">
        <v>0</v>
      </c>
      <c r="AC24">
        <v>0</v>
      </c>
      <c r="AD24">
        <v>0</v>
      </c>
      <c r="AE24">
        <v>0</v>
      </c>
      <c r="AF24">
        <v>0</v>
      </c>
      <c r="AH24" t="s">
        <v>432</v>
      </c>
      <c r="AI24" t="s">
        <v>1080</v>
      </c>
    </row>
    <row r="25" spans="1:35" x14ac:dyDescent="0.25">
      <c r="A25">
        <v>-1.3500860632181517E-31</v>
      </c>
      <c r="B25">
        <v>4.4278087117040603E-31</v>
      </c>
      <c r="C25">
        <v>-8.2921340828838463E-32</v>
      </c>
      <c r="D25">
        <v>4.7733360287576121E-31</v>
      </c>
      <c r="E25">
        <v>0</v>
      </c>
      <c r="F25">
        <v>1.8603712375494654E-31</v>
      </c>
      <c r="G25">
        <v>3.4552731705355138E-32</v>
      </c>
      <c r="H25">
        <v>-4.2390334506792577E-32</v>
      </c>
      <c r="I25">
        <v>0</v>
      </c>
      <c r="J25">
        <v>0</v>
      </c>
      <c r="L25">
        <v>-5.2807432236567351E-32</v>
      </c>
      <c r="M25">
        <v>0</v>
      </c>
      <c r="N25">
        <v>-3.286098596963303E-31</v>
      </c>
      <c r="O25">
        <v>9.9785407893651462E-32</v>
      </c>
      <c r="P25">
        <v>0</v>
      </c>
      <c r="Q25">
        <v>-9.3955951314168233E-32</v>
      </c>
      <c r="R25">
        <v>2.0167128124930131E-32</v>
      </c>
      <c r="S25">
        <v>4.6977975657084116E-32</v>
      </c>
      <c r="T25">
        <v>0</v>
      </c>
      <c r="U25">
        <v>-3.9284023518860293E-32</v>
      </c>
      <c r="W25">
        <v>6.1431250187649574E-27</v>
      </c>
      <c r="X25">
        <v>-8.6565448036415921E-29</v>
      </c>
      <c r="Y25">
        <v>0</v>
      </c>
      <c r="Z25">
        <v>-8.674320049644963E-29</v>
      </c>
      <c r="AA25">
        <v>-1.7348640099289926E-28</v>
      </c>
      <c r="AB25">
        <v>-8.6387695576382211E-29</v>
      </c>
      <c r="AC25">
        <v>-1.7277539115276442E-28</v>
      </c>
      <c r="AD25">
        <v>-8.6565448036415921E-29</v>
      </c>
      <c r="AE25">
        <v>-8.6565448036415921E-29</v>
      </c>
      <c r="AF25">
        <v>-8.6580029292903066E-29</v>
      </c>
      <c r="AH25" t="s">
        <v>437</v>
      </c>
      <c r="AI25" t="s">
        <v>1081</v>
      </c>
    </row>
    <row r="26" spans="1:35" x14ac:dyDescent="0.25">
      <c r="A26">
        <v>-5.1671402541177101E-15</v>
      </c>
      <c r="B26">
        <v>3.0060862724398957E-15</v>
      </c>
      <c r="C26">
        <v>-9.0884307003177523E-15</v>
      </c>
      <c r="D26">
        <v>-4.6342592416466271E-15</v>
      </c>
      <c r="E26">
        <v>-1.9868600852564363E-15</v>
      </c>
      <c r="F26">
        <v>1.9331312221993305E-15</v>
      </c>
      <c r="G26">
        <v>4.9682455158501298E-16</v>
      </c>
      <c r="H26">
        <v>-7.4125284171958261E-16</v>
      </c>
      <c r="I26">
        <v>-5.5621919752061687E-17</v>
      </c>
      <c r="J26">
        <v>0</v>
      </c>
      <c r="L26">
        <v>1.498207388260615E-15</v>
      </c>
      <c r="M26">
        <v>6.3424288705546495E-16</v>
      </c>
      <c r="N26">
        <v>-3.9748162382142099E-15</v>
      </c>
      <c r="O26">
        <v>6.6931692287145638E-15</v>
      </c>
      <c r="P26">
        <v>1.8244676267065186E-15</v>
      </c>
      <c r="Q26">
        <v>-2.6247066989613875E-15</v>
      </c>
      <c r="R26">
        <v>9.7841239047922237E-16</v>
      </c>
      <c r="S26">
        <v>-7.3852315049095907E-16</v>
      </c>
      <c r="T26">
        <v>6.737765367222295E-16</v>
      </c>
      <c r="U26">
        <v>-1.4546484822654136E-15</v>
      </c>
      <c r="W26">
        <v>5.8720014189295253E-16</v>
      </c>
      <c r="X26">
        <v>-6.8869008401465607E-15</v>
      </c>
      <c r="Y26">
        <v>-1.0141653074551802E-14</v>
      </c>
      <c r="Z26">
        <v>-3.15117761610164E-15</v>
      </c>
      <c r="AA26">
        <v>-3.0534367050001451E-15</v>
      </c>
      <c r="AB26">
        <v>7.3358680236657743E-16</v>
      </c>
      <c r="AC26">
        <v>5.8077052304610274E-16</v>
      </c>
      <c r="AD26">
        <v>-3.6735192784032595E-15</v>
      </c>
      <c r="AE26">
        <v>-7.4905266888900442E-16</v>
      </c>
      <c r="AF26">
        <v>-9.560489990606771E-16</v>
      </c>
      <c r="AH26" t="s">
        <v>442</v>
      </c>
      <c r="AI26" t="s">
        <v>1086</v>
      </c>
    </row>
    <row r="27" spans="1:35" x14ac:dyDescent="0.25">
      <c r="A27">
        <v>5.1671402541177077E-15</v>
      </c>
      <c r="B27">
        <v>-3.006086272439891E-15</v>
      </c>
      <c r="C27">
        <v>9.0884307003177523E-15</v>
      </c>
      <c r="D27">
        <v>4.6342592416466247E-15</v>
      </c>
      <c r="E27">
        <v>1.9868600852564363E-15</v>
      </c>
      <c r="F27">
        <v>-1.9331312221993301E-15</v>
      </c>
      <c r="G27">
        <v>-4.9682455158501199E-16</v>
      </c>
      <c r="H27">
        <v>7.4125284171958261E-16</v>
      </c>
      <c r="I27">
        <v>5.5621919752061786E-17</v>
      </c>
      <c r="J27">
        <v>0</v>
      </c>
      <c r="L27">
        <v>-1.4982073882606158E-15</v>
      </c>
      <c r="M27">
        <v>-6.3424288705546475E-16</v>
      </c>
      <c r="N27">
        <v>3.9748162382142107E-15</v>
      </c>
      <c r="O27">
        <v>-6.6931692287145677E-15</v>
      </c>
      <c r="P27">
        <v>-1.8244676267065198E-15</v>
      </c>
      <c r="Q27">
        <v>2.6247066989613871E-15</v>
      </c>
      <c r="R27">
        <v>-9.7841239047921902E-16</v>
      </c>
      <c r="S27">
        <v>7.3852315049096242E-16</v>
      </c>
      <c r="T27">
        <v>-6.7377653672222861E-16</v>
      </c>
      <c r="U27">
        <v>1.4546484822654136E-15</v>
      </c>
      <c r="W27">
        <v>-5.8720014188598226E-16</v>
      </c>
      <c r="X27">
        <v>6.8869008401464763E-15</v>
      </c>
      <c r="Y27">
        <v>1.01416530745518E-14</v>
      </c>
      <c r="Z27">
        <v>3.1511776161016562E-15</v>
      </c>
      <c r="AA27">
        <v>3.0534367049997755E-15</v>
      </c>
      <c r="AB27">
        <v>-7.3358680236667061E-16</v>
      </c>
      <c r="AC27">
        <v>-5.8077052304622067E-16</v>
      </c>
      <c r="AD27">
        <v>3.6735192784031569E-15</v>
      </c>
      <c r="AE27">
        <v>7.4905266888888944E-16</v>
      </c>
      <c r="AF27">
        <v>9.5604899906059348E-16</v>
      </c>
      <c r="AH27" t="s">
        <v>447</v>
      </c>
      <c r="AI27" t="s">
        <v>1090</v>
      </c>
    </row>
    <row r="28" spans="1:35" x14ac:dyDescent="0.25">
      <c r="A28">
        <v>-5</v>
      </c>
      <c r="B28">
        <v>-4.6666666666666643</v>
      </c>
      <c r="C28">
        <v>-4.3333333333333366</v>
      </c>
      <c r="D28">
        <v>-4.0000000000000018</v>
      </c>
      <c r="E28">
        <v>-3.666666666666667</v>
      </c>
      <c r="F28">
        <v>-3.3333333333333326</v>
      </c>
      <c r="G28">
        <v>-2</v>
      </c>
      <c r="H28">
        <v>-0.66666666666666985</v>
      </c>
      <c r="I28">
        <v>7.5461860397918762E-30</v>
      </c>
      <c r="J28">
        <v>0</v>
      </c>
      <c r="L28">
        <v>-4.9999999999999964</v>
      </c>
      <c r="M28">
        <v>-4.6666666666666661</v>
      </c>
      <c r="N28">
        <v>-4.333333333333341</v>
      </c>
      <c r="O28">
        <v>-3.9999999999999893</v>
      </c>
      <c r="P28">
        <v>-3.6666666666666643</v>
      </c>
      <c r="Q28">
        <v>-3.3333333333333388</v>
      </c>
      <c r="R28">
        <v>-2.9999999999999982</v>
      </c>
      <c r="S28">
        <v>-2.6666666666666674</v>
      </c>
      <c r="T28">
        <v>-3.000000000000004</v>
      </c>
      <c r="U28">
        <v>-3.9999999999999942</v>
      </c>
      <c r="W28">
        <v>-5</v>
      </c>
      <c r="X28">
        <v>-5.0000000000000133</v>
      </c>
      <c r="Y28">
        <v>-5.0000000000000222</v>
      </c>
      <c r="Z28">
        <v>-5.0000000000000062</v>
      </c>
      <c r="AA28">
        <v>-5.0000000000000053</v>
      </c>
      <c r="AB28">
        <v>-4.9999999999999991</v>
      </c>
      <c r="AC28">
        <v>-4.9999999999999991</v>
      </c>
      <c r="AD28">
        <v>-5.0000000000000089</v>
      </c>
      <c r="AE28">
        <v>-4.9869090909090898</v>
      </c>
      <c r="AF28">
        <v>-4.4905454545454537</v>
      </c>
      <c r="AH28" t="s">
        <v>457</v>
      </c>
      <c r="AI28" t="s">
        <v>1101</v>
      </c>
    </row>
    <row r="29" spans="1:35" x14ac:dyDescent="0.25">
      <c r="A29">
        <v>1.5599643098499661E-29</v>
      </c>
      <c r="B29">
        <v>-8.3085055633313425E-30</v>
      </c>
      <c r="C29">
        <v>-1.7867525994613064E-29</v>
      </c>
      <c r="D29">
        <v>1.0173680281630215E-29</v>
      </c>
      <c r="E29">
        <v>1.2886661690064938E-29</v>
      </c>
      <c r="F29">
        <v>-5.4259628168694477E-30</v>
      </c>
      <c r="G29">
        <v>-2.3738587323803835E-30</v>
      </c>
      <c r="H29">
        <v>-8.2661152288245496E-30</v>
      </c>
      <c r="I29">
        <v>-5.0868401408151073E-30</v>
      </c>
      <c r="J29">
        <v>0</v>
      </c>
      <c r="L29">
        <v>1.0173680281630215E-29</v>
      </c>
      <c r="M29">
        <v>0</v>
      </c>
      <c r="N29">
        <v>2.0347360563260429E-29</v>
      </c>
      <c r="O29">
        <v>3.3912267605434048E-31</v>
      </c>
      <c r="P29">
        <v>1.6818831406693769E-30</v>
      </c>
      <c r="Q29">
        <v>6.6128921830596391E-30</v>
      </c>
      <c r="R29">
        <v>1.6956133802717023E-30</v>
      </c>
      <c r="S29">
        <v>0</v>
      </c>
      <c r="T29">
        <v>3.3637662813387537E-30</v>
      </c>
      <c r="U29">
        <v>0</v>
      </c>
      <c r="W29">
        <v>1.6057377321730769E-24</v>
      </c>
      <c r="X29">
        <v>-1.6564379287339051E-25</v>
      </c>
      <c r="Y29">
        <v>-4.8920480756894943E-25</v>
      </c>
      <c r="Z29">
        <v>-4.8616626839150251E-26</v>
      </c>
      <c r="AA29">
        <v>-6.1951473057888606E-25</v>
      </c>
      <c r="AB29">
        <v>8.4384573727953649E-26</v>
      </c>
      <c r="AC29">
        <v>-5.4728431356071995E-25</v>
      </c>
      <c r="AD29">
        <v>-3.187861674167138E-25</v>
      </c>
      <c r="AE29">
        <v>7.8828387803479336E-26</v>
      </c>
      <c r="AF29">
        <v>1.8335413550765238E-25</v>
      </c>
      <c r="AH29" t="s">
        <v>462</v>
      </c>
      <c r="AI29" t="s">
        <v>1105</v>
      </c>
    </row>
    <row r="30" spans="1:35" x14ac:dyDescent="0.25">
      <c r="A30">
        <v>1.5938765774553999E-29</v>
      </c>
      <c r="B30">
        <v>-8.1389442253041695E-30</v>
      </c>
      <c r="C30">
        <v>-1.7867525994613061E-29</v>
      </c>
      <c r="D30">
        <v>1.0173680281630212E-29</v>
      </c>
      <c r="E30">
        <v>1.2886661690064935E-29</v>
      </c>
      <c r="F30">
        <v>-5.4259628168694463E-30</v>
      </c>
      <c r="G30">
        <v>-2.3738587323803828E-30</v>
      </c>
      <c r="H30">
        <v>-8.2237248943177553E-30</v>
      </c>
      <c r="I30">
        <v>-5.0020594718015208E-30</v>
      </c>
      <c r="J30">
        <v>0</v>
      </c>
      <c r="L30">
        <v>1.0173680281630212E-29</v>
      </c>
      <c r="M30">
        <v>0</v>
      </c>
      <c r="N30">
        <v>2.0347360563260424E-29</v>
      </c>
      <c r="O30">
        <v>0</v>
      </c>
      <c r="P30">
        <v>1.6818831406693769E-30</v>
      </c>
      <c r="Q30">
        <v>6.7824535210868079E-30</v>
      </c>
      <c r="R30">
        <v>1.695613380271702E-30</v>
      </c>
      <c r="S30">
        <v>0</v>
      </c>
      <c r="T30">
        <v>3.3637662813387537E-30</v>
      </c>
      <c r="U30">
        <v>0</v>
      </c>
      <c r="W30">
        <v>1.6057377321730765E-24</v>
      </c>
      <c r="X30">
        <v>-1.6564379287339046E-25</v>
      </c>
      <c r="Y30">
        <v>-4.8920480756894925E-25</v>
      </c>
      <c r="Z30">
        <v>-4.8616626839150239E-26</v>
      </c>
      <c r="AA30">
        <v>-6.1951473057888588E-25</v>
      </c>
      <c r="AB30">
        <v>8.4384573727953626E-26</v>
      </c>
      <c r="AC30">
        <v>-5.4728431356071986E-25</v>
      </c>
      <c r="AD30">
        <v>-3.187861674167137E-25</v>
      </c>
      <c r="AE30">
        <v>7.8828387803479313E-26</v>
      </c>
      <c r="AF30">
        <v>1.8335413550765233E-25</v>
      </c>
      <c r="AH30" t="s">
        <v>466</v>
      </c>
      <c r="AI30" t="s">
        <v>1111</v>
      </c>
    </row>
    <row r="31" spans="1:35" x14ac:dyDescent="0.25">
      <c r="A31">
        <v>0</v>
      </c>
      <c r="B31">
        <v>0</v>
      </c>
      <c r="C31">
        <v>0</v>
      </c>
      <c r="D31">
        <v>0</v>
      </c>
      <c r="E31">
        <v>0</v>
      </c>
      <c r="F31">
        <v>0</v>
      </c>
      <c r="G31">
        <v>0</v>
      </c>
      <c r="H31">
        <v>0</v>
      </c>
      <c r="I31">
        <v>0</v>
      </c>
      <c r="J31">
        <v>0</v>
      </c>
      <c r="L31">
        <v>0</v>
      </c>
      <c r="M31">
        <v>0</v>
      </c>
      <c r="N31">
        <v>0</v>
      </c>
      <c r="O31">
        <v>0</v>
      </c>
      <c r="P31">
        <v>0</v>
      </c>
      <c r="Q31">
        <v>0</v>
      </c>
      <c r="R31">
        <v>0</v>
      </c>
      <c r="S31">
        <v>0</v>
      </c>
      <c r="T31">
        <v>0</v>
      </c>
      <c r="U31">
        <v>0</v>
      </c>
      <c r="W31">
        <v>-1.2261529502057614E-15</v>
      </c>
      <c r="X31">
        <v>6.3250641366735632E-15</v>
      </c>
      <c r="Y31">
        <v>1.0713270901197442E-14</v>
      </c>
      <c r="Z31">
        <v>2.2458533622131984E-15</v>
      </c>
      <c r="AA31">
        <v>2.5784680592187546E-15</v>
      </c>
      <c r="AB31">
        <v>-1.6239085413107883E-15</v>
      </c>
      <c r="AC31">
        <v>-5.6495784008320482E-16</v>
      </c>
      <c r="AD31">
        <v>3.9777689414666574E-15</v>
      </c>
      <c r="AE31">
        <v>1.0524457970166221E-15</v>
      </c>
      <c r="AF31">
        <v>1.2683956131222246E-15</v>
      </c>
      <c r="AH31" t="s">
        <v>518</v>
      </c>
      <c r="AI31" t="s">
        <v>1167</v>
      </c>
    </row>
    <row r="32" spans="1:35" x14ac:dyDescent="0.25">
      <c r="A32">
        <v>5</v>
      </c>
      <c r="B32">
        <v>4.6666666666666643</v>
      </c>
      <c r="C32">
        <v>4.3333333333333366</v>
      </c>
      <c r="D32">
        <v>4.0000000000000018</v>
      </c>
      <c r="E32">
        <v>3.666666666666667</v>
      </c>
      <c r="F32">
        <v>3.3333333333333326</v>
      </c>
      <c r="G32">
        <v>2</v>
      </c>
      <c r="H32">
        <v>0.66666666666666985</v>
      </c>
      <c r="I32">
        <v>-7.5461860397918762E-30</v>
      </c>
      <c r="J32">
        <v>0</v>
      </c>
      <c r="L32">
        <v>4.9999999999999964</v>
      </c>
      <c r="M32">
        <v>4.6666666666666661</v>
      </c>
      <c r="N32">
        <v>4.333333333333341</v>
      </c>
      <c r="O32">
        <v>3.9999999999999893</v>
      </c>
      <c r="P32">
        <v>3.6666666666666643</v>
      </c>
      <c r="Q32">
        <v>3.3333333333333388</v>
      </c>
      <c r="R32">
        <v>2.9999999999999982</v>
      </c>
      <c r="S32">
        <v>2.6666666666666674</v>
      </c>
      <c r="T32">
        <v>3.000000000000004</v>
      </c>
      <c r="U32">
        <v>3.9999999999999942</v>
      </c>
      <c r="W32">
        <v>5</v>
      </c>
      <c r="X32">
        <v>5.0000000000000133</v>
      </c>
      <c r="Y32">
        <v>5.0000000000000222</v>
      </c>
      <c r="Z32">
        <v>5.0000000000000062</v>
      </c>
      <c r="AA32">
        <v>5.0000000000000053</v>
      </c>
      <c r="AB32">
        <v>4.9999999999999991</v>
      </c>
      <c r="AC32">
        <v>4.9999999999999991</v>
      </c>
      <c r="AD32">
        <v>5.0000000000000089</v>
      </c>
      <c r="AE32">
        <v>4.9869090909090898</v>
      </c>
      <c r="AF32">
        <v>4.4905454545454537</v>
      </c>
      <c r="AH32" t="s">
        <v>521</v>
      </c>
      <c r="AI32" t="s">
        <v>1172</v>
      </c>
    </row>
    <row r="33" spans="1:35" x14ac:dyDescent="0.25">
      <c r="A33">
        <v>5</v>
      </c>
      <c r="B33">
        <v>4.6666666666666643</v>
      </c>
      <c r="C33">
        <v>4.3333333333333366</v>
      </c>
      <c r="D33">
        <v>4.0000000000000018</v>
      </c>
      <c r="E33">
        <v>3.666666666666667</v>
      </c>
      <c r="F33">
        <v>3.3333333333333326</v>
      </c>
      <c r="G33">
        <v>2</v>
      </c>
      <c r="H33">
        <v>0.66666666666666974</v>
      </c>
      <c r="I33">
        <v>-7.5461860397918748E-30</v>
      </c>
      <c r="J33">
        <v>0</v>
      </c>
      <c r="L33">
        <v>4.9999999999999956</v>
      </c>
      <c r="M33">
        <v>4.6666666666666661</v>
      </c>
      <c r="N33">
        <v>4.333333333333341</v>
      </c>
      <c r="O33">
        <v>3.9999999999999893</v>
      </c>
      <c r="P33">
        <v>3.6666666666666639</v>
      </c>
      <c r="Q33">
        <v>3.3333333333333384</v>
      </c>
      <c r="R33">
        <v>2.9999999999999987</v>
      </c>
      <c r="S33">
        <v>2.6666666666666674</v>
      </c>
      <c r="T33">
        <v>3.0000000000000044</v>
      </c>
      <c r="U33">
        <v>3.9999999999999947</v>
      </c>
      <c r="W33">
        <v>4.9999999999999991</v>
      </c>
      <c r="X33">
        <v>5.0000000000000133</v>
      </c>
      <c r="Y33">
        <v>5.0000000000000213</v>
      </c>
      <c r="Z33">
        <v>5.0000000000000053</v>
      </c>
      <c r="AA33">
        <v>5.0000000000000044</v>
      </c>
      <c r="AB33">
        <v>4.9999999999999982</v>
      </c>
      <c r="AC33">
        <v>4.9999999999999982</v>
      </c>
      <c r="AD33">
        <v>5.000000000000008</v>
      </c>
      <c r="AE33">
        <v>4.9869090909090898</v>
      </c>
      <c r="AF33">
        <v>4.4905454545454546</v>
      </c>
      <c r="AH33" t="s">
        <v>525</v>
      </c>
      <c r="AI33" t="s">
        <v>1176</v>
      </c>
    </row>
    <row r="34" spans="1:35" x14ac:dyDescent="0.25">
      <c r="A34">
        <v>0</v>
      </c>
      <c r="B34">
        <v>0</v>
      </c>
      <c r="C34">
        <v>0</v>
      </c>
      <c r="D34">
        <v>0</v>
      </c>
      <c r="E34">
        <v>0</v>
      </c>
      <c r="F34">
        <v>0</v>
      </c>
      <c r="G34">
        <v>0</v>
      </c>
      <c r="H34">
        <v>0</v>
      </c>
      <c r="I34">
        <v>0</v>
      </c>
      <c r="J34">
        <v>0</v>
      </c>
      <c r="L34">
        <v>0</v>
      </c>
      <c r="M34">
        <v>0</v>
      </c>
      <c r="N34">
        <v>0</v>
      </c>
      <c r="O34">
        <v>0</v>
      </c>
      <c r="P34">
        <v>0</v>
      </c>
      <c r="Q34">
        <v>0</v>
      </c>
      <c r="R34">
        <v>0</v>
      </c>
      <c r="S34">
        <v>0</v>
      </c>
      <c r="T34">
        <v>0</v>
      </c>
      <c r="U34">
        <v>0</v>
      </c>
      <c r="W34">
        <v>0</v>
      </c>
      <c r="X34">
        <v>0</v>
      </c>
      <c r="Y34">
        <v>0</v>
      </c>
      <c r="Z34">
        <v>0</v>
      </c>
      <c r="AA34">
        <v>0</v>
      </c>
      <c r="AB34">
        <v>0</v>
      </c>
      <c r="AC34">
        <v>0</v>
      </c>
      <c r="AD34">
        <v>0</v>
      </c>
      <c r="AE34">
        <v>0</v>
      </c>
      <c r="AF34">
        <v>0</v>
      </c>
      <c r="AH34" t="s">
        <v>529</v>
      </c>
      <c r="AI34" t="s">
        <v>1181</v>
      </c>
    </row>
    <row r="35" spans="1:35" x14ac:dyDescent="0.25">
      <c r="A35">
        <v>5</v>
      </c>
      <c r="B35">
        <v>4.6666666666666652</v>
      </c>
      <c r="C35">
        <v>4.3333333333333366</v>
      </c>
      <c r="D35">
        <v>4.0000000000000018</v>
      </c>
      <c r="E35">
        <v>3.666666666666667</v>
      </c>
      <c r="F35">
        <v>3.3333333333333321</v>
      </c>
      <c r="G35">
        <v>1.9999999999999998</v>
      </c>
      <c r="H35">
        <v>0.66666666666666985</v>
      </c>
      <c r="I35">
        <v>-7.5461860397918748E-30</v>
      </c>
      <c r="J35">
        <v>0</v>
      </c>
      <c r="L35">
        <v>4.9999999999999956</v>
      </c>
      <c r="M35">
        <v>4.6666666666666661</v>
      </c>
      <c r="N35">
        <v>4.3333333333333419</v>
      </c>
      <c r="O35">
        <v>3.9999999999999885</v>
      </c>
      <c r="P35">
        <v>3.6666666666666634</v>
      </c>
      <c r="Q35">
        <v>3.3333333333333384</v>
      </c>
      <c r="R35">
        <v>2.9999999999999987</v>
      </c>
      <c r="S35">
        <v>2.6666666666666674</v>
      </c>
      <c r="T35">
        <v>3.0000000000000044</v>
      </c>
      <c r="U35">
        <v>3.9999999999999938</v>
      </c>
      <c r="W35">
        <v>4.9999999999999991</v>
      </c>
      <c r="X35">
        <v>5.0000000000000124</v>
      </c>
      <c r="Y35">
        <v>5.0000000000000213</v>
      </c>
      <c r="Z35">
        <v>5.0000000000000053</v>
      </c>
      <c r="AA35">
        <v>5.0000000000000044</v>
      </c>
      <c r="AB35">
        <v>4.9999999999999973</v>
      </c>
      <c r="AC35">
        <v>4.9999999999999991</v>
      </c>
      <c r="AD35">
        <v>5.0000000000000071</v>
      </c>
      <c r="AE35">
        <v>4.9869090909090898</v>
      </c>
      <c r="AF35">
        <v>4.4905454545454537</v>
      </c>
      <c r="AH35" t="s">
        <v>533</v>
      </c>
      <c r="AI35" t="s">
        <v>1185</v>
      </c>
    </row>
    <row r="36" spans="1:35" x14ac:dyDescent="0.25">
      <c r="A36">
        <v>5</v>
      </c>
      <c r="B36">
        <v>4.6666666666666652</v>
      </c>
      <c r="C36">
        <v>4.3333333333333366</v>
      </c>
      <c r="D36">
        <v>4.0000000000000018</v>
      </c>
      <c r="E36">
        <v>3.666666666666667</v>
      </c>
      <c r="F36">
        <v>3.3333333333333321</v>
      </c>
      <c r="G36">
        <v>1.9999999999999998</v>
      </c>
      <c r="H36">
        <v>0.66666666666666985</v>
      </c>
      <c r="I36">
        <v>-7.5461860397918748E-30</v>
      </c>
      <c r="J36">
        <v>0</v>
      </c>
      <c r="L36">
        <v>4.9999999999999956</v>
      </c>
      <c r="M36">
        <v>4.6666666666666661</v>
      </c>
      <c r="N36">
        <v>4.3333333333333419</v>
      </c>
      <c r="O36">
        <v>3.9999999999999885</v>
      </c>
      <c r="P36">
        <v>3.6666666666666634</v>
      </c>
      <c r="Q36">
        <v>3.3333333333333384</v>
      </c>
      <c r="R36">
        <v>2.9999999999999987</v>
      </c>
      <c r="S36">
        <v>2.6666666666666674</v>
      </c>
      <c r="T36">
        <v>3.0000000000000044</v>
      </c>
      <c r="U36">
        <v>3.9999999999999938</v>
      </c>
      <c r="W36">
        <v>4.9999999999999991</v>
      </c>
      <c r="X36">
        <v>5.0000000000000124</v>
      </c>
      <c r="Y36">
        <v>5.0000000000000213</v>
      </c>
      <c r="Z36">
        <v>5.0000000000000053</v>
      </c>
      <c r="AA36">
        <v>5.0000000000000044</v>
      </c>
      <c r="AB36">
        <v>4.9999999999999973</v>
      </c>
      <c r="AC36">
        <v>4.9999999999999991</v>
      </c>
      <c r="AD36">
        <v>5.0000000000000071</v>
      </c>
      <c r="AE36">
        <v>4.9869090909090898</v>
      </c>
      <c r="AF36">
        <v>4.4905454545454537</v>
      </c>
      <c r="AH36" t="s">
        <v>538</v>
      </c>
      <c r="AI36" t="s">
        <v>1189</v>
      </c>
    </row>
    <row r="37" spans="1:35" x14ac:dyDescent="0.25">
      <c r="A37">
        <v>5</v>
      </c>
      <c r="B37">
        <v>4.6666666666666652</v>
      </c>
      <c r="C37">
        <v>4.3333333333333366</v>
      </c>
      <c r="D37">
        <v>4.0000000000000018</v>
      </c>
      <c r="E37">
        <v>3.6666666666666665</v>
      </c>
      <c r="F37">
        <v>3.3333333333333317</v>
      </c>
      <c r="G37">
        <v>1.9999999999999998</v>
      </c>
      <c r="H37">
        <v>0.66666666666666974</v>
      </c>
      <c r="I37">
        <v>-7.5461860397918748E-30</v>
      </c>
      <c r="J37">
        <v>0</v>
      </c>
      <c r="L37">
        <v>4.9999999999999956</v>
      </c>
      <c r="M37">
        <v>4.6666666666666661</v>
      </c>
      <c r="N37">
        <v>4.3333333333333419</v>
      </c>
      <c r="O37">
        <v>3.9999999999999889</v>
      </c>
      <c r="P37">
        <v>3.6666666666666639</v>
      </c>
      <c r="Q37">
        <v>3.3333333333333388</v>
      </c>
      <c r="R37">
        <v>2.9999999999999987</v>
      </c>
      <c r="S37">
        <v>2.6666666666666679</v>
      </c>
      <c r="T37">
        <v>3.0000000000000044</v>
      </c>
      <c r="U37">
        <v>3.9999999999999938</v>
      </c>
      <c r="W37">
        <v>5</v>
      </c>
      <c r="X37">
        <v>5.0000000000000133</v>
      </c>
      <c r="Y37">
        <v>5.0000000000000222</v>
      </c>
      <c r="Z37">
        <v>5.0000000000000062</v>
      </c>
      <c r="AA37">
        <v>5.0000000000000044</v>
      </c>
      <c r="AB37">
        <v>4.9999999999999982</v>
      </c>
      <c r="AC37">
        <v>4.9999999999999991</v>
      </c>
      <c r="AD37">
        <v>5.0000000000000071</v>
      </c>
      <c r="AE37">
        <v>4.9869090909090907</v>
      </c>
      <c r="AF37">
        <v>4.4905454545454546</v>
      </c>
      <c r="AH37" t="s">
        <v>543</v>
      </c>
      <c r="AI37" t="s">
        <v>1193</v>
      </c>
    </row>
    <row r="38" spans="1:35" x14ac:dyDescent="0.25">
      <c r="A38">
        <v>5</v>
      </c>
      <c r="B38">
        <v>4.6666666666666652</v>
      </c>
      <c r="C38">
        <v>4.3333333333333366</v>
      </c>
      <c r="D38">
        <v>4.0000000000000018</v>
      </c>
      <c r="E38">
        <v>3.666666666666667</v>
      </c>
      <c r="F38">
        <v>3.3333333333333321</v>
      </c>
      <c r="G38">
        <v>2</v>
      </c>
      <c r="H38">
        <v>0.66666666666666974</v>
      </c>
      <c r="I38">
        <v>0</v>
      </c>
      <c r="J38">
        <v>0</v>
      </c>
      <c r="L38">
        <v>4.9999999999999956</v>
      </c>
      <c r="M38">
        <v>4.6666666666666661</v>
      </c>
      <c r="N38">
        <v>4.333333333333341</v>
      </c>
      <c r="O38">
        <v>3.9999999999999885</v>
      </c>
      <c r="P38">
        <v>3.6666666666666634</v>
      </c>
      <c r="Q38">
        <v>3.3333333333333393</v>
      </c>
      <c r="R38">
        <v>2.9999999999999987</v>
      </c>
      <c r="S38">
        <v>2.6666666666666679</v>
      </c>
      <c r="T38">
        <v>3.0000000000000044</v>
      </c>
      <c r="U38">
        <v>3.9999999999999933</v>
      </c>
      <c r="W38">
        <v>5</v>
      </c>
      <c r="X38">
        <v>5.0000000000000133</v>
      </c>
      <c r="Y38">
        <v>5.0000000000000213</v>
      </c>
      <c r="Z38">
        <v>5.0000000000000053</v>
      </c>
      <c r="AA38">
        <v>5.0000000000000044</v>
      </c>
      <c r="AB38">
        <v>4.9999999999999973</v>
      </c>
      <c r="AC38">
        <v>4.9999999999999982</v>
      </c>
      <c r="AD38">
        <v>5.000000000000008</v>
      </c>
      <c r="AE38">
        <v>4.9869090909090907</v>
      </c>
      <c r="AF38">
        <v>4.4905454545454546</v>
      </c>
      <c r="AH38" t="s">
        <v>546</v>
      </c>
      <c r="AI38" t="s">
        <v>1198</v>
      </c>
    </row>
    <row r="39" spans="1:35" x14ac:dyDescent="0.25">
      <c r="A39">
        <v>5</v>
      </c>
      <c r="B39">
        <v>4.6666666666666643</v>
      </c>
      <c r="C39">
        <v>4.3333333333333357</v>
      </c>
      <c r="D39">
        <v>4.0000000000000027</v>
      </c>
      <c r="E39">
        <v>3.666666666666667</v>
      </c>
      <c r="F39">
        <v>3.3333333333333321</v>
      </c>
      <c r="G39">
        <v>2</v>
      </c>
      <c r="H39">
        <v>0.66666666666666985</v>
      </c>
      <c r="I39">
        <v>0</v>
      </c>
      <c r="J39">
        <v>0</v>
      </c>
      <c r="L39">
        <v>4.9999999999999956</v>
      </c>
      <c r="M39">
        <v>4.6666666666666661</v>
      </c>
      <c r="N39">
        <v>4.333333333333341</v>
      </c>
      <c r="O39">
        <v>3.999999999999988</v>
      </c>
      <c r="P39">
        <v>3.6666666666666639</v>
      </c>
      <c r="Q39">
        <v>3.3333333333333393</v>
      </c>
      <c r="R39">
        <v>2.9999999999999987</v>
      </c>
      <c r="S39">
        <v>2.6666666666666679</v>
      </c>
      <c r="T39">
        <v>3.000000000000004</v>
      </c>
      <c r="U39">
        <v>3.9999999999999933</v>
      </c>
      <c r="W39">
        <v>4.9999999999999991</v>
      </c>
      <c r="X39">
        <v>5.0000000000000133</v>
      </c>
      <c r="Y39">
        <v>5.0000000000000222</v>
      </c>
      <c r="Z39">
        <v>5.0000000000000062</v>
      </c>
      <c r="AA39">
        <v>5.0000000000000044</v>
      </c>
      <c r="AB39">
        <v>4.9999999999999982</v>
      </c>
      <c r="AC39">
        <v>4.9999999999999991</v>
      </c>
      <c r="AD39">
        <v>5.0000000000000089</v>
      </c>
      <c r="AE39">
        <v>4.9869090909090907</v>
      </c>
      <c r="AF39">
        <v>4.4905454545454546</v>
      </c>
      <c r="AH39" t="s">
        <v>549</v>
      </c>
      <c r="AI39" t="s">
        <v>1202</v>
      </c>
    </row>
    <row r="40" spans="1:35" x14ac:dyDescent="0.25">
      <c r="A40">
        <v>0</v>
      </c>
      <c r="B40">
        <v>0</v>
      </c>
      <c r="C40">
        <v>0</v>
      </c>
      <c r="D40">
        <v>0</v>
      </c>
      <c r="E40">
        <v>0</v>
      </c>
      <c r="F40">
        <v>0</v>
      </c>
      <c r="G40">
        <v>0</v>
      </c>
      <c r="H40">
        <v>0</v>
      </c>
      <c r="I40">
        <v>0</v>
      </c>
      <c r="J40">
        <v>0</v>
      </c>
      <c r="L40">
        <v>0</v>
      </c>
      <c r="M40">
        <v>0</v>
      </c>
      <c r="N40">
        <v>0</v>
      </c>
      <c r="O40">
        <v>0</v>
      </c>
      <c r="P40">
        <v>0</v>
      </c>
      <c r="Q40">
        <v>0</v>
      </c>
      <c r="R40">
        <v>0</v>
      </c>
      <c r="S40">
        <v>0</v>
      </c>
      <c r="T40">
        <v>0</v>
      </c>
      <c r="U40">
        <v>0</v>
      </c>
      <c r="W40">
        <v>0</v>
      </c>
      <c r="X40">
        <v>0</v>
      </c>
      <c r="Y40">
        <v>0</v>
      </c>
      <c r="Z40">
        <v>0</v>
      </c>
      <c r="AA40">
        <v>0</v>
      </c>
      <c r="AB40">
        <v>0</v>
      </c>
      <c r="AC40">
        <v>0</v>
      </c>
      <c r="AD40">
        <v>0</v>
      </c>
      <c r="AE40">
        <v>0</v>
      </c>
      <c r="AF40">
        <v>0</v>
      </c>
      <c r="AH40" t="s">
        <v>553</v>
      </c>
      <c r="AI40" t="s">
        <v>1208</v>
      </c>
    </row>
    <row r="41" spans="1:35" x14ac:dyDescent="0.25">
      <c r="A41">
        <v>-3.8315426469623796E-16</v>
      </c>
      <c r="B41">
        <v>7.1702234669219779E-17</v>
      </c>
      <c r="C41">
        <v>5.6574423626432436E-16</v>
      </c>
      <c r="D41">
        <v>1.0466280928046742E-15</v>
      </c>
      <c r="E41">
        <v>-5.9382688993321809E-16</v>
      </c>
      <c r="F41">
        <v>-7.4114801514615501E-16</v>
      </c>
      <c r="G41">
        <v>-1.9419683051739645E-16</v>
      </c>
      <c r="H41">
        <v>-9.6365764326372185E-17</v>
      </c>
      <c r="I41">
        <v>6.7899724297310168E-30</v>
      </c>
      <c r="J41">
        <v>0</v>
      </c>
      <c r="L41">
        <v>-8.2654459850090403E-16</v>
      </c>
      <c r="M41">
        <v>5.8615362787703263E-16</v>
      </c>
      <c r="N41">
        <v>-1.6391224019893963E-16</v>
      </c>
      <c r="O41">
        <v>-1.6845501250357122E-15</v>
      </c>
      <c r="P41">
        <v>-7.6459699802884258E-16</v>
      </c>
      <c r="Q41">
        <v>1.2356623924743652E-15</v>
      </c>
      <c r="R41">
        <v>4.3773518137250874E-16</v>
      </c>
      <c r="S41">
        <v>-1.2724524061682303E-16</v>
      </c>
      <c r="T41">
        <v>-4.7704970054659254E-16</v>
      </c>
      <c r="U41">
        <v>-1.4971101500137827E-15</v>
      </c>
      <c r="W41">
        <v>-6.3895280969668391E-16</v>
      </c>
      <c r="X41">
        <v>-5.618367033340915E-16</v>
      </c>
      <c r="Y41">
        <v>5.7161782699457771E-16</v>
      </c>
      <c r="Z41">
        <v>-9.0532425386338368E-16</v>
      </c>
      <c r="AA41">
        <v>-4.7496864527476948E-16</v>
      </c>
      <c r="AB41">
        <v>-8.903217389641305E-16</v>
      </c>
      <c r="AC41">
        <v>1.5812683403748628E-17</v>
      </c>
      <c r="AD41">
        <v>3.0424966334188515E-16</v>
      </c>
      <c r="AE41">
        <v>3.0339312805185274E-16</v>
      </c>
      <c r="AF41">
        <v>3.1234661388382907E-16</v>
      </c>
      <c r="AH41" t="s">
        <v>558</v>
      </c>
      <c r="AI41" t="s">
        <v>1212</v>
      </c>
    </row>
    <row r="42" spans="1:35" x14ac:dyDescent="0.25">
      <c r="A42">
        <v>0</v>
      </c>
      <c r="B42">
        <v>0</v>
      </c>
      <c r="C42">
        <v>0</v>
      </c>
      <c r="D42">
        <v>0</v>
      </c>
      <c r="E42">
        <v>0</v>
      </c>
      <c r="F42">
        <v>0</v>
      </c>
      <c r="G42">
        <v>0</v>
      </c>
      <c r="H42">
        <v>0</v>
      </c>
      <c r="I42">
        <v>0</v>
      </c>
      <c r="J42">
        <v>0</v>
      </c>
      <c r="L42">
        <v>0</v>
      </c>
      <c r="M42">
        <v>0</v>
      </c>
      <c r="N42">
        <v>0</v>
      </c>
      <c r="O42">
        <v>0</v>
      </c>
      <c r="P42">
        <v>0</v>
      </c>
      <c r="Q42">
        <v>0</v>
      </c>
      <c r="R42">
        <v>0</v>
      </c>
      <c r="S42">
        <v>0</v>
      </c>
      <c r="T42">
        <v>0</v>
      </c>
      <c r="U42">
        <v>0</v>
      </c>
      <c r="W42">
        <v>0</v>
      </c>
      <c r="X42">
        <v>0</v>
      </c>
      <c r="Y42">
        <v>0</v>
      </c>
      <c r="Z42">
        <v>0</v>
      </c>
      <c r="AA42">
        <v>0</v>
      </c>
      <c r="AB42">
        <v>0</v>
      </c>
      <c r="AC42">
        <v>0</v>
      </c>
      <c r="AD42">
        <v>0</v>
      </c>
      <c r="AE42">
        <v>0</v>
      </c>
      <c r="AF42">
        <v>0</v>
      </c>
      <c r="AH42" t="s">
        <v>561</v>
      </c>
      <c r="AI42" t="s">
        <v>1217</v>
      </c>
    </row>
    <row r="43" spans="1:35" x14ac:dyDescent="0.25">
      <c r="A43">
        <v>0</v>
      </c>
      <c r="B43">
        <v>0</v>
      </c>
      <c r="C43">
        <v>0</v>
      </c>
      <c r="D43">
        <v>0</v>
      </c>
      <c r="E43">
        <v>0</v>
      </c>
      <c r="F43">
        <v>0</v>
      </c>
      <c r="G43">
        <v>0</v>
      </c>
      <c r="H43">
        <v>0</v>
      </c>
      <c r="I43">
        <v>-2.2248767900842178E-16</v>
      </c>
      <c r="J43">
        <v>0</v>
      </c>
      <c r="L43">
        <v>-2.3247519867615337E-15</v>
      </c>
      <c r="M43">
        <v>-4.8089259178441408E-17</v>
      </c>
      <c r="N43">
        <v>3.8109039980152691E-15</v>
      </c>
      <c r="O43">
        <v>-8.377719353750278E-15</v>
      </c>
      <c r="P43">
        <v>-2.589064624735365E-15</v>
      </c>
      <c r="Q43">
        <v>3.8603690914357452E-15</v>
      </c>
      <c r="R43">
        <v>-5.4067720910671171E-16</v>
      </c>
      <c r="S43">
        <v>6.1127790987413017E-16</v>
      </c>
      <c r="T43">
        <v>-1.150826237268823E-15</v>
      </c>
      <c r="U43">
        <v>-4.2461667748373188E-17</v>
      </c>
      <c r="W43">
        <v>-2.9179815704818836E-27</v>
      </c>
      <c r="X43">
        <v>2.8405130332124531E-28</v>
      </c>
      <c r="Y43">
        <v>-6.7139398966839793E-28</v>
      </c>
      <c r="Z43">
        <v>-2.7113988044300689E-28</v>
      </c>
      <c r="AA43">
        <v>5.1645691512953692E-28</v>
      </c>
      <c r="AB43">
        <v>6.3669454068313225E-28</v>
      </c>
      <c r="AC43">
        <v>-1.0910152332111467E-27</v>
      </c>
      <c r="AD43">
        <v>7.5854609409650737E-29</v>
      </c>
      <c r="AE43">
        <v>-3.6958947988957482E-28</v>
      </c>
      <c r="AF43">
        <v>-9.1025531291580875E-28</v>
      </c>
      <c r="AH43" t="s">
        <v>564</v>
      </c>
      <c r="AI43" t="s">
        <v>1222</v>
      </c>
    </row>
    <row r="44" spans="1:35" x14ac:dyDescent="0.25">
      <c r="A44">
        <v>-1.2911422878238422E-29</v>
      </c>
      <c r="B44">
        <v>0</v>
      </c>
      <c r="C44">
        <v>-9.6835671586788161E-30</v>
      </c>
      <c r="D44">
        <v>-2.9050701476036451E-29</v>
      </c>
      <c r="E44">
        <v>-6.4557114391192112E-30</v>
      </c>
      <c r="F44">
        <v>2.0174098247247536E-30</v>
      </c>
      <c r="G44">
        <v>-4.8417835793394081E-30</v>
      </c>
      <c r="H44">
        <v>-3.2278557195596056E-30</v>
      </c>
      <c r="I44">
        <v>-4.0348196494495072E-30</v>
      </c>
      <c r="J44">
        <v>0</v>
      </c>
      <c r="L44">
        <v>1.4982073882606373E-15</v>
      </c>
      <c r="M44">
        <v>6.3424288705546988E-16</v>
      </c>
      <c r="N44">
        <v>-3.9748162382142185E-15</v>
      </c>
      <c r="O44">
        <v>6.6931692287145661E-15</v>
      </c>
      <c r="P44">
        <v>1.8244676267065265E-15</v>
      </c>
      <c r="Q44">
        <v>-2.6247066989613922E-15</v>
      </c>
      <c r="R44">
        <v>9.7841239047922829E-16</v>
      </c>
      <c r="S44">
        <v>-7.3852315049095611E-16</v>
      </c>
      <c r="T44">
        <v>6.7377653672223552E-16</v>
      </c>
      <c r="U44">
        <v>-1.4546484822654113E-15</v>
      </c>
      <c r="W44">
        <v>-2.2310938733595995E-25</v>
      </c>
      <c r="X44">
        <v>2.7475507884891362E-26</v>
      </c>
      <c r="Y44">
        <v>1.3500183761486094E-25</v>
      </c>
      <c r="Z44">
        <v>2.1897773201492363E-26</v>
      </c>
      <c r="AA44">
        <v>1.107283626037727E-25</v>
      </c>
      <c r="AB44">
        <v>-5.6448740823658378E-26</v>
      </c>
      <c r="AC44">
        <v>1.107283626037727E-25</v>
      </c>
      <c r="AD44">
        <v>4.2865923955751564E-26</v>
      </c>
      <c r="AE44">
        <v>-1.3944336708497496E-27</v>
      </c>
      <c r="AF44">
        <v>-1.7043078199274718E-27</v>
      </c>
      <c r="AH44" t="s">
        <v>567</v>
      </c>
      <c r="AI44" t="s">
        <v>1227</v>
      </c>
    </row>
    <row r="45" spans="1:35" x14ac:dyDescent="0.25">
      <c r="A45">
        <v>-1.2988059389493859E-29</v>
      </c>
      <c r="B45">
        <v>0</v>
      </c>
      <c r="C45">
        <v>-9.7410445421203942E-30</v>
      </c>
      <c r="D45">
        <v>-2.906078288399251E-29</v>
      </c>
      <c r="E45">
        <v>-6.4635889305528024E-30</v>
      </c>
      <c r="F45">
        <v>2.0293842796084155E-30</v>
      </c>
      <c r="G45">
        <v>-4.8705222710601971E-30</v>
      </c>
      <c r="H45">
        <v>-3.2470148473734647E-30</v>
      </c>
      <c r="I45">
        <v>-4.0181808736246627E-30</v>
      </c>
      <c r="J45">
        <v>0</v>
      </c>
      <c r="L45">
        <v>1.4982073882606335E-15</v>
      </c>
      <c r="M45">
        <v>6.3424288705547284E-16</v>
      </c>
      <c r="N45">
        <v>-3.9748162382142201E-15</v>
      </c>
      <c r="O45">
        <v>6.693169228714559E-15</v>
      </c>
      <c r="P45">
        <v>1.8244676267065253E-15</v>
      </c>
      <c r="Q45">
        <v>-2.6247066989613903E-15</v>
      </c>
      <c r="R45">
        <v>9.7841239047922888E-16</v>
      </c>
      <c r="S45">
        <v>-7.3852315049095759E-16</v>
      </c>
      <c r="T45">
        <v>6.7377653672223552E-16</v>
      </c>
      <c r="U45">
        <v>-1.4546484822654119E-15</v>
      </c>
      <c r="W45">
        <v>-2.2343618328934073E-25</v>
      </c>
      <c r="X45">
        <v>2.7430781430611031E-26</v>
      </c>
      <c r="Y45">
        <v>1.3499269407064338E-25</v>
      </c>
      <c r="Z45">
        <v>2.1944625144488825E-26</v>
      </c>
      <c r="AA45">
        <v>1.1072060868355725E-25</v>
      </c>
      <c r="AB45">
        <v>-5.6440910882984506E-26</v>
      </c>
      <c r="AC45">
        <v>1.1072060868355725E-25</v>
      </c>
      <c r="AD45">
        <v>4.2891767327864518E-26</v>
      </c>
      <c r="AE45">
        <v>-1.4131008615769318E-27</v>
      </c>
      <c r="AF45">
        <v>-1.7040333919015942E-27</v>
      </c>
      <c r="AH45" t="s">
        <v>570</v>
      </c>
      <c r="AI45" t="s">
        <v>1231</v>
      </c>
    </row>
    <row r="46" spans="1:35" x14ac:dyDescent="0.25">
      <c r="A46">
        <v>-1.2988059389493856E-29</v>
      </c>
      <c r="B46">
        <v>0</v>
      </c>
      <c r="C46">
        <v>-9.7410445421203928E-30</v>
      </c>
      <c r="D46">
        <v>-2.9060782883992504E-29</v>
      </c>
      <c r="E46">
        <v>-6.4635889305528024E-30</v>
      </c>
      <c r="F46">
        <v>2.0293842796084151E-30</v>
      </c>
      <c r="G46">
        <v>-4.8705222710601964E-30</v>
      </c>
      <c r="H46">
        <v>-3.247014847373464E-30</v>
      </c>
      <c r="I46">
        <v>-4.018180873624662E-30</v>
      </c>
      <c r="J46">
        <v>0</v>
      </c>
      <c r="L46">
        <v>1.4982073882606333E-15</v>
      </c>
      <c r="M46">
        <v>6.3424288705547274E-16</v>
      </c>
      <c r="N46">
        <v>-3.9748162382142193E-15</v>
      </c>
      <c r="O46">
        <v>6.693169228714563E-15</v>
      </c>
      <c r="P46">
        <v>1.8244676267065253E-15</v>
      </c>
      <c r="Q46">
        <v>-2.6247066989613899E-15</v>
      </c>
      <c r="R46">
        <v>9.7841239047922868E-16</v>
      </c>
      <c r="S46">
        <v>-7.3852315049095749E-16</v>
      </c>
      <c r="T46">
        <v>6.7377653672223542E-16</v>
      </c>
      <c r="U46">
        <v>-1.4546484822654117E-15</v>
      </c>
      <c r="W46">
        <v>-2.2343618328934073E-25</v>
      </c>
      <c r="X46">
        <v>2.7430781430611025E-26</v>
      </c>
      <c r="Y46">
        <v>1.3499269407064336E-25</v>
      </c>
      <c r="Z46">
        <v>2.1944625144488822E-26</v>
      </c>
      <c r="AA46">
        <v>1.1072060868355723E-25</v>
      </c>
      <c r="AB46">
        <v>-5.6440910882984506E-26</v>
      </c>
      <c r="AC46">
        <v>1.1072060868355723E-25</v>
      </c>
      <c r="AD46">
        <v>4.2891767327864512E-26</v>
      </c>
      <c r="AE46">
        <v>-1.4131008615769316E-27</v>
      </c>
      <c r="AF46">
        <v>-1.7040333919015942E-27</v>
      </c>
      <c r="AH46" t="s">
        <v>575</v>
      </c>
      <c r="AI46" t="s">
        <v>1236</v>
      </c>
    </row>
    <row r="47" spans="1:35" x14ac:dyDescent="0.25">
      <c r="A47">
        <v>5.1671402541177077E-15</v>
      </c>
      <c r="B47">
        <v>-3.0060862724398953E-15</v>
      </c>
      <c r="C47">
        <v>9.0884307003177523E-15</v>
      </c>
      <c r="D47">
        <v>4.6342592416466279E-15</v>
      </c>
      <c r="E47">
        <v>1.9868600852564363E-15</v>
      </c>
      <c r="F47">
        <v>-1.9331312221993301E-15</v>
      </c>
      <c r="G47">
        <v>-4.9682455158501249E-16</v>
      </c>
      <c r="H47">
        <v>7.4125284171958291E-16</v>
      </c>
      <c r="I47">
        <v>5.5621919752062254E-17</v>
      </c>
      <c r="J47">
        <v>0</v>
      </c>
      <c r="L47">
        <v>-1.4982073882606134E-15</v>
      </c>
      <c r="M47">
        <v>-6.3424288705546732E-16</v>
      </c>
      <c r="N47">
        <v>3.9748162382142091E-15</v>
      </c>
      <c r="O47">
        <v>-6.6931692287145693E-15</v>
      </c>
      <c r="P47">
        <v>-1.8244676267065241E-15</v>
      </c>
      <c r="Q47">
        <v>2.6247066989613867E-15</v>
      </c>
      <c r="R47">
        <v>-9.7841239047922E-16</v>
      </c>
      <c r="S47">
        <v>7.3852315049095847E-16</v>
      </c>
      <c r="T47">
        <v>-6.7377653672223167E-16</v>
      </c>
      <c r="U47">
        <v>1.454648482265413E-15</v>
      </c>
      <c r="W47">
        <v>-5.8720014189285392E-16</v>
      </c>
      <c r="X47">
        <v>6.8869008401465623E-15</v>
      </c>
      <c r="Y47">
        <v>1.01416530745518E-14</v>
      </c>
      <c r="Z47">
        <v>3.1511776161016885E-15</v>
      </c>
      <c r="AA47">
        <v>3.053436704999886E-15</v>
      </c>
      <c r="AB47">
        <v>-7.335868023665934E-16</v>
      </c>
      <c r="AC47">
        <v>-5.8077052304616684E-16</v>
      </c>
      <c r="AD47">
        <v>3.6735192784032295E-15</v>
      </c>
      <c r="AE47">
        <v>7.4905266888900767E-16</v>
      </c>
      <c r="AF47">
        <v>9.5604899906069682E-16</v>
      </c>
      <c r="AH47" t="s">
        <v>578</v>
      </c>
      <c r="AI47" t="s">
        <v>1240</v>
      </c>
    </row>
    <row r="48" spans="1:35" x14ac:dyDescent="0.25">
      <c r="A48">
        <v>5.1671402541177101E-15</v>
      </c>
      <c r="B48">
        <v>-3.0060862724398957E-15</v>
      </c>
      <c r="C48">
        <v>9.0884307003177523E-15</v>
      </c>
      <c r="D48">
        <v>4.6342592416466271E-15</v>
      </c>
      <c r="E48">
        <v>1.9868600852564363E-15</v>
      </c>
      <c r="F48">
        <v>-1.9331312221993305E-15</v>
      </c>
      <c r="G48">
        <v>-4.9682455158501298E-16</v>
      </c>
      <c r="H48">
        <v>7.4125284171958261E-16</v>
      </c>
      <c r="I48">
        <v>5.5621919752061687E-17</v>
      </c>
      <c r="J48">
        <v>0</v>
      </c>
      <c r="L48">
        <v>-1.498207388260615E-15</v>
      </c>
      <c r="M48">
        <v>-6.3424288705546495E-16</v>
      </c>
      <c r="N48">
        <v>3.9748162382142099E-15</v>
      </c>
      <c r="O48">
        <v>-6.6931692287145638E-15</v>
      </c>
      <c r="P48">
        <v>-1.8244676267065186E-15</v>
      </c>
      <c r="Q48">
        <v>2.6247066989613875E-15</v>
      </c>
      <c r="R48">
        <v>-9.7841239047922237E-16</v>
      </c>
      <c r="S48">
        <v>7.3852315049095907E-16</v>
      </c>
      <c r="T48">
        <v>-6.737765367222295E-16</v>
      </c>
      <c r="U48">
        <v>1.4546484822654136E-15</v>
      </c>
      <c r="W48">
        <v>-5.8720014189295253E-16</v>
      </c>
      <c r="X48">
        <v>6.8869008401465607E-15</v>
      </c>
      <c r="Y48">
        <v>1.0141653074551802E-14</v>
      </c>
      <c r="Z48">
        <v>3.15117761610164E-15</v>
      </c>
      <c r="AA48">
        <v>3.0534367050001451E-15</v>
      </c>
      <c r="AB48">
        <v>-7.3358680236657743E-16</v>
      </c>
      <c r="AC48">
        <v>-5.8077052304610274E-16</v>
      </c>
      <c r="AD48">
        <v>3.6735192784032595E-15</v>
      </c>
      <c r="AE48">
        <v>7.4905266888900442E-16</v>
      </c>
      <c r="AF48">
        <v>9.560489990606771E-16</v>
      </c>
      <c r="AH48" t="s">
        <v>581</v>
      </c>
      <c r="AI48" t="s">
        <v>1244</v>
      </c>
    </row>
    <row r="49" spans="1:35" x14ac:dyDescent="0.25">
      <c r="A49">
        <v>5.1671402541177077E-15</v>
      </c>
      <c r="B49">
        <v>-3.006086272439891E-15</v>
      </c>
      <c r="C49">
        <v>9.0884307003177523E-15</v>
      </c>
      <c r="D49">
        <v>4.6342592416466247E-15</v>
      </c>
      <c r="E49">
        <v>1.9868600852564363E-15</v>
      </c>
      <c r="F49">
        <v>-1.9331312221993301E-15</v>
      </c>
      <c r="G49">
        <v>-4.9682455158501199E-16</v>
      </c>
      <c r="H49">
        <v>7.4125284171958261E-16</v>
      </c>
      <c r="I49">
        <v>5.5621919752061786E-17</v>
      </c>
      <c r="J49">
        <v>0</v>
      </c>
      <c r="L49">
        <v>-1.4982073882606158E-15</v>
      </c>
      <c r="M49">
        <v>-6.3424288705546475E-16</v>
      </c>
      <c r="N49">
        <v>3.9748162382142107E-15</v>
      </c>
      <c r="O49">
        <v>-6.6931692287145677E-15</v>
      </c>
      <c r="P49">
        <v>-1.8244676267065198E-15</v>
      </c>
      <c r="Q49">
        <v>2.6247066989613871E-15</v>
      </c>
      <c r="R49">
        <v>-9.7841239047921902E-16</v>
      </c>
      <c r="S49">
        <v>7.3852315049096242E-16</v>
      </c>
      <c r="T49">
        <v>-6.7377653672222861E-16</v>
      </c>
      <c r="U49">
        <v>1.4546484822654136E-15</v>
      </c>
      <c r="W49">
        <v>-5.8720014188598226E-16</v>
      </c>
      <c r="X49">
        <v>6.8869008401464763E-15</v>
      </c>
      <c r="Y49">
        <v>1.01416530745518E-14</v>
      </c>
      <c r="Z49">
        <v>3.1511776161016562E-15</v>
      </c>
      <c r="AA49">
        <v>3.0534367049997755E-15</v>
      </c>
      <c r="AB49">
        <v>-7.3358680236667061E-16</v>
      </c>
      <c r="AC49">
        <v>-5.8077052304622067E-16</v>
      </c>
      <c r="AD49">
        <v>3.6735192784031569E-15</v>
      </c>
      <c r="AE49">
        <v>7.4905266888888944E-16</v>
      </c>
      <c r="AF49">
        <v>9.5604899906059348E-16</v>
      </c>
      <c r="AH49" t="s">
        <v>585</v>
      </c>
      <c r="AI49" t="s">
        <v>1248</v>
      </c>
    </row>
    <row r="50" spans="1:35" x14ac:dyDescent="0.25">
      <c r="A50">
        <v>0</v>
      </c>
      <c r="B50">
        <v>0</v>
      </c>
      <c r="C50">
        <v>0</v>
      </c>
      <c r="D50">
        <v>0</v>
      </c>
      <c r="E50">
        <v>0</v>
      </c>
      <c r="F50">
        <v>0</v>
      </c>
      <c r="G50">
        <v>0</v>
      </c>
      <c r="H50">
        <v>0</v>
      </c>
      <c r="I50">
        <v>2.2248767900842109E-16</v>
      </c>
      <c r="J50">
        <v>0</v>
      </c>
      <c r="L50">
        <v>2.3247519867615341E-15</v>
      </c>
      <c r="M50">
        <v>4.8089259178437981E-17</v>
      </c>
      <c r="N50">
        <v>-3.8109039980152707E-15</v>
      </c>
      <c r="O50">
        <v>8.3777193537502717E-15</v>
      </c>
      <c r="P50">
        <v>2.589064624735365E-15</v>
      </c>
      <c r="Q50">
        <v>-3.8603690914357468E-15</v>
      </c>
      <c r="R50">
        <v>5.4067720910671003E-16</v>
      </c>
      <c r="S50">
        <v>-6.1127790987413194E-16</v>
      </c>
      <c r="T50">
        <v>1.1508262372688244E-15</v>
      </c>
      <c r="U50">
        <v>4.2461667748371475E-17</v>
      </c>
      <c r="W50">
        <v>2.9123682993413586E-27</v>
      </c>
      <c r="X50">
        <v>-2.7898855203970961E-28</v>
      </c>
      <c r="Y50">
        <v>6.7365528419344514E-28</v>
      </c>
      <c r="Z50">
        <v>2.7218395320947278E-28</v>
      </c>
      <c r="AA50">
        <v>-5.1544836139043909E-28</v>
      </c>
      <c r="AB50">
        <v>-6.370805654809222E-28</v>
      </c>
      <c r="AC50">
        <v>1.0921381122530095E-27</v>
      </c>
      <c r="AD50">
        <v>-7.570116198638462E-29</v>
      </c>
      <c r="AE50">
        <v>3.7085063624790665E-28</v>
      </c>
      <c r="AF50">
        <v>9.084139438366154E-28</v>
      </c>
      <c r="AH50" t="s">
        <v>1253</v>
      </c>
      <c r="AI50" t="s">
        <v>1255</v>
      </c>
    </row>
    <row r="51" spans="1:35" x14ac:dyDescent="0.25">
      <c r="A51">
        <v>0</v>
      </c>
      <c r="B51">
        <v>0</v>
      </c>
      <c r="C51">
        <v>0</v>
      </c>
      <c r="D51">
        <v>0</v>
      </c>
      <c r="E51">
        <v>0</v>
      </c>
      <c r="F51">
        <v>0</v>
      </c>
      <c r="G51">
        <v>0</v>
      </c>
      <c r="H51">
        <v>0</v>
      </c>
      <c r="I51">
        <v>2.2248767900842153E-16</v>
      </c>
      <c r="J51">
        <v>0</v>
      </c>
      <c r="L51">
        <v>2.3247519867615353E-15</v>
      </c>
      <c r="M51">
        <v>4.8089259178443244E-17</v>
      </c>
      <c r="N51">
        <v>-3.8109039980152707E-15</v>
      </c>
      <c r="O51">
        <v>8.3777193537502717E-15</v>
      </c>
      <c r="P51">
        <v>2.5890646247353666E-15</v>
      </c>
      <c r="Q51">
        <v>-3.8603690914357452E-15</v>
      </c>
      <c r="R51">
        <v>5.4067720910671082E-16</v>
      </c>
      <c r="S51">
        <v>-6.1127790987413027E-16</v>
      </c>
      <c r="T51">
        <v>1.1508262372688236E-15</v>
      </c>
      <c r="U51">
        <v>4.2461667748371697E-17</v>
      </c>
      <c r="W51">
        <v>2.9107261970543665E-27</v>
      </c>
      <c r="X51">
        <v>-2.7883124784866598E-28</v>
      </c>
      <c r="Y51">
        <v>6.7327545212238851E-28</v>
      </c>
      <c r="Z51">
        <v>2.7203048570601557E-28</v>
      </c>
      <c r="AA51">
        <v>-5.1515773230576702E-28</v>
      </c>
      <c r="AB51">
        <v>-6.367213556056427E-28</v>
      </c>
      <c r="AC51">
        <v>1.0915223238953874E-27</v>
      </c>
      <c r="AD51">
        <v>-7.5658478836985583E-29</v>
      </c>
      <c r="AE51">
        <v>3.7064153677444622E-28</v>
      </c>
      <c r="AF51">
        <v>9.0790174604382699E-28</v>
      </c>
      <c r="AH51" t="s">
        <v>1259</v>
      </c>
      <c r="AI51" t="s">
        <v>1260</v>
      </c>
    </row>
    <row r="52" spans="1:35" x14ac:dyDescent="0.25">
      <c r="A52">
        <v>-4.7839859894214634E-15</v>
      </c>
      <c r="B52">
        <v>2.9343840377706659E-15</v>
      </c>
      <c r="C52">
        <v>-9.6541749365820751E-15</v>
      </c>
      <c r="D52">
        <v>-5.6808873344513003E-15</v>
      </c>
      <c r="E52">
        <v>-1.3930331953232185E-15</v>
      </c>
      <c r="F52">
        <v>2.6742792373454841E-15</v>
      </c>
      <c r="G52">
        <v>6.9102138210240817E-16</v>
      </c>
      <c r="H52">
        <v>-6.4488707739321037E-16</v>
      </c>
      <c r="I52">
        <v>-5.5621919752061317E-17</v>
      </c>
      <c r="J52">
        <v>0</v>
      </c>
      <c r="L52">
        <v>2.3247519867615365E-15</v>
      </c>
      <c r="M52">
        <v>4.8089259178445358E-17</v>
      </c>
      <c r="N52">
        <v>-3.8109039980152683E-15</v>
      </c>
      <c r="O52">
        <v>8.3777193537502732E-15</v>
      </c>
      <c r="P52">
        <v>2.5890646247353662E-15</v>
      </c>
      <c r="Q52">
        <v>-3.8603690914357484E-15</v>
      </c>
      <c r="R52">
        <v>5.4067720910671063E-16</v>
      </c>
      <c r="S52">
        <v>-6.1127790987413096E-16</v>
      </c>
      <c r="T52">
        <v>1.1508262372688224E-15</v>
      </c>
      <c r="U52">
        <v>4.2461667748372621E-17</v>
      </c>
      <c r="W52">
        <v>-2.0946974277639377E-27</v>
      </c>
      <c r="X52">
        <v>1.1917005345897106E-28</v>
      </c>
      <c r="Y52">
        <v>2.8756868852539803E-27</v>
      </c>
      <c r="Z52">
        <v>1.9861675576495176E-28</v>
      </c>
      <c r="AA52">
        <v>6.440857651234864E-28</v>
      </c>
      <c r="AB52">
        <v>-2.0627768777302848E-27</v>
      </c>
      <c r="AC52">
        <v>2.1620852556127607E-27</v>
      </c>
      <c r="AD52">
        <v>2.2131581356666056E-28</v>
      </c>
      <c r="AE52">
        <v>-2.4117748914315571E-29</v>
      </c>
      <c r="AF52">
        <v>-3.5183539592648598E-28</v>
      </c>
      <c r="AH52" t="s">
        <v>1264</v>
      </c>
      <c r="AI52" t="s">
        <v>1266</v>
      </c>
    </row>
    <row r="53" spans="1:35" x14ac:dyDescent="0.25">
      <c r="A53">
        <v>-4.7839859894214634E-15</v>
      </c>
      <c r="B53">
        <v>2.9343840377706659E-15</v>
      </c>
      <c r="C53">
        <v>-9.6541749365820751E-15</v>
      </c>
      <c r="D53">
        <v>-5.6808873344513003E-15</v>
      </c>
      <c r="E53">
        <v>-1.3930331953232185E-15</v>
      </c>
      <c r="F53">
        <v>2.6742792373454849E-15</v>
      </c>
      <c r="G53">
        <v>6.9102138210240817E-16</v>
      </c>
      <c r="H53">
        <v>-6.4488707739320968E-16</v>
      </c>
      <c r="I53">
        <v>-5.5621919752067E-17</v>
      </c>
      <c r="J53">
        <v>0</v>
      </c>
      <c r="L53">
        <v>2.3247519867615305E-15</v>
      </c>
      <c r="M53">
        <v>4.8089259178439682E-17</v>
      </c>
      <c r="N53">
        <v>-3.8109039980152738E-15</v>
      </c>
      <c r="O53">
        <v>8.3777193537502732E-15</v>
      </c>
      <c r="P53">
        <v>2.5890646247353603E-15</v>
      </c>
      <c r="Q53">
        <v>-3.8603690914357515E-15</v>
      </c>
      <c r="R53">
        <v>5.4067720910671063E-16</v>
      </c>
      <c r="S53">
        <v>-6.1127790987413372E-16</v>
      </c>
      <c r="T53">
        <v>1.1508262372688224E-15</v>
      </c>
      <c r="U53">
        <v>4.246166774836978E-17</v>
      </c>
      <c r="W53">
        <v>0</v>
      </c>
      <c r="X53">
        <v>0</v>
      </c>
      <c r="Y53">
        <v>0</v>
      </c>
      <c r="Z53">
        <v>0</v>
      </c>
      <c r="AA53">
        <v>0</v>
      </c>
      <c r="AB53">
        <v>0</v>
      </c>
      <c r="AC53">
        <v>0</v>
      </c>
      <c r="AD53">
        <v>0</v>
      </c>
      <c r="AE53">
        <v>0</v>
      </c>
      <c r="AF53">
        <v>0</v>
      </c>
      <c r="AH53" t="s">
        <v>1270</v>
      </c>
      <c r="AI53" t="s">
        <v>1271</v>
      </c>
    </row>
    <row r="54" spans="1:35" x14ac:dyDescent="0.25">
      <c r="A54">
        <v>4.7839859894214666E-15</v>
      </c>
      <c r="B54">
        <v>-2.9343840377706651E-15</v>
      </c>
      <c r="C54">
        <v>9.6541749365820735E-15</v>
      </c>
      <c r="D54">
        <v>5.6808873344512979E-15</v>
      </c>
      <c r="E54">
        <v>1.3930331953232183E-15</v>
      </c>
      <c r="F54">
        <v>-2.6742792373454849E-15</v>
      </c>
      <c r="G54">
        <v>-6.9102138210240896E-16</v>
      </c>
      <c r="H54">
        <v>6.4488707739320968E-16</v>
      </c>
      <c r="I54">
        <v>2.781095987604862E-16</v>
      </c>
      <c r="J54">
        <v>0</v>
      </c>
      <c r="L54">
        <v>0</v>
      </c>
      <c r="M54">
        <v>0</v>
      </c>
      <c r="N54">
        <v>0</v>
      </c>
      <c r="O54">
        <v>0</v>
      </c>
      <c r="P54">
        <v>0</v>
      </c>
      <c r="Q54">
        <v>0</v>
      </c>
      <c r="R54">
        <v>0</v>
      </c>
      <c r="S54">
        <v>0</v>
      </c>
      <c r="T54">
        <v>0</v>
      </c>
      <c r="U54">
        <v>0</v>
      </c>
      <c r="W54">
        <v>0</v>
      </c>
      <c r="X54">
        <v>0</v>
      </c>
      <c r="Y54">
        <v>0</v>
      </c>
      <c r="Z54">
        <v>0</v>
      </c>
      <c r="AA54">
        <v>0</v>
      </c>
      <c r="AB54">
        <v>0</v>
      </c>
      <c r="AC54">
        <v>0</v>
      </c>
      <c r="AD54">
        <v>0</v>
      </c>
      <c r="AE54">
        <v>0</v>
      </c>
      <c r="AF54">
        <v>0</v>
      </c>
      <c r="AH54" t="s">
        <v>1276</v>
      </c>
      <c r="AI54" t="s">
        <v>1278</v>
      </c>
    </row>
    <row r="55" spans="1:35" x14ac:dyDescent="0.25">
      <c r="A55">
        <v>0</v>
      </c>
      <c r="B55">
        <v>0</v>
      </c>
      <c r="C55">
        <v>0</v>
      </c>
      <c r="D55">
        <v>0</v>
      </c>
      <c r="E55">
        <v>0</v>
      </c>
      <c r="F55">
        <v>0</v>
      </c>
      <c r="G55">
        <v>0</v>
      </c>
      <c r="H55">
        <v>0</v>
      </c>
      <c r="I55">
        <v>0</v>
      </c>
      <c r="J55">
        <v>0</v>
      </c>
      <c r="L55">
        <v>0</v>
      </c>
      <c r="M55">
        <v>0</v>
      </c>
      <c r="N55">
        <v>0</v>
      </c>
      <c r="O55">
        <v>0</v>
      </c>
      <c r="P55">
        <v>0</v>
      </c>
      <c r="Q55">
        <v>0</v>
      </c>
      <c r="R55">
        <v>0</v>
      </c>
      <c r="S55">
        <v>0</v>
      </c>
      <c r="T55">
        <v>0</v>
      </c>
      <c r="U55">
        <v>0</v>
      </c>
      <c r="W55">
        <v>0</v>
      </c>
      <c r="X55">
        <v>0</v>
      </c>
      <c r="Y55">
        <v>0</v>
      </c>
      <c r="Z55">
        <v>0</v>
      </c>
      <c r="AA55">
        <v>0</v>
      </c>
      <c r="AB55">
        <v>0</v>
      </c>
      <c r="AC55">
        <v>0</v>
      </c>
      <c r="AD55">
        <v>0</v>
      </c>
      <c r="AE55">
        <v>0</v>
      </c>
      <c r="AF55">
        <v>0</v>
      </c>
      <c r="AH55" t="s">
        <v>1282</v>
      </c>
      <c r="AI55" t="s">
        <v>1283</v>
      </c>
    </row>
    <row r="56" spans="1:35" x14ac:dyDescent="0.25">
      <c r="A56">
        <v>5.0000000000000009</v>
      </c>
      <c r="B56">
        <v>4.6666666666666643</v>
      </c>
      <c r="C56">
        <v>4.3333333333333348</v>
      </c>
      <c r="D56">
        <v>4.0000000000000009</v>
      </c>
      <c r="E56">
        <v>3.666666666666667</v>
      </c>
      <c r="F56">
        <v>3.3333333333333326</v>
      </c>
      <c r="G56">
        <v>1.9999999999999996</v>
      </c>
      <c r="H56">
        <v>0.66666666666666974</v>
      </c>
      <c r="I56">
        <v>-5.3994743356935012E-30</v>
      </c>
      <c r="J56">
        <v>0</v>
      </c>
      <c r="L56">
        <v>4.9999999999999982</v>
      </c>
      <c r="M56">
        <v>4.6666666666666652</v>
      </c>
      <c r="N56">
        <v>4.3333333333333401</v>
      </c>
      <c r="O56">
        <v>3.9999999999999885</v>
      </c>
      <c r="P56">
        <v>3.6666666666666625</v>
      </c>
      <c r="Q56">
        <v>3.3333333333333379</v>
      </c>
      <c r="R56">
        <v>2.9999999999999987</v>
      </c>
      <c r="S56">
        <v>2.6666666666666674</v>
      </c>
      <c r="T56">
        <v>3.0000000000000044</v>
      </c>
      <c r="U56">
        <v>3.9999999999999938</v>
      </c>
      <c r="W56">
        <v>5</v>
      </c>
      <c r="X56">
        <v>5.0000000000000062</v>
      </c>
      <c r="Y56">
        <v>5.0000000000000107</v>
      </c>
      <c r="Z56">
        <v>5.0000000000000044</v>
      </c>
      <c r="AA56">
        <v>5.0000000000000036</v>
      </c>
      <c r="AB56">
        <v>5</v>
      </c>
      <c r="AC56">
        <v>5</v>
      </c>
      <c r="AD56">
        <v>5.0000000000000044</v>
      </c>
      <c r="AE56">
        <v>5</v>
      </c>
      <c r="AF56">
        <v>5.0000000000000009</v>
      </c>
      <c r="AH56" t="s">
        <v>1287</v>
      </c>
      <c r="AI56" t="s">
        <v>1288</v>
      </c>
    </row>
    <row r="57" spans="1:35" x14ac:dyDescent="0.25">
      <c r="A57">
        <v>0</v>
      </c>
      <c r="B57">
        <v>0</v>
      </c>
      <c r="C57">
        <v>0</v>
      </c>
      <c r="D57">
        <v>0</v>
      </c>
      <c r="E57">
        <v>0</v>
      </c>
      <c r="F57">
        <v>0</v>
      </c>
      <c r="G57">
        <v>0</v>
      </c>
      <c r="H57">
        <v>0</v>
      </c>
      <c r="I57">
        <v>0</v>
      </c>
      <c r="J57">
        <v>0</v>
      </c>
      <c r="L57">
        <v>0</v>
      </c>
      <c r="M57">
        <v>0</v>
      </c>
      <c r="N57">
        <v>0</v>
      </c>
      <c r="O57">
        <v>0</v>
      </c>
      <c r="P57">
        <v>0</v>
      </c>
      <c r="Q57">
        <v>0</v>
      </c>
      <c r="R57">
        <v>0</v>
      </c>
      <c r="S57">
        <v>0</v>
      </c>
      <c r="T57">
        <v>0</v>
      </c>
      <c r="U57">
        <v>0</v>
      </c>
      <c r="W57">
        <v>0</v>
      </c>
      <c r="X57">
        <v>0</v>
      </c>
      <c r="Y57">
        <v>0</v>
      </c>
      <c r="Z57">
        <v>0</v>
      </c>
      <c r="AA57">
        <v>0</v>
      </c>
      <c r="AB57">
        <v>0</v>
      </c>
      <c r="AC57">
        <v>0</v>
      </c>
      <c r="AD57">
        <v>0</v>
      </c>
      <c r="AE57">
        <v>0</v>
      </c>
      <c r="AF57">
        <v>0</v>
      </c>
      <c r="AH57" t="s">
        <v>1292</v>
      </c>
      <c r="AI57" t="s">
        <v>1293</v>
      </c>
    </row>
    <row r="58" spans="1:35" x14ac:dyDescent="0.25">
      <c r="A58">
        <v>-4.9999999999999938</v>
      </c>
      <c r="B58">
        <v>-4.6666666666666714</v>
      </c>
      <c r="C58">
        <v>-4.3333333333333171</v>
      </c>
      <c r="D58">
        <v>-3.9999999999999911</v>
      </c>
      <c r="E58">
        <v>-3.6666666666666634</v>
      </c>
      <c r="F58">
        <v>-3.3333333333333379</v>
      </c>
      <c r="G58">
        <v>-2</v>
      </c>
      <c r="H58">
        <v>-0.66666666666666841</v>
      </c>
      <c r="I58">
        <v>1.1124383950421436E-16</v>
      </c>
      <c r="J58">
        <v>0</v>
      </c>
      <c r="L58">
        <v>-5.0000000000000044</v>
      </c>
      <c r="M58">
        <v>-4.666666666666667</v>
      </c>
      <c r="N58">
        <v>-4.3333333333333224</v>
      </c>
      <c r="O58">
        <v>-4.0000000000000178</v>
      </c>
      <c r="P58">
        <v>-3.666666666666671</v>
      </c>
      <c r="Q58">
        <v>-3.3333333333333259</v>
      </c>
      <c r="R58">
        <v>-3.0000000000000022</v>
      </c>
      <c r="S58">
        <v>-2.6666666666666643</v>
      </c>
      <c r="T58">
        <v>-3.000000000000008</v>
      </c>
      <c r="U58">
        <v>-3.9999999999999889</v>
      </c>
      <c r="W58">
        <v>-5.0000000000000009</v>
      </c>
      <c r="X58">
        <v>-5</v>
      </c>
      <c r="Y58">
        <v>-5.0000000000000009</v>
      </c>
      <c r="Z58">
        <v>-5.0000000000000009</v>
      </c>
      <c r="AA58">
        <v>-5</v>
      </c>
      <c r="AB58">
        <v>-5.0000000000000009</v>
      </c>
      <c r="AC58">
        <v>-5.0000000000000009</v>
      </c>
      <c r="AD58">
        <v>-5.0000000000000018</v>
      </c>
      <c r="AE58">
        <v>-5</v>
      </c>
      <c r="AF58">
        <v>-5.0000000000000009</v>
      </c>
      <c r="AH58" t="s">
        <v>590</v>
      </c>
      <c r="AI58" t="s">
        <v>1297</v>
      </c>
    </row>
    <row r="59" spans="1:35" x14ac:dyDescent="0.25">
      <c r="A59">
        <v>-4.9999999999999938</v>
      </c>
      <c r="B59">
        <v>-4.6666666666666723</v>
      </c>
      <c r="C59">
        <v>-4.3333333333333179</v>
      </c>
      <c r="D59">
        <v>-3.9999999999999911</v>
      </c>
      <c r="E59">
        <v>-3.6666666666666634</v>
      </c>
      <c r="F59">
        <v>-3.3333333333333379</v>
      </c>
      <c r="G59">
        <v>-2</v>
      </c>
      <c r="H59">
        <v>-0.66666666666666841</v>
      </c>
      <c r="I59">
        <v>1.1124383950421441E-16</v>
      </c>
      <c r="J59">
        <v>0</v>
      </c>
      <c r="L59">
        <v>-5.0000000000000044</v>
      </c>
      <c r="M59">
        <v>-4.6666666666666679</v>
      </c>
      <c r="N59">
        <v>-4.3333333333333233</v>
      </c>
      <c r="O59">
        <v>-4.0000000000000178</v>
      </c>
      <c r="P59">
        <v>-3.6666666666666714</v>
      </c>
      <c r="Q59">
        <v>-3.3333333333333259</v>
      </c>
      <c r="R59">
        <v>-3.0000000000000022</v>
      </c>
      <c r="S59">
        <v>-2.6666666666666643</v>
      </c>
      <c r="T59">
        <v>-3.000000000000008</v>
      </c>
      <c r="U59">
        <v>-3.9999999999999893</v>
      </c>
      <c r="W59">
        <v>-5.0000000000000009</v>
      </c>
      <c r="X59">
        <v>-5</v>
      </c>
      <c r="Y59">
        <v>-5.0000000000000009</v>
      </c>
      <c r="Z59">
        <v>-5.0000000000000009</v>
      </c>
      <c r="AA59">
        <v>-5</v>
      </c>
      <c r="AB59">
        <v>-5.0000000000000009</v>
      </c>
      <c r="AC59">
        <v>-5.0000000000000009</v>
      </c>
      <c r="AD59">
        <v>-5.0000000000000018</v>
      </c>
      <c r="AE59">
        <v>-5</v>
      </c>
      <c r="AF59">
        <v>-5.0000000000000009</v>
      </c>
      <c r="AH59" t="s">
        <v>593</v>
      </c>
      <c r="AI59" t="s">
        <v>1301</v>
      </c>
    </row>
    <row r="60" spans="1:35" x14ac:dyDescent="0.25">
      <c r="A60">
        <v>-4.9999999999999849</v>
      </c>
      <c r="B60">
        <v>-4.6666666666666776</v>
      </c>
      <c r="C60">
        <v>-4.3333333333332984</v>
      </c>
      <c r="D60">
        <v>-3.9999999999999809</v>
      </c>
      <c r="E60">
        <v>-3.6666666666666612</v>
      </c>
      <c r="F60">
        <v>-3.3333333333333424</v>
      </c>
      <c r="G60">
        <v>-2.0000000000000009</v>
      </c>
      <c r="H60">
        <v>-0.66666666666666696</v>
      </c>
      <c r="I60">
        <v>2.2248767900842143E-16</v>
      </c>
      <c r="J60">
        <v>0</v>
      </c>
      <c r="L60">
        <v>-5.0000000000000107</v>
      </c>
      <c r="M60">
        <v>-4.6666666666666696</v>
      </c>
      <c r="N60">
        <v>-4.3333333333333055</v>
      </c>
      <c r="O60">
        <v>-4.0000000000000471</v>
      </c>
      <c r="P60">
        <v>-3.6666666666666794</v>
      </c>
      <c r="Q60">
        <v>-3.3333333333333135</v>
      </c>
      <c r="R60">
        <v>-3.0000000000000053</v>
      </c>
      <c r="S60">
        <v>-2.6666666666666612</v>
      </c>
      <c r="T60">
        <v>-3.0000000000000115</v>
      </c>
      <c r="U60">
        <v>-3.999999999999984</v>
      </c>
      <c r="W60">
        <v>-5.0000000000000018</v>
      </c>
      <c r="X60">
        <v>-4.9999999999999938</v>
      </c>
      <c r="Y60">
        <v>-4.9999999999999902</v>
      </c>
      <c r="Z60">
        <v>-4.9999999999999973</v>
      </c>
      <c r="AA60">
        <v>-4.9999999999999973</v>
      </c>
      <c r="AB60">
        <v>-5.0000000000000027</v>
      </c>
      <c r="AC60">
        <v>-5.0000000000000018</v>
      </c>
      <c r="AD60">
        <v>-4.9999999999999991</v>
      </c>
      <c r="AE60">
        <v>-5.0000000000000018</v>
      </c>
      <c r="AF60">
        <v>-5</v>
      </c>
      <c r="AH60" t="s">
        <v>598</v>
      </c>
      <c r="AI60" t="s">
        <v>1303</v>
      </c>
    </row>
    <row r="61" spans="1:35" x14ac:dyDescent="0.25">
      <c r="A61">
        <v>4.9999999999999982</v>
      </c>
      <c r="B61">
        <v>4.666666666666667</v>
      </c>
      <c r="C61">
        <v>4.3333333333333259</v>
      </c>
      <c r="D61">
        <v>3.9999999999999947</v>
      </c>
      <c r="E61">
        <v>3.6666666666666647</v>
      </c>
      <c r="F61">
        <v>3.3333333333333353</v>
      </c>
      <c r="G61">
        <v>2.0000000000000009</v>
      </c>
      <c r="H61">
        <v>0.66666666666666907</v>
      </c>
      <c r="I61">
        <v>-5.5621919752066716E-17</v>
      </c>
      <c r="J61">
        <v>0</v>
      </c>
      <c r="L61">
        <v>5.0000000000000027</v>
      </c>
      <c r="M61">
        <v>4.6666666666666652</v>
      </c>
      <c r="N61">
        <v>4.3333333333333321</v>
      </c>
      <c r="O61">
        <v>4.0000000000000036</v>
      </c>
      <c r="P61">
        <v>3.6666666666666674</v>
      </c>
      <c r="Q61">
        <v>3.3333333333333304</v>
      </c>
      <c r="R61">
        <v>3.0000000000000004</v>
      </c>
      <c r="S61">
        <v>2.6666666666666661</v>
      </c>
      <c r="T61">
        <v>3.0000000000000058</v>
      </c>
      <c r="U61">
        <v>3.999999999999992</v>
      </c>
      <c r="W61">
        <v>4.9999999999999991</v>
      </c>
      <c r="X61">
        <v>5.0000000000000071</v>
      </c>
      <c r="Y61">
        <v>5.0000000000000107</v>
      </c>
      <c r="Z61">
        <v>5.0000000000000036</v>
      </c>
      <c r="AA61">
        <v>5.0000000000000044</v>
      </c>
      <c r="AB61">
        <v>4.9999999999999973</v>
      </c>
      <c r="AC61">
        <v>4.9999999999999973</v>
      </c>
      <c r="AD61">
        <v>5.0000000000000018</v>
      </c>
      <c r="AE61">
        <v>4.9999999999999991</v>
      </c>
      <c r="AF61">
        <v>5</v>
      </c>
      <c r="AH61" t="s">
        <v>603</v>
      </c>
      <c r="AI61" t="s">
        <v>1307</v>
      </c>
    </row>
    <row r="62" spans="1:35" x14ac:dyDescent="0.25">
      <c r="A62">
        <v>-4.9999999999999938</v>
      </c>
      <c r="B62">
        <v>-4.6666666666666714</v>
      </c>
      <c r="C62">
        <v>-4.3333333333333171</v>
      </c>
      <c r="D62">
        <v>-3.9999999999999911</v>
      </c>
      <c r="E62">
        <v>-3.6666666666666634</v>
      </c>
      <c r="F62">
        <v>-3.3333333333333379</v>
      </c>
      <c r="G62">
        <v>-2</v>
      </c>
      <c r="H62">
        <v>-0.66666666666666841</v>
      </c>
      <c r="I62">
        <v>1.1124383950421436E-16</v>
      </c>
      <c r="J62">
        <v>0</v>
      </c>
      <c r="L62">
        <v>-5.0000000000000044</v>
      </c>
      <c r="M62">
        <v>-4.666666666666667</v>
      </c>
      <c r="N62">
        <v>-4.3333333333333224</v>
      </c>
      <c r="O62">
        <v>-4.0000000000000178</v>
      </c>
      <c r="P62">
        <v>-3.666666666666671</v>
      </c>
      <c r="Q62">
        <v>-3.3333333333333259</v>
      </c>
      <c r="R62">
        <v>-3.0000000000000022</v>
      </c>
      <c r="S62">
        <v>-2.6666666666666643</v>
      </c>
      <c r="T62">
        <v>-3.000000000000008</v>
      </c>
      <c r="U62">
        <v>-3.9999999999999889</v>
      </c>
      <c r="W62">
        <v>-5.0000000000000009</v>
      </c>
      <c r="X62">
        <v>-5</v>
      </c>
      <c r="Y62">
        <v>-5.0000000000000009</v>
      </c>
      <c r="Z62">
        <v>-5.0000000000000009</v>
      </c>
      <c r="AA62">
        <v>-5</v>
      </c>
      <c r="AB62">
        <v>-5.0000000000000009</v>
      </c>
      <c r="AC62">
        <v>-5.0000000000000009</v>
      </c>
      <c r="AD62">
        <v>-5.0000000000000018</v>
      </c>
      <c r="AE62">
        <v>-5</v>
      </c>
      <c r="AF62">
        <v>-5.0000000000000009</v>
      </c>
      <c r="AH62" t="s">
        <v>607</v>
      </c>
      <c r="AI62" t="s">
        <v>1311</v>
      </c>
    </row>
    <row r="63" spans="1:35" x14ac:dyDescent="0.25">
      <c r="A63">
        <v>0</v>
      </c>
      <c r="B63">
        <v>0</v>
      </c>
      <c r="C63">
        <v>0</v>
      </c>
      <c r="D63">
        <v>0</v>
      </c>
      <c r="E63">
        <v>0</v>
      </c>
      <c r="F63">
        <v>0</v>
      </c>
      <c r="G63">
        <v>0</v>
      </c>
      <c r="H63">
        <v>0</v>
      </c>
      <c r="I63">
        <v>0</v>
      </c>
      <c r="J63">
        <v>0</v>
      </c>
      <c r="L63">
        <v>0</v>
      </c>
      <c r="M63">
        <v>0</v>
      </c>
      <c r="N63">
        <v>0</v>
      </c>
      <c r="O63">
        <v>0</v>
      </c>
      <c r="P63">
        <v>0</v>
      </c>
      <c r="Q63">
        <v>0</v>
      </c>
      <c r="R63">
        <v>0</v>
      </c>
      <c r="S63">
        <v>0</v>
      </c>
      <c r="T63">
        <v>0</v>
      </c>
      <c r="U63">
        <v>0</v>
      </c>
      <c r="W63">
        <v>0</v>
      </c>
      <c r="X63">
        <v>0</v>
      </c>
      <c r="Y63">
        <v>0</v>
      </c>
      <c r="Z63">
        <v>0</v>
      </c>
      <c r="AA63">
        <v>0</v>
      </c>
      <c r="AB63">
        <v>0</v>
      </c>
      <c r="AC63">
        <v>0</v>
      </c>
      <c r="AD63">
        <v>0</v>
      </c>
      <c r="AE63">
        <v>0</v>
      </c>
      <c r="AF63">
        <v>0</v>
      </c>
      <c r="AH63" t="s">
        <v>633</v>
      </c>
      <c r="AI63" t="s">
        <v>1337</v>
      </c>
    </row>
    <row r="64" spans="1:35" x14ac:dyDescent="0.25">
      <c r="A64">
        <v>0</v>
      </c>
      <c r="B64">
        <v>0</v>
      </c>
      <c r="C64">
        <v>0</v>
      </c>
      <c r="D64">
        <v>0</v>
      </c>
      <c r="E64">
        <v>0</v>
      </c>
      <c r="F64">
        <v>0</v>
      </c>
      <c r="G64">
        <v>0</v>
      </c>
      <c r="H64">
        <v>0</v>
      </c>
      <c r="I64">
        <v>0</v>
      </c>
      <c r="J64">
        <v>0</v>
      </c>
      <c r="L64">
        <v>0</v>
      </c>
      <c r="M64">
        <v>0</v>
      </c>
      <c r="N64">
        <v>0</v>
      </c>
      <c r="O64">
        <v>0</v>
      </c>
      <c r="P64">
        <v>0</v>
      </c>
      <c r="Q64">
        <v>0</v>
      </c>
      <c r="R64">
        <v>0</v>
      </c>
      <c r="S64">
        <v>0</v>
      </c>
      <c r="T64">
        <v>0</v>
      </c>
      <c r="U64">
        <v>0</v>
      </c>
      <c r="W64">
        <v>0</v>
      </c>
      <c r="X64">
        <v>0</v>
      </c>
      <c r="Y64">
        <v>0</v>
      </c>
      <c r="Z64">
        <v>0</v>
      </c>
      <c r="AA64">
        <v>0</v>
      </c>
      <c r="AB64">
        <v>0</v>
      </c>
      <c r="AC64">
        <v>0</v>
      </c>
      <c r="AD64">
        <v>0</v>
      </c>
      <c r="AE64">
        <v>0</v>
      </c>
      <c r="AF64">
        <v>0</v>
      </c>
      <c r="AH64" t="s">
        <v>636</v>
      </c>
      <c r="AI64" t="s">
        <v>1341</v>
      </c>
    </row>
    <row r="65" spans="1:35" x14ac:dyDescent="0.25">
      <c r="A65">
        <v>0</v>
      </c>
      <c r="B65">
        <v>0</v>
      </c>
      <c r="C65">
        <v>0</v>
      </c>
      <c r="D65">
        <v>0</v>
      </c>
      <c r="E65">
        <v>0</v>
      </c>
      <c r="F65">
        <v>0</v>
      </c>
      <c r="G65">
        <v>0</v>
      </c>
      <c r="H65">
        <v>0</v>
      </c>
      <c r="I65">
        <v>0</v>
      </c>
      <c r="J65">
        <v>0</v>
      </c>
      <c r="L65">
        <v>0</v>
      </c>
      <c r="M65">
        <v>0</v>
      </c>
      <c r="N65">
        <v>0</v>
      </c>
      <c r="O65">
        <v>0</v>
      </c>
      <c r="P65">
        <v>0</v>
      </c>
      <c r="Q65">
        <v>0</v>
      </c>
      <c r="R65">
        <v>0</v>
      </c>
      <c r="S65">
        <v>0</v>
      </c>
      <c r="T65">
        <v>0</v>
      </c>
      <c r="U65">
        <v>0</v>
      </c>
      <c r="W65">
        <v>0</v>
      </c>
      <c r="X65">
        <v>0</v>
      </c>
      <c r="Y65">
        <v>0</v>
      </c>
      <c r="Z65">
        <v>0</v>
      </c>
      <c r="AA65">
        <v>0</v>
      </c>
      <c r="AB65">
        <v>0</v>
      </c>
      <c r="AC65">
        <v>0</v>
      </c>
      <c r="AD65">
        <v>0</v>
      </c>
      <c r="AE65">
        <v>0</v>
      </c>
      <c r="AF65">
        <v>0</v>
      </c>
      <c r="AH65" t="s">
        <v>639</v>
      </c>
      <c r="AI65" s="60" t="s">
        <v>1342</v>
      </c>
    </row>
    <row r="66" spans="1:35" x14ac:dyDescent="0.25">
      <c r="A66">
        <v>0</v>
      </c>
      <c r="B66">
        <v>0</v>
      </c>
      <c r="C66">
        <v>0</v>
      </c>
      <c r="D66">
        <v>0</v>
      </c>
      <c r="E66">
        <v>0</v>
      </c>
      <c r="F66">
        <v>0</v>
      </c>
      <c r="G66">
        <v>0</v>
      </c>
      <c r="H66">
        <v>0</v>
      </c>
      <c r="I66">
        <v>0</v>
      </c>
      <c r="J66">
        <v>0</v>
      </c>
      <c r="L66">
        <v>0</v>
      </c>
      <c r="M66">
        <v>0</v>
      </c>
      <c r="N66">
        <v>0</v>
      </c>
      <c r="O66">
        <v>0</v>
      </c>
      <c r="P66">
        <v>0</v>
      </c>
      <c r="Q66">
        <v>0</v>
      </c>
      <c r="R66">
        <v>0</v>
      </c>
      <c r="S66">
        <v>0</v>
      </c>
      <c r="T66">
        <v>0</v>
      </c>
      <c r="U66">
        <v>0</v>
      </c>
      <c r="W66">
        <v>0</v>
      </c>
      <c r="X66">
        <v>0</v>
      </c>
      <c r="Y66">
        <v>0</v>
      </c>
      <c r="Z66">
        <v>0</v>
      </c>
      <c r="AA66">
        <v>0</v>
      </c>
      <c r="AB66">
        <v>0</v>
      </c>
      <c r="AC66">
        <v>0</v>
      </c>
      <c r="AD66">
        <v>0</v>
      </c>
      <c r="AE66">
        <v>0</v>
      </c>
      <c r="AF66">
        <v>0</v>
      </c>
      <c r="AH66" t="s">
        <v>642</v>
      </c>
      <c r="AI66" s="60" t="s">
        <v>1348</v>
      </c>
    </row>
    <row r="67" spans="1:35" x14ac:dyDescent="0.25">
      <c r="A67">
        <v>0</v>
      </c>
      <c r="B67">
        <v>0</v>
      </c>
      <c r="C67">
        <v>0</v>
      </c>
      <c r="D67">
        <v>0</v>
      </c>
      <c r="E67">
        <v>0</v>
      </c>
      <c r="F67">
        <v>0</v>
      </c>
      <c r="G67">
        <v>0</v>
      </c>
      <c r="H67">
        <v>0</v>
      </c>
      <c r="I67">
        <v>0</v>
      </c>
      <c r="J67">
        <v>0</v>
      </c>
      <c r="L67">
        <v>0</v>
      </c>
      <c r="M67">
        <v>0</v>
      </c>
      <c r="N67">
        <v>0</v>
      </c>
      <c r="O67">
        <v>0</v>
      </c>
      <c r="P67">
        <v>0</v>
      </c>
      <c r="Q67">
        <v>0</v>
      </c>
      <c r="R67">
        <v>0</v>
      </c>
      <c r="S67">
        <v>0</v>
      </c>
      <c r="T67">
        <v>0</v>
      </c>
      <c r="U67">
        <v>0</v>
      </c>
      <c r="W67">
        <v>0</v>
      </c>
      <c r="X67">
        <v>0</v>
      </c>
      <c r="Y67">
        <v>0</v>
      </c>
      <c r="Z67">
        <v>0</v>
      </c>
      <c r="AA67">
        <v>0</v>
      </c>
      <c r="AB67">
        <v>0</v>
      </c>
      <c r="AC67">
        <v>0</v>
      </c>
      <c r="AD67">
        <v>0</v>
      </c>
      <c r="AE67">
        <v>0</v>
      </c>
      <c r="AF67">
        <v>0</v>
      </c>
      <c r="AH67" t="s">
        <v>646</v>
      </c>
      <c r="AI67" s="60" t="s">
        <v>1353</v>
      </c>
    </row>
    <row r="68" spans="1:35" x14ac:dyDescent="0.25">
      <c r="A68">
        <v>0</v>
      </c>
      <c r="B68">
        <v>0</v>
      </c>
      <c r="C68">
        <v>0</v>
      </c>
      <c r="D68">
        <v>0</v>
      </c>
      <c r="E68">
        <v>0</v>
      </c>
      <c r="F68">
        <v>0</v>
      </c>
      <c r="G68">
        <v>0</v>
      </c>
      <c r="H68">
        <v>0</v>
      </c>
      <c r="I68">
        <v>0</v>
      </c>
      <c r="J68">
        <v>0</v>
      </c>
      <c r="L68">
        <v>0</v>
      </c>
      <c r="M68">
        <v>0</v>
      </c>
      <c r="N68">
        <v>0</v>
      </c>
      <c r="O68">
        <v>0</v>
      </c>
      <c r="P68">
        <v>0</v>
      </c>
      <c r="Q68">
        <v>0</v>
      </c>
      <c r="R68">
        <v>0</v>
      </c>
      <c r="S68">
        <v>0</v>
      </c>
      <c r="T68">
        <v>0</v>
      </c>
      <c r="U68">
        <v>0</v>
      </c>
      <c r="W68">
        <v>0</v>
      </c>
      <c r="X68">
        <v>0</v>
      </c>
      <c r="Y68">
        <v>0</v>
      </c>
      <c r="Z68">
        <v>0</v>
      </c>
      <c r="AA68">
        <v>0</v>
      </c>
      <c r="AB68">
        <v>0</v>
      </c>
      <c r="AC68">
        <v>0</v>
      </c>
      <c r="AD68">
        <v>0</v>
      </c>
      <c r="AE68">
        <v>0</v>
      </c>
      <c r="AF68">
        <v>0</v>
      </c>
      <c r="AH68" t="s">
        <v>649</v>
      </c>
      <c r="AI68" s="60" t="s">
        <v>1357</v>
      </c>
    </row>
    <row r="69" spans="1:35" x14ac:dyDescent="0.25">
      <c r="A69">
        <v>-8.0651077351956492E-30</v>
      </c>
      <c r="B69">
        <v>-2.6292251216737814E-29</v>
      </c>
      <c r="C69">
        <v>-3.5494035073362604E-29</v>
      </c>
      <c r="D69">
        <v>5.1616689505252154E-30</v>
      </c>
      <c r="E69">
        <v>3.5486474034860855E-30</v>
      </c>
      <c r="F69">
        <v>-2.4598578592346731E-30</v>
      </c>
      <c r="G69">
        <v>3.951902790245868E-30</v>
      </c>
      <c r="H69">
        <v>1.3871985304536516E-29</v>
      </c>
      <c r="I69">
        <v>1.9999999999999978</v>
      </c>
      <c r="J69">
        <v>0</v>
      </c>
      <c r="L69">
        <v>9.6781292822347791E-30</v>
      </c>
      <c r="M69">
        <v>1.5162402542167819E-29</v>
      </c>
      <c r="N69">
        <v>1.7420632708022602E-29</v>
      </c>
      <c r="O69">
        <v>1.2904172376313038E-30</v>
      </c>
      <c r="P69">
        <v>5.806877569340867E-30</v>
      </c>
      <c r="Q69">
        <v>6.4520861881565192E-31</v>
      </c>
      <c r="R69">
        <v>2.0969280111508686E-30</v>
      </c>
      <c r="S69">
        <v>-3.5486474034860855E-30</v>
      </c>
      <c r="T69">
        <v>2.0000000000000169</v>
      </c>
      <c r="U69">
        <v>5.999999999999976</v>
      </c>
      <c r="W69">
        <v>-1.93527717977731E-15</v>
      </c>
      <c r="X69">
        <v>1.0000000000000335</v>
      </c>
      <c r="Y69">
        <v>2.0000000000000511</v>
      </c>
      <c r="Z69">
        <v>3.0000000000000138</v>
      </c>
      <c r="AA69">
        <v>4.0000000000000107</v>
      </c>
      <c r="AB69">
        <v>4.9999999999999956</v>
      </c>
      <c r="AC69">
        <v>5.9999999999999973</v>
      </c>
      <c r="AD69">
        <v>7.0000000000000187</v>
      </c>
      <c r="AE69">
        <v>7.9738181818181832</v>
      </c>
      <c r="AF69">
        <v>7.981090909090911</v>
      </c>
      <c r="AH69" t="s">
        <v>653</v>
      </c>
      <c r="AI69" s="60" t="s">
        <v>1362</v>
      </c>
    </row>
    <row r="70" spans="1:35" x14ac:dyDescent="0.25">
      <c r="A70">
        <v>0</v>
      </c>
      <c r="B70">
        <v>0</v>
      </c>
      <c r="C70">
        <v>0</v>
      </c>
      <c r="D70">
        <v>0</v>
      </c>
      <c r="E70">
        <v>0</v>
      </c>
      <c r="F70">
        <v>0</v>
      </c>
      <c r="G70">
        <v>0</v>
      </c>
      <c r="H70">
        <v>0</v>
      </c>
      <c r="I70">
        <v>0</v>
      </c>
      <c r="J70">
        <v>0</v>
      </c>
      <c r="L70">
        <v>0</v>
      </c>
      <c r="M70">
        <v>0</v>
      </c>
      <c r="N70">
        <v>0</v>
      </c>
      <c r="O70">
        <v>0</v>
      </c>
      <c r="P70">
        <v>0</v>
      </c>
      <c r="Q70">
        <v>0</v>
      </c>
      <c r="R70">
        <v>0</v>
      </c>
      <c r="S70">
        <v>0</v>
      </c>
      <c r="T70">
        <v>0</v>
      </c>
      <c r="U70">
        <v>0</v>
      </c>
      <c r="W70">
        <v>0</v>
      </c>
      <c r="X70">
        <v>0</v>
      </c>
      <c r="Y70">
        <v>0</v>
      </c>
      <c r="Z70">
        <v>0</v>
      </c>
      <c r="AA70">
        <v>0</v>
      </c>
      <c r="AB70">
        <v>0</v>
      </c>
      <c r="AC70">
        <v>0</v>
      </c>
      <c r="AD70">
        <v>0</v>
      </c>
      <c r="AE70">
        <v>0</v>
      </c>
      <c r="AF70">
        <v>0</v>
      </c>
      <c r="AH70" t="s">
        <v>656</v>
      </c>
      <c r="AI70" s="60" t="s">
        <v>1365</v>
      </c>
    </row>
    <row r="71" spans="1:35" x14ac:dyDescent="0.25">
      <c r="A71">
        <v>0</v>
      </c>
      <c r="B71">
        <v>0</v>
      </c>
      <c r="C71">
        <v>0</v>
      </c>
      <c r="D71">
        <v>0</v>
      </c>
      <c r="E71">
        <v>0</v>
      </c>
      <c r="F71">
        <v>0</v>
      </c>
      <c r="G71">
        <v>0</v>
      </c>
      <c r="H71">
        <v>0</v>
      </c>
      <c r="I71">
        <v>0</v>
      </c>
      <c r="J71">
        <v>0</v>
      </c>
      <c r="L71">
        <v>0</v>
      </c>
      <c r="M71">
        <v>0</v>
      </c>
      <c r="N71">
        <v>0</v>
      </c>
      <c r="O71">
        <v>0</v>
      </c>
      <c r="P71">
        <v>0</v>
      </c>
      <c r="Q71">
        <v>0</v>
      </c>
      <c r="R71">
        <v>0</v>
      </c>
      <c r="S71">
        <v>0</v>
      </c>
      <c r="T71">
        <v>0</v>
      </c>
      <c r="U71">
        <v>0</v>
      </c>
      <c r="W71">
        <v>0</v>
      </c>
      <c r="X71">
        <v>0</v>
      </c>
      <c r="Y71">
        <v>0</v>
      </c>
      <c r="Z71">
        <v>0</v>
      </c>
      <c r="AA71">
        <v>0</v>
      </c>
      <c r="AB71">
        <v>0</v>
      </c>
      <c r="AC71">
        <v>0</v>
      </c>
      <c r="AD71">
        <v>0</v>
      </c>
      <c r="AE71">
        <v>0</v>
      </c>
      <c r="AF71">
        <v>0</v>
      </c>
      <c r="AH71" t="s">
        <v>660</v>
      </c>
      <c r="AI71" s="60" t="s">
        <v>1374</v>
      </c>
    </row>
    <row r="72" spans="1:35" x14ac:dyDescent="0.25">
      <c r="A72">
        <v>-8.2511194530477914E-30</v>
      </c>
      <c r="B72">
        <v>-2.6300443256589835E-29</v>
      </c>
      <c r="C72">
        <v>-3.5494317569019063E-29</v>
      </c>
      <c r="D72">
        <v>5.1569496581548695E-30</v>
      </c>
      <c r="E72">
        <v>3.4809410192545369E-30</v>
      </c>
      <c r="F72">
        <v>-2.4656665553052969E-30</v>
      </c>
      <c r="G72">
        <v>3.9966359850700241E-30</v>
      </c>
      <c r="H72">
        <v>1.3794840335564277E-29</v>
      </c>
      <c r="I72">
        <v>1.9999999999999976</v>
      </c>
      <c r="J72">
        <v>0</v>
      </c>
      <c r="L72">
        <v>9.2825093846787659E-30</v>
      </c>
      <c r="M72">
        <v>1.5213001491556867E-29</v>
      </c>
      <c r="N72">
        <v>1.7533628837726556E-29</v>
      </c>
      <c r="O72">
        <v>1.2892374145387174E-30</v>
      </c>
      <c r="P72">
        <v>5.9304921068781E-30</v>
      </c>
      <c r="Q72">
        <v>1.0313899316309739E-30</v>
      </c>
      <c r="R72">
        <v>2.0627798632619479E-30</v>
      </c>
      <c r="S72">
        <v>-3.6098647607084085E-30</v>
      </c>
      <c r="T72">
        <v>2.0000000000000169</v>
      </c>
      <c r="U72">
        <v>5.999999999999976</v>
      </c>
      <c r="W72">
        <v>-1.9352771797771195E-15</v>
      </c>
      <c r="X72">
        <v>1.0000000000000335</v>
      </c>
      <c r="Y72">
        <v>2.0000000000000511</v>
      </c>
      <c r="Z72">
        <v>3.0000000000000138</v>
      </c>
      <c r="AA72">
        <v>4.0000000000000107</v>
      </c>
      <c r="AB72">
        <v>4.9999999999999956</v>
      </c>
      <c r="AC72">
        <v>5.9999999999999973</v>
      </c>
      <c r="AD72">
        <v>7.0000000000000195</v>
      </c>
      <c r="AE72">
        <v>7.9738181818181832</v>
      </c>
      <c r="AF72">
        <v>7.981090909090911</v>
      </c>
      <c r="AH72" t="s">
        <v>665</v>
      </c>
      <c r="AI72" s="60" t="s">
        <v>1378</v>
      </c>
    </row>
    <row r="73" spans="1:35" x14ac:dyDescent="0.25">
      <c r="A73">
        <v>-4.0676141740496033E-30</v>
      </c>
      <c r="B73">
        <v>-1.3137294426998044E-29</v>
      </c>
      <c r="C73">
        <v>-1.7746856351010759E-29</v>
      </c>
      <c r="D73">
        <v>2.6384524372213645E-30</v>
      </c>
      <c r="E73">
        <v>1.7589682914809096E-30</v>
      </c>
      <c r="F73">
        <v>-1.2367745799475145E-30</v>
      </c>
      <c r="G73">
        <v>1.9788393279160232E-30</v>
      </c>
      <c r="H73">
        <v>6.9259376477060815E-30</v>
      </c>
      <c r="I73">
        <v>0.99999999999999867</v>
      </c>
      <c r="J73">
        <v>0</v>
      </c>
      <c r="L73">
        <v>4.6172917651373874E-30</v>
      </c>
      <c r="M73">
        <v>7.6954862752289793E-30</v>
      </c>
      <c r="N73">
        <v>8.7948414574045475E-30</v>
      </c>
      <c r="O73">
        <v>6.5961310930534113E-31</v>
      </c>
      <c r="P73">
        <v>2.8583234736564782E-30</v>
      </c>
      <c r="Q73">
        <v>4.3974207287022739E-31</v>
      </c>
      <c r="R73">
        <v>9.8941966395801161E-31</v>
      </c>
      <c r="S73">
        <v>-1.8689038096984664E-30</v>
      </c>
      <c r="T73">
        <v>1.0000000000000082</v>
      </c>
      <c r="U73">
        <v>2.9999999999999876</v>
      </c>
      <c r="W73">
        <v>-9.6763858988861968E-16</v>
      </c>
      <c r="X73">
        <v>0.50000000000001665</v>
      </c>
      <c r="Y73">
        <v>1.0000000000000253</v>
      </c>
      <c r="Z73">
        <v>1.5000000000000069</v>
      </c>
      <c r="AA73">
        <v>2.0000000000000053</v>
      </c>
      <c r="AB73">
        <v>2.4999999999999978</v>
      </c>
      <c r="AC73">
        <v>2.9999999999999982</v>
      </c>
      <c r="AD73">
        <v>3.5000000000000089</v>
      </c>
      <c r="AE73">
        <v>3.9869090909090903</v>
      </c>
      <c r="AF73">
        <v>3.9905454545454546</v>
      </c>
      <c r="AH73" t="s">
        <v>668</v>
      </c>
      <c r="AI73" s="60" t="s">
        <v>1384</v>
      </c>
    </row>
    <row r="74" spans="1:35" x14ac:dyDescent="0.25">
      <c r="A74">
        <v>0</v>
      </c>
      <c r="B74">
        <v>0</v>
      </c>
      <c r="C74">
        <v>0</v>
      </c>
      <c r="D74">
        <v>0</v>
      </c>
      <c r="E74">
        <v>0</v>
      </c>
      <c r="F74">
        <v>0</v>
      </c>
      <c r="G74">
        <v>0</v>
      </c>
      <c r="H74">
        <v>0</v>
      </c>
      <c r="I74">
        <v>0</v>
      </c>
      <c r="J74">
        <v>0</v>
      </c>
      <c r="L74">
        <v>0</v>
      </c>
      <c r="M74">
        <v>0</v>
      </c>
      <c r="N74">
        <v>0</v>
      </c>
      <c r="O74">
        <v>0</v>
      </c>
      <c r="P74">
        <v>0</v>
      </c>
      <c r="Q74">
        <v>0</v>
      </c>
      <c r="R74">
        <v>0</v>
      </c>
      <c r="S74">
        <v>0</v>
      </c>
      <c r="T74">
        <v>0</v>
      </c>
      <c r="U74">
        <v>0</v>
      </c>
      <c r="W74">
        <v>0</v>
      </c>
      <c r="X74">
        <v>0</v>
      </c>
      <c r="Y74">
        <v>0</v>
      </c>
      <c r="Z74">
        <v>0</v>
      </c>
      <c r="AA74">
        <v>0</v>
      </c>
      <c r="AB74">
        <v>0</v>
      </c>
      <c r="AC74">
        <v>0</v>
      </c>
      <c r="AD74">
        <v>0</v>
      </c>
      <c r="AE74">
        <v>0</v>
      </c>
      <c r="AF74">
        <v>0</v>
      </c>
      <c r="AH74" t="s">
        <v>672</v>
      </c>
      <c r="AI74" t="s">
        <v>1389</v>
      </c>
    </row>
    <row r="75" spans="1:35" x14ac:dyDescent="0.25">
      <c r="A75">
        <v>0</v>
      </c>
      <c r="B75">
        <v>0</v>
      </c>
      <c r="C75">
        <v>0</v>
      </c>
      <c r="D75">
        <v>0</v>
      </c>
      <c r="E75">
        <v>0</v>
      </c>
      <c r="F75">
        <v>0</v>
      </c>
      <c r="G75">
        <v>0</v>
      </c>
      <c r="H75">
        <v>0</v>
      </c>
      <c r="I75">
        <v>0</v>
      </c>
      <c r="J75">
        <v>0</v>
      </c>
      <c r="L75">
        <v>0</v>
      </c>
      <c r="M75">
        <v>0</v>
      </c>
      <c r="N75">
        <v>0</v>
      </c>
      <c r="O75">
        <v>0</v>
      </c>
      <c r="P75">
        <v>0</v>
      </c>
      <c r="Q75">
        <v>0</v>
      </c>
      <c r="R75">
        <v>0</v>
      </c>
      <c r="S75">
        <v>0</v>
      </c>
      <c r="T75">
        <v>0</v>
      </c>
      <c r="U75">
        <v>0</v>
      </c>
      <c r="W75">
        <v>0</v>
      </c>
      <c r="X75">
        <v>0</v>
      </c>
      <c r="Y75">
        <v>0</v>
      </c>
      <c r="Z75">
        <v>0</v>
      </c>
      <c r="AA75">
        <v>0</v>
      </c>
      <c r="AB75">
        <v>0</v>
      </c>
      <c r="AC75">
        <v>0</v>
      </c>
      <c r="AD75">
        <v>0</v>
      </c>
      <c r="AE75">
        <v>0</v>
      </c>
      <c r="AF75">
        <v>0</v>
      </c>
      <c r="AH75" t="s">
        <v>676</v>
      </c>
      <c r="AI75" t="s">
        <v>1393</v>
      </c>
    </row>
    <row r="76" spans="1:35" x14ac:dyDescent="0.25">
      <c r="A76">
        <v>0</v>
      </c>
      <c r="B76">
        <v>0</v>
      </c>
      <c r="C76">
        <v>0</v>
      </c>
      <c r="D76">
        <v>0</v>
      </c>
      <c r="E76">
        <v>0</v>
      </c>
      <c r="F76">
        <v>0</v>
      </c>
      <c r="G76">
        <v>0</v>
      </c>
      <c r="H76">
        <v>0</v>
      </c>
      <c r="I76">
        <v>0</v>
      </c>
      <c r="J76">
        <v>0</v>
      </c>
      <c r="L76">
        <v>0</v>
      </c>
      <c r="M76">
        <v>0</v>
      </c>
      <c r="N76">
        <v>0</v>
      </c>
      <c r="O76">
        <v>0</v>
      </c>
      <c r="P76">
        <v>0</v>
      </c>
      <c r="Q76">
        <v>0</v>
      </c>
      <c r="R76">
        <v>0</v>
      </c>
      <c r="S76">
        <v>0</v>
      </c>
      <c r="T76">
        <v>0</v>
      </c>
      <c r="U76">
        <v>0</v>
      </c>
      <c r="W76">
        <v>0</v>
      </c>
      <c r="X76">
        <v>0</v>
      </c>
      <c r="Y76">
        <v>0</v>
      </c>
      <c r="Z76">
        <v>0</v>
      </c>
      <c r="AA76">
        <v>0</v>
      </c>
      <c r="AB76">
        <v>0</v>
      </c>
      <c r="AC76">
        <v>0</v>
      </c>
      <c r="AD76">
        <v>0</v>
      </c>
      <c r="AE76">
        <v>0</v>
      </c>
      <c r="AF76">
        <v>0</v>
      </c>
      <c r="AH76" t="s">
        <v>679</v>
      </c>
      <c r="AI76" s="69" t="s">
        <v>1397</v>
      </c>
    </row>
    <row r="77" spans="1:35" x14ac:dyDescent="0.25">
      <c r="A77">
        <v>0</v>
      </c>
      <c r="B77">
        <v>0</v>
      </c>
      <c r="C77">
        <v>0</v>
      </c>
      <c r="D77">
        <v>0</v>
      </c>
      <c r="E77">
        <v>0</v>
      </c>
      <c r="F77">
        <v>0</v>
      </c>
      <c r="G77">
        <v>0</v>
      </c>
      <c r="H77">
        <v>0</v>
      </c>
      <c r="I77">
        <v>0</v>
      </c>
      <c r="J77">
        <v>0</v>
      </c>
      <c r="L77">
        <v>0</v>
      </c>
      <c r="M77">
        <v>0</v>
      </c>
      <c r="N77">
        <v>0</v>
      </c>
      <c r="O77">
        <v>0</v>
      </c>
      <c r="P77">
        <v>0</v>
      </c>
      <c r="Q77">
        <v>0</v>
      </c>
      <c r="R77">
        <v>0</v>
      </c>
      <c r="S77">
        <v>0</v>
      </c>
      <c r="T77">
        <v>0</v>
      </c>
      <c r="U77">
        <v>0</v>
      </c>
      <c r="W77">
        <v>0</v>
      </c>
      <c r="X77">
        <v>0</v>
      </c>
      <c r="Y77">
        <v>0</v>
      </c>
      <c r="Z77">
        <v>0</v>
      </c>
      <c r="AA77">
        <v>0</v>
      </c>
      <c r="AB77">
        <v>0</v>
      </c>
      <c r="AC77">
        <v>0</v>
      </c>
      <c r="AD77">
        <v>0</v>
      </c>
      <c r="AE77">
        <v>0</v>
      </c>
      <c r="AF77">
        <v>0</v>
      </c>
      <c r="AH77" t="s">
        <v>682</v>
      </c>
      <c r="AI77" t="s">
        <v>1401</v>
      </c>
    </row>
    <row r="78" spans="1:35" x14ac:dyDescent="0.25">
      <c r="A78">
        <v>5.0000000000000098</v>
      </c>
      <c r="B78">
        <v>3.9999999999999893</v>
      </c>
      <c r="C78">
        <v>3.0000000000000306</v>
      </c>
      <c r="D78">
        <v>2.0000000000000173</v>
      </c>
      <c r="E78">
        <v>1.0000000000000047</v>
      </c>
      <c r="F78">
        <v>-8.1174478080843552E-15</v>
      </c>
      <c r="G78">
        <v>0</v>
      </c>
      <c r="H78">
        <v>0</v>
      </c>
      <c r="I78">
        <v>0</v>
      </c>
      <c r="J78">
        <v>0</v>
      </c>
      <c r="L78">
        <v>14.999999999999988</v>
      </c>
      <c r="M78">
        <v>13.999999999999998</v>
      </c>
      <c r="N78">
        <v>13.000000000000021</v>
      </c>
      <c r="O78">
        <v>11.999999999999963</v>
      </c>
      <c r="P78">
        <v>10.999999999999989</v>
      </c>
      <c r="Q78">
        <v>10.000000000000014</v>
      </c>
      <c r="R78">
        <v>8.9999999999999947</v>
      </c>
      <c r="S78">
        <v>8.0000000000000036</v>
      </c>
      <c r="T78">
        <v>6.9999999999999947</v>
      </c>
      <c r="U78">
        <v>6.0000000000000053</v>
      </c>
      <c r="W78">
        <v>14.999999999999996</v>
      </c>
      <c r="X78">
        <v>14.000000000000018</v>
      </c>
      <c r="Y78">
        <v>13.000000000000032</v>
      </c>
      <c r="Z78">
        <v>12.000000000000009</v>
      </c>
      <c r="AA78">
        <v>11.000000000000007</v>
      </c>
      <c r="AB78">
        <v>9.9999999999999964</v>
      </c>
      <c r="AC78">
        <v>8.9999999999999982</v>
      </c>
      <c r="AD78">
        <v>8.0000000000000124</v>
      </c>
      <c r="AE78">
        <v>6.9869090909090907</v>
      </c>
      <c r="AF78">
        <v>5.4905454545454537</v>
      </c>
      <c r="AH78" t="s">
        <v>685</v>
      </c>
      <c r="AI78" t="s">
        <v>1407</v>
      </c>
    </row>
    <row r="79" spans="1:35" x14ac:dyDescent="0.25">
      <c r="A79">
        <v>10.000000000000011</v>
      </c>
      <c r="B79">
        <v>8.6666666666666536</v>
      </c>
      <c r="C79">
        <v>7.3333333333333677</v>
      </c>
      <c r="D79">
        <v>6.0000000000000195</v>
      </c>
      <c r="E79">
        <v>4.6666666666666723</v>
      </c>
      <c r="F79">
        <v>3.3333333333333242</v>
      </c>
      <c r="G79">
        <v>2</v>
      </c>
      <c r="H79">
        <v>0.66666666666666985</v>
      </c>
      <c r="I79">
        <v>0</v>
      </c>
      <c r="J79">
        <v>0</v>
      </c>
      <c r="L79">
        <v>9.9999999999999858</v>
      </c>
      <c r="M79">
        <v>8.6666666666666643</v>
      </c>
      <c r="N79">
        <v>7.3333333333333632</v>
      </c>
      <c r="O79">
        <v>5.999999999999952</v>
      </c>
      <c r="P79">
        <v>4.6666666666666545</v>
      </c>
      <c r="Q79">
        <v>3.3333333333333548</v>
      </c>
      <c r="R79">
        <v>1.9999999999999947</v>
      </c>
      <c r="S79">
        <v>0.66666666666667262</v>
      </c>
      <c r="T79">
        <v>0</v>
      </c>
      <c r="U79">
        <v>0</v>
      </c>
      <c r="W79">
        <v>19.999999999999993</v>
      </c>
      <c r="X79">
        <v>19.000000000000032</v>
      </c>
      <c r="Y79">
        <v>18.000000000000053</v>
      </c>
      <c r="Z79">
        <v>17.000000000000014</v>
      </c>
      <c r="AA79">
        <v>16.000000000000011</v>
      </c>
      <c r="AB79">
        <v>14.999999999999995</v>
      </c>
      <c r="AC79">
        <v>13.999999999999998</v>
      </c>
      <c r="AD79">
        <v>13.000000000000021</v>
      </c>
      <c r="AE79">
        <v>11.973818181818181</v>
      </c>
      <c r="AF79">
        <v>9.9810909090909092</v>
      </c>
      <c r="AH79" t="s">
        <v>689</v>
      </c>
      <c r="AI79" t="s">
        <v>1412</v>
      </c>
    </row>
    <row r="80" spans="1:35" x14ac:dyDescent="0.25">
      <c r="A80">
        <v>9.9999999999999982</v>
      </c>
      <c r="B80">
        <v>8.9999999999999982</v>
      </c>
      <c r="C80">
        <v>8</v>
      </c>
      <c r="D80">
        <v>7</v>
      </c>
      <c r="E80">
        <v>6</v>
      </c>
      <c r="F80">
        <v>4.9999999999999991</v>
      </c>
      <c r="G80">
        <v>4</v>
      </c>
      <c r="H80">
        <v>3</v>
      </c>
      <c r="I80">
        <v>2</v>
      </c>
      <c r="J80">
        <v>0</v>
      </c>
      <c r="L80">
        <v>9.9999999999999982</v>
      </c>
      <c r="M80">
        <v>8.9999999999999982</v>
      </c>
      <c r="N80">
        <v>8</v>
      </c>
      <c r="O80">
        <v>7</v>
      </c>
      <c r="P80">
        <v>6</v>
      </c>
      <c r="Q80">
        <v>4.9999999999999991</v>
      </c>
      <c r="R80">
        <v>4</v>
      </c>
      <c r="S80">
        <v>3</v>
      </c>
      <c r="T80">
        <v>2</v>
      </c>
      <c r="U80">
        <v>1</v>
      </c>
      <c r="W80">
        <v>9.9999999999999982</v>
      </c>
      <c r="X80">
        <v>8.9999999999999982</v>
      </c>
      <c r="Y80">
        <v>8</v>
      </c>
      <c r="Z80">
        <v>7</v>
      </c>
      <c r="AA80">
        <v>6</v>
      </c>
      <c r="AB80">
        <v>4.9999999999999991</v>
      </c>
      <c r="AC80">
        <v>4</v>
      </c>
      <c r="AD80">
        <v>3</v>
      </c>
      <c r="AE80">
        <v>2</v>
      </c>
      <c r="AF80">
        <v>1</v>
      </c>
      <c r="AH80" t="s">
        <v>692</v>
      </c>
      <c r="AI80" t="s">
        <v>1417</v>
      </c>
    </row>
    <row r="81" spans="1:35" x14ac:dyDescent="0.25">
      <c r="A81">
        <v>0</v>
      </c>
      <c r="B81">
        <v>0</v>
      </c>
      <c r="C81">
        <v>0</v>
      </c>
      <c r="D81">
        <v>0</v>
      </c>
      <c r="E81">
        <v>0</v>
      </c>
      <c r="F81">
        <v>0</v>
      </c>
      <c r="G81">
        <v>0</v>
      </c>
      <c r="H81">
        <v>0</v>
      </c>
      <c r="I81">
        <v>0</v>
      </c>
      <c r="J81">
        <v>0</v>
      </c>
      <c r="L81">
        <v>0</v>
      </c>
      <c r="M81">
        <v>0</v>
      </c>
      <c r="N81">
        <v>0</v>
      </c>
      <c r="O81">
        <v>0</v>
      </c>
      <c r="P81">
        <v>0</v>
      </c>
      <c r="Q81">
        <v>0</v>
      </c>
      <c r="R81">
        <v>0</v>
      </c>
      <c r="S81">
        <v>0</v>
      </c>
      <c r="T81">
        <v>0</v>
      </c>
      <c r="U81">
        <v>0</v>
      </c>
      <c r="W81">
        <v>0</v>
      </c>
      <c r="X81">
        <v>0</v>
      </c>
      <c r="Y81">
        <v>0</v>
      </c>
      <c r="Z81">
        <v>0</v>
      </c>
      <c r="AA81">
        <v>0</v>
      </c>
      <c r="AB81">
        <v>0</v>
      </c>
      <c r="AC81">
        <v>0</v>
      </c>
      <c r="AD81">
        <v>0</v>
      </c>
      <c r="AE81">
        <v>0</v>
      </c>
      <c r="AF81">
        <v>0</v>
      </c>
      <c r="AH81" t="s">
        <v>695</v>
      </c>
      <c r="AI81" t="s">
        <v>1424</v>
      </c>
    </row>
    <row r="82" spans="1:35" x14ac:dyDescent="0.25">
      <c r="A82">
        <v>0</v>
      </c>
      <c r="B82">
        <v>0</v>
      </c>
      <c r="C82">
        <v>0</v>
      </c>
      <c r="D82">
        <v>0</v>
      </c>
      <c r="E82">
        <v>0</v>
      </c>
      <c r="F82">
        <v>0</v>
      </c>
      <c r="G82">
        <v>0</v>
      </c>
      <c r="H82">
        <v>0</v>
      </c>
      <c r="I82">
        <v>0</v>
      </c>
      <c r="J82">
        <v>0</v>
      </c>
      <c r="L82">
        <v>0</v>
      </c>
      <c r="M82">
        <v>0</v>
      </c>
      <c r="N82">
        <v>0</v>
      </c>
      <c r="O82">
        <v>0</v>
      </c>
      <c r="P82">
        <v>0</v>
      </c>
      <c r="Q82">
        <v>0</v>
      </c>
      <c r="R82">
        <v>0</v>
      </c>
      <c r="S82">
        <v>0</v>
      </c>
      <c r="T82">
        <v>0</v>
      </c>
      <c r="U82">
        <v>0</v>
      </c>
      <c r="W82">
        <v>0</v>
      </c>
      <c r="X82">
        <v>0</v>
      </c>
      <c r="Y82">
        <v>0</v>
      </c>
      <c r="Z82">
        <v>0</v>
      </c>
      <c r="AA82">
        <v>0</v>
      </c>
      <c r="AB82">
        <v>0</v>
      </c>
      <c r="AC82">
        <v>0</v>
      </c>
      <c r="AD82">
        <v>0</v>
      </c>
      <c r="AE82">
        <v>0</v>
      </c>
      <c r="AF82">
        <v>0</v>
      </c>
      <c r="AH82" t="s">
        <v>698</v>
      </c>
      <c r="AI82" t="s">
        <v>1429</v>
      </c>
    </row>
    <row r="83" spans="1:35" x14ac:dyDescent="0.25">
      <c r="A83">
        <v>0</v>
      </c>
      <c r="B83">
        <v>0</v>
      </c>
      <c r="C83">
        <v>0</v>
      </c>
      <c r="D83">
        <v>0</v>
      </c>
      <c r="E83">
        <v>0</v>
      </c>
      <c r="F83">
        <v>0</v>
      </c>
      <c r="G83">
        <v>0</v>
      </c>
      <c r="H83">
        <v>0</v>
      </c>
      <c r="I83">
        <v>0</v>
      </c>
      <c r="J83">
        <v>0</v>
      </c>
      <c r="L83">
        <v>0</v>
      </c>
      <c r="M83">
        <v>0</v>
      </c>
      <c r="N83">
        <v>0</v>
      </c>
      <c r="O83">
        <v>0</v>
      </c>
      <c r="P83">
        <v>0</v>
      </c>
      <c r="Q83">
        <v>0</v>
      </c>
      <c r="R83">
        <v>0</v>
      </c>
      <c r="S83">
        <v>0</v>
      </c>
      <c r="T83">
        <v>0</v>
      </c>
      <c r="U83">
        <v>0</v>
      </c>
      <c r="W83">
        <v>0</v>
      </c>
      <c r="X83">
        <v>0</v>
      </c>
      <c r="Y83">
        <v>0</v>
      </c>
      <c r="Z83">
        <v>0</v>
      </c>
      <c r="AA83">
        <v>0</v>
      </c>
      <c r="AB83">
        <v>0</v>
      </c>
      <c r="AC83">
        <v>0</v>
      </c>
      <c r="AD83">
        <v>0</v>
      </c>
      <c r="AE83">
        <v>0</v>
      </c>
      <c r="AF83">
        <v>0</v>
      </c>
      <c r="AH83" t="s">
        <v>701</v>
      </c>
      <c r="AI83" t="s">
        <v>1435</v>
      </c>
    </row>
    <row r="84" spans="1:35" x14ac:dyDescent="0.25">
      <c r="A84">
        <v>5.1671402541177014E-15</v>
      </c>
      <c r="B84">
        <v>-3.006086272439891E-15</v>
      </c>
      <c r="C84">
        <v>9.0884307003177476E-15</v>
      </c>
      <c r="D84">
        <v>4.6342592416465963E-15</v>
      </c>
      <c r="E84">
        <v>1.9868600852564296E-15</v>
      </c>
      <c r="F84">
        <v>-1.9331312221993281E-15</v>
      </c>
      <c r="G84">
        <v>-4.9682455158501623E-16</v>
      </c>
      <c r="H84">
        <v>7.4125284171957975E-16</v>
      </c>
      <c r="I84">
        <v>5.5621919752057509E-17</v>
      </c>
      <c r="J84">
        <v>0</v>
      </c>
      <c r="L84">
        <v>0</v>
      </c>
      <c r="M84">
        <v>0</v>
      </c>
      <c r="N84">
        <v>0</v>
      </c>
      <c r="O84">
        <v>0</v>
      </c>
      <c r="P84">
        <v>0</v>
      </c>
      <c r="Q84">
        <v>0</v>
      </c>
      <c r="R84">
        <v>0</v>
      </c>
      <c r="S84">
        <v>0</v>
      </c>
      <c r="T84">
        <v>0</v>
      </c>
      <c r="U84">
        <v>0</v>
      </c>
      <c r="W84">
        <v>-5.8720014210900043E-16</v>
      </c>
      <c r="X84">
        <v>6.8869008401739839E-15</v>
      </c>
      <c r="Y84">
        <v>1.0141653074686745E-14</v>
      </c>
      <c r="Z84">
        <v>3.1511776161236804E-15</v>
      </c>
      <c r="AA84">
        <v>3.0534367051103518E-15</v>
      </c>
      <c r="AB84">
        <v>-7.3358680242314191E-16</v>
      </c>
      <c r="AC84">
        <v>-5.8077052293528031E-16</v>
      </c>
      <c r="AD84">
        <v>3.6735192784460449E-15</v>
      </c>
      <c r="AE84">
        <v>7.4905266888738784E-16</v>
      </c>
      <c r="AF84">
        <v>9.5604899905890985E-16</v>
      </c>
      <c r="AH84" t="s">
        <v>705</v>
      </c>
      <c r="AI84" t="s">
        <v>1440</v>
      </c>
    </row>
    <row r="85" spans="1:35" x14ac:dyDescent="0.25">
      <c r="A85">
        <v>30.000000000000014</v>
      </c>
      <c r="B85">
        <v>26.333333333333314</v>
      </c>
      <c r="C85">
        <v>22.666666666666714</v>
      </c>
      <c r="D85">
        <v>19.000000000000025</v>
      </c>
      <c r="E85">
        <v>15.333333333333341</v>
      </c>
      <c r="F85">
        <v>11.666666666666654</v>
      </c>
      <c r="G85">
        <v>9.0000000000000018</v>
      </c>
      <c r="H85">
        <v>6.3333333333333348</v>
      </c>
      <c r="I85">
        <v>4.5000000000000009</v>
      </c>
      <c r="J85">
        <v>0</v>
      </c>
      <c r="L85">
        <v>39.999999999999979</v>
      </c>
      <c r="M85">
        <v>36.333333333333336</v>
      </c>
      <c r="N85">
        <v>32.666666666666707</v>
      </c>
      <c r="O85">
        <v>28.999999999999943</v>
      </c>
      <c r="P85">
        <v>25.333333333333318</v>
      </c>
      <c r="Q85">
        <v>21.666666666666693</v>
      </c>
      <c r="R85">
        <v>17.999999999999993</v>
      </c>
      <c r="S85">
        <v>14.333333333333339</v>
      </c>
      <c r="T85">
        <v>11.5</v>
      </c>
      <c r="U85">
        <v>9.5000000000000018</v>
      </c>
      <c r="W85">
        <v>44.999999999999986</v>
      </c>
      <c r="X85">
        <v>41.750000000000043</v>
      </c>
      <c r="Y85">
        <v>38.500000000000071</v>
      </c>
      <c r="Z85">
        <v>35.250000000000021</v>
      </c>
      <c r="AA85">
        <v>32.000000000000014</v>
      </c>
      <c r="AB85">
        <v>28.749999999999989</v>
      </c>
      <c r="AC85">
        <v>25.5</v>
      </c>
      <c r="AD85">
        <v>22.250000000000028</v>
      </c>
      <c r="AE85">
        <v>18.970545454545455</v>
      </c>
      <c r="AF85">
        <v>14.603727272727273</v>
      </c>
      <c r="AH85" t="s">
        <v>709</v>
      </c>
      <c r="AI85" t="s">
        <v>1444</v>
      </c>
    </row>
    <row r="86" spans="1:35" x14ac:dyDescent="0.25">
      <c r="A86">
        <v>0</v>
      </c>
      <c r="B86">
        <v>0</v>
      </c>
      <c r="C86">
        <v>0</v>
      </c>
      <c r="D86">
        <v>0</v>
      </c>
      <c r="E86">
        <v>0</v>
      </c>
      <c r="F86">
        <v>0</v>
      </c>
      <c r="G86">
        <v>0</v>
      </c>
      <c r="H86">
        <v>0</v>
      </c>
      <c r="I86">
        <v>0</v>
      </c>
      <c r="J86">
        <v>0</v>
      </c>
      <c r="L86">
        <v>1.4982073882606169E-15</v>
      </c>
      <c r="M86">
        <v>6.3424288705546436E-16</v>
      </c>
      <c r="N86">
        <v>-3.9748162382142059E-15</v>
      </c>
      <c r="O86">
        <v>6.6931692287145653E-15</v>
      </c>
      <c r="P86">
        <v>1.8244676267065222E-15</v>
      </c>
      <c r="Q86">
        <v>-2.6247066989613851E-15</v>
      </c>
      <c r="R86">
        <v>9.7841239047921626E-16</v>
      </c>
      <c r="S86">
        <v>-7.3852315049096143E-16</v>
      </c>
      <c r="T86">
        <v>6.7377653672222733E-16</v>
      </c>
      <c r="U86">
        <v>-1.4546484822654162E-15</v>
      </c>
      <c r="W86">
        <v>0</v>
      </c>
      <c r="X86">
        <v>0</v>
      </c>
      <c r="Y86">
        <v>0</v>
      </c>
      <c r="Z86">
        <v>0</v>
      </c>
      <c r="AA86">
        <v>0</v>
      </c>
      <c r="AB86">
        <v>0</v>
      </c>
      <c r="AC86">
        <v>0</v>
      </c>
      <c r="AD86">
        <v>0</v>
      </c>
      <c r="AE86">
        <v>0</v>
      </c>
      <c r="AF86">
        <v>0</v>
      </c>
      <c r="AH86" t="s">
        <v>712</v>
      </c>
      <c r="AI86" t="s">
        <v>1446</v>
      </c>
    </row>
    <row r="87" spans="1:35" x14ac:dyDescent="0.25">
      <c r="A87">
        <v>35.000000000000021</v>
      </c>
      <c r="B87">
        <v>30.999999999999972</v>
      </c>
      <c r="C87">
        <v>27.00000000000005</v>
      </c>
      <c r="D87">
        <v>23.000000000000025</v>
      </c>
      <c r="E87">
        <v>19.000000000000011</v>
      </c>
      <c r="F87">
        <v>14.999999999999982</v>
      </c>
      <c r="G87">
        <v>11</v>
      </c>
      <c r="H87">
        <v>7.0000000000000044</v>
      </c>
      <c r="I87">
        <v>2.5000000000000022</v>
      </c>
      <c r="J87">
        <v>0</v>
      </c>
      <c r="L87">
        <v>44.999999999999979</v>
      </c>
      <c r="M87">
        <v>41</v>
      </c>
      <c r="N87">
        <v>37.000000000000057</v>
      </c>
      <c r="O87">
        <v>32.999999999999915</v>
      </c>
      <c r="P87">
        <v>28.999999999999972</v>
      </c>
      <c r="Q87">
        <v>25.000000000000039</v>
      </c>
      <c r="R87">
        <v>20.999999999999989</v>
      </c>
      <c r="S87">
        <v>17.000000000000011</v>
      </c>
      <c r="T87">
        <v>12.499999999999986</v>
      </c>
      <c r="U87">
        <v>7.5000000000000222</v>
      </c>
      <c r="W87">
        <v>49.999999999999986</v>
      </c>
      <c r="X87">
        <v>45.750000000000028</v>
      </c>
      <c r="Y87">
        <v>41.50000000000005</v>
      </c>
      <c r="Z87">
        <v>37.250000000000007</v>
      </c>
      <c r="AA87">
        <v>33.000000000000014</v>
      </c>
      <c r="AB87">
        <v>28.749999999999989</v>
      </c>
      <c r="AC87">
        <v>24.499999999999996</v>
      </c>
      <c r="AD87">
        <v>20.250000000000018</v>
      </c>
      <c r="AE87">
        <v>15.996727272727272</v>
      </c>
      <c r="AF87">
        <v>11.622636363636364</v>
      </c>
      <c r="AH87" t="s">
        <v>254</v>
      </c>
      <c r="AI87" s="60" t="s">
        <v>1450</v>
      </c>
    </row>
    <row r="88" spans="1:35" x14ac:dyDescent="0.25">
      <c r="A88">
        <v>4.783985989421439E-15</v>
      </c>
      <c r="B88">
        <v>-2.9343840377706592E-15</v>
      </c>
      <c r="C88">
        <v>9.6541749365820893E-15</v>
      </c>
      <c r="D88">
        <v>5.6808873344512861E-15</v>
      </c>
      <c r="E88">
        <v>1.3930331953232059E-15</v>
      </c>
      <c r="F88">
        <v>-2.674279237345479E-15</v>
      </c>
      <c r="G88">
        <v>2.0000000000000009</v>
      </c>
      <c r="H88">
        <v>3.9999999999999951</v>
      </c>
      <c r="I88">
        <v>5.9999999999999982</v>
      </c>
      <c r="J88">
        <v>0</v>
      </c>
      <c r="L88">
        <v>2.3247519867615305E-15</v>
      </c>
      <c r="M88">
        <v>4.8089259178432681E-17</v>
      </c>
      <c r="N88">
        <v>-3.8109039980152983E-15</v>
      </c>
      <c r="O88">
        <v>8.3777193537502638E-15</v>
      </c>
      <c r="P88">
        <v>2.5890646247353599E-15</v>
      </c>
      <c r="Q88">
        <v>-3.8603690914357499E-15</v>
      </c>
      <c r="R88">
        <v>5.4067720910670856E-16</v>
      </c>
      <c r="S88">
        <v>-6.1127790987413352E-16</v>
      </c>
      <c r="T88">
        <v>1.1508262372688175E-15</v>
      </c>
      <c r="U88">
        <v>4.2461667748370433E-17</v>
      </c>
      <c r="W88">
        <v>2.9123025607379627E-27</v>
      </c>
      <c r="X88">
        <v>-2.7826974729564307E-28</v>
      </c>
      <c r="Y88">
        <v>6.747088393332715E-28</v>
      </c>
      <c r="Z88">
        <v>2.7064591860261171E-28</v>
      </c>
      <c r="AA88">
        <v>-5.1460843677961388E-28</v>
      </c>
      <c r="AB88">
        <v>-6.375426744547438E-28</v>
      </c>
      <c r="AC88">
        <v>1.0902075031034782E-27</v>
      </c>
      <c r="AD88">
        <v>-7.528530834368425E-29</v>
      </c>
      <c r="AE88">
        <v>3.7166164878527669E-28</v>
      </c>
      <c r="AF88">
        <v>9.0914157164398451E-28</v>
      </c>
      <c r="AH88" t="s">
        <v>718</v>
      </c>
      <c r="AI88" s="73" t="s">
        <v>1453</v>
      </c>
    </row>
    <row r="89" spans="1:35" x14ac:dyDescent="0.25">
      <c r="A89">
        <v>0</v>
      </c>
      <c r="B89">
        <v>0</v>
      </c>
      <c r="C89">
        <v>0</v>
      </c>
      <c r="D89">
        <v>0</v>
      </c>
      <c r="E89">
        <v>0</v>
      </c>
      <c r="F89">
        <v>0</v>
      </c>
      <c r="G89">
        <v>0</v>
      </c>
      <c r="H89">
        <v>0</v>
      </c>
      <c r="I89">
        <v>0</v>
      </c>
      <c r="J89">
        <v>0</v>
      </c>
      <c r="L89">
        <v>0</v>
      </c>
      <c r="M89">
        <v>0</v>
      </c>
      <c r="N89">
        <v>0</v>
      </c>
      <c r="O89">
        <v>0</v>
      </c>
      <c r="P89">
        <v>0</v>
      </c>
      <c r="Q89">
        <v>0</v>
      </c>
      <c r="R89">
        <v>0</v>
      </c>
      <c r="S89">
        <v>0</v>
      </c>
      <c r="T89">
        <v>0</v>
      </c>
      <c r="U89">
        <v>0</v>
      </c>
      <c r="W89">
        <v>0</v>
      </c>
      <c r="X89">
        <v>0</v>
      </c>
      <c r="Y89">
        <v>0</v>
      </c>
      <c r="Z89">
        <v>0</v>
      </c>
      <c r="AA89">
        <v>0</v>
      </c>
      <c r="AB89">
        <v>0</v>
      </c>
      <c r="AC89">
        <v>0</v>
      </c>
      <c r="AD89">
        <v>0</v>
      </c>
      <c r="AE89">
        <v>0</v>
      </c>
      <c r="AF89">
        <v>0</v>
      </c>
      <c r="AH89" t="s">
        <v>722</v>
      </c>
      <c r="AI89" s="60" t="s">
        <v>1456</v>
      </c>
    </row>
    <row r="90" spans="1:35" x14ac:dyDescent="0.25">
      <c r="A90">
        <v>-5.0000000000000009</v>
      </c>
      <c r="B90">
        <v>-4.6666666666666652</v>
      </c>
      <c r="C90">
        <v>-4.3333333333333357</v>
      </c>
      <c r="D90">
        <v>-4.0000000000000009</v>
      </c>
      <c r="E90">
        <v>-3.6666666666666679</v>
      </c>
      <c r="F90">
        <v>-3.333333333333333</v>
      </c>
      <c r="G90">
        <v>-1.9999999999999998</v>
      </c>
      <c r="H90">
        <v>-0.66666666666666974</v>
      </c>
      <c r="I90">
        <v>2.5436353353054005E-30</v>
      </c>
      <c r="J90">
        <v>0</v>
      </c>
      <c r="L90">
        <v>-4.9999999999999982</v>
      </c>
      <c r="M90">
        <v>-4.6666666666666652</v>
      </c>
      <c r="N90">
        <v>-4.333333333333341</v>
      </c>
      <c r="O90">
        <v>-3.9999999999999889</v>
      </c>
      <c r="P90">
        <v>-3.666666666666663</v>
      </c>
      <c r="Q90">
        <v>-3.3333333333333379</v>
      </c>
      <c r="R90">
        <v>-2.9999999999999991</v>
      </c>
      <c r="S90">
        <v>-2.6666666666666679</v>
      </c>
      <c r="T90">
        <v>-3.0000000000000044</v>
      </c>
      <c r="U90">
        <v>-3.9999999999999942</v>
      </c>
      <c r="W90">
        <v>-5.0000000000000009</v>
      </c>
      <c r="X90">
        <v>-5.0000000000000062</v>
      </c>
      <c r="Y90">
        <v>-5.0000000000000115</v>
      </c>
      <c r="Z90">
        <v>-5.0000000000000044</v>
      </c>
      <c r="AA90">
        <v>-5.0000000000000036</v>
      </c>
      <c r="AB90">
        <v>-5</v>
      </c>
      <c r="AC90">
        <v>-5</v>
      </c>
      <c r="AD90">
        <v>-5.0000000000000044</v>
      </c>
      <c r="AE90">
        <v>-4.986909090909089</v>
      </c>
      <c r="AF90">
        <v>-4.4905454545454528</v>
      </c>
      <c r="AH90" t="s">
        <v>726</v>
      </c>
      <c r="AI90" t="s">
        <v>1461</v>
      </c>
    </row>
    <row r="91" spans="1:35" x14ac:dyDescent="0.25">
      <c r="A91">
        <v>0</v>
      </c>
      <c r="B91">
        <v>0</v>
      </c>
      <c r="C91">
        <v>0</v>
      </c>
      <c r="D91">
        <v>0</v>
      </c>
      <c r="E91">
        <v>0</v>
      </c>
      <c r="F91">
        <v>0</v>
      </c>
      <c r="G91">
        <v>0</v>
      </c>
      <c r="H91">
        <v>0</v>
      </c>
      <c r="I91">
        <v>0</v>
      </c>
      <c r="J91">
        <v>0</v>
      </c>
      <c r="L91">
        <v>0</v>
      </c>
      <c r="M91">
        <v>0</v>
      </c>
      <c r="N91">
        <v>0</v>
      </c>
      <c r="O91">
        <v>0</v>
      </c>
      <c r="P91">
        <v>0</v>
      </c>
      <c r="Q91">
        <v>0</v>
      </c>
      <c r="R91">
        <v>0</v>
      </c>
      <c r="S91">
        <v>0</v>
      </c>
      <c r="T91">
        <v>0</v>
      </c>
      <c r="U91">
        <v>0</v>
      </c>
      <c r="W91">
        <v>0</v>
      </c>
      <c r="X91">
        <v>0</v>
      </c>
      <c r="Y91">
        <v>0</v>
      </c>
      <c r="Z91">
        <v>0</v>
      </c>
      <c r="AA91">
        <v>0</v>
      </c>
      <c r="AB91">
        <v>0</v>
      </c>
      <c r="AC91">
        <v>0</v>
      </c>
      <c r="AD91">
        <v>0</v>
      </c>
      <c r="AE91">
        <v>1.3090909090911025E-2</v>
      </c>
      <c r="AF91">
        <v>0.50945454545454871</v>
      </c>
      <c r="AH91" t="s">
        <v>729</v>
      </c>
      <c r="AI91" t="s">
        <v>1465</v>
      </c>
    </row>
    <row r="92" spans="1:35" x14ac:dyDescent="0.25">
      <c r="A92">
        <v>0</v>
      </c>
      <c r="B92">
        <v>0</v>
      </c>
      <c r="C92">
        <v>0</v>
      </c>
      <c r="D92">
        <v>0</v>
      </c>
      <c r="E92">
        <v>0</v>
      </c>
      <c r="F92">
        <v>0</v>
      </c>
      <c r="G92">
        <v>0</v>
      </c>
      <c r="H92">
        <v>0</v>
      </c>
      <c r="I92">
        <v>0</v>
      </c>
      <c r="J92">
        <v>0</v>
      </c>
      <c r="L92">
        <v>0</v>
      </c>
      <c r="M92">
        <v>0</v>
      </c>
      <c r="N92">
        <v>0</v>
      </c>
      <c r="O92">
        <v>0</v>
      </c>
      <c r="P92">
        <v>0</v>
      </c>
      <c r="Q92">
        <v>0</v>
      </c>
      <c r="R92">
        <v>0</v>
      </c>
      <c r="S92">
        <v>0</v>
      </c>
      <c r="T92">
        <v>0</v>
      </c>
      <c r="U92">
        <v>0</v>
      </c>
      <c r="W92">
        <v>0</v>
      </c>
      <c r="X92">
        <v>0</v>
      </c>
      <c r="Y92">
        <v>0</v>
      </c>
      <c r="Z92">
        <v>0</v>
      </c>
      <c r="AA92">
        <v>0</v>
      </c>
      <c r="AB92">
        <v>0</v>
      </c>
      <c r="AC92">
        <v>0</v>
      </c>
      <c r="AD92">
        <v>0</v>
      </c>
      <c r="AE92">
        <v>0</v>
      </c>
      <c r="AF92">
        <v>0</v>
      </c>
      <c r="AH92" t="s">
        <v>733</v>
      </c>
      <c r="AI92" t="s">
        <v>1469</v>
      </c>
    </row>
    <row r="93" spans="1:35" x14ac:dyDescent="0.25">
      <c r="A93">
        <v>0</v>
      </c>
      <c r="B93">
        <v>0</v>
      </c>
      <c r="C93">
        <v>0</v>
      </c>
      <c r="D93">
        <v>0</v>
      </c>
      <c r="E93">
        <v>0</v>
      </c>
      <c r="F93">
        <v>0</v>
      </c>
      <c r="G93">
        <v>0</v>
      </c>
      <c r="H93">
        <v>0</v>
      </c>
      <c r="I93">
        <v>0</v>
      </c>
      <c r="J93">
        <v>0</v>
      </c>
      <c r="L93">
        <v>0</v>
      </c>
      <c r="M93">
        <v>0</v>
      </c>
      <c r="N93">
        <v>0</v>
      </c>
      <c r="O93">
        <v>0</v>
      </c>
      <c r="P93">
        <v>0</v>
      </c>
      <c r="Q93">
        <v>0</v>
      </c>
      <c r="R93">
        <v>0</v>
      </c>
      <c r="S93">
        <v>0</v>
      </c>
      <c r="T93">
        <v>0</v>
      </c>
      <c r="U93">
        <v>0</v>
      </c>
      <c r="W93">
        <v>0</v>
      </c>
      <c r="X93">
        <v>0</v>
      </c>
      <c r="Y93">
        <v>0</v>
      </c>
      <c r="Z93">
        <v>0</v>
      </c>
      <c r="AA93">
        <v>0</v>
      </c>
      <c r="AB93">
        <v>0</v>
      </c>
      <c r="AC93">
        <v>0</v>
      </c>
      <c r="AD93">
        <v>0</v>
      </c>
      <c r="AE93">
        <v>0</v>
      </c>
      <c r="AF93">
        <v>0</v>
      </c>
      <c r="AH93" t="s">
        <v>737</v>
      </c>
      <c r="AI93" t="s">
        <v>1473</v>
      </c>
    </row>
    <row r="94" spans="1:35" x14ac:dyDescent="0.25">
      <c r="A94">
        <v>0</v>
      </c>
      <c r="B94">
        <v>0</v>
      </c>
      <c r="C94">
        <v>0</v>
      </c>
      <c r="D94">
        <v>0</v>
      </c>
      <c r="E94">
        <v>0</v>
      </c>
      <c r="F94">
        <v>0</v>
      </c>
      <c r="G94">
        <v>0</v>
      </c>
      <c r="H94">
        <v>0</v>
      </c>
      <c r="I94">
        <v>0</v>
      </c>
      <c r="J94">
        <v>0</v>
      </c>
      <c r="L94">
        <v>0</v>
      </c>
      <c r="M94">
        <v>0</v>
      </c>
      <c r="N94">
        <v>0</v>
      </c>
      <c r="O94">
        <v>0</v>
      </c>
      <c r="P94">
        <v>0</v>
      </c>
      <c r="Q94">
        <v>0</v>
      </c>
      <c r="R94">
        <v>0</v>
      </c>
      <c r="S94">
        <v>0</v>
      </c>
      <c r="T94">
        <v>0</v>
      </c>
      <c r="U94">
        <v>0</v>
      </c>
      <c r="W94">
        <v>0</v>
      </c>
      <c r="X94">
        <v>0</v>
      </c>
      <c r="Y94">
        <v>0</v>
      </c>
      <c r="Z94">
        <v>0</v>
      </c>
      <c r="AA94">
        <v>0</v>
      </c>
      <c r="AB94">
        <v>0</v>
      </c>
      <c r="AC94">
        <v>0</v>
      </c>
      <c r="AD94">
        <v>0</v>
      </c>
      <c r="AE94">
        <v>0</v>
      </c>
      <c r="AF94">
        <v>0</v>
      </c>
      <c r="AH94" t="s">
        <v>746</v>
      </c>
      <c r="AI94" t="s">
        <v>1480</v>
      </c>
    </row>
    <row r="95" spans="1:35" x14ac:dyDescent="0.25">
      <c r="A95">
        <v>0</v>
      </c>
      <c r="B95">
        <v>0</v>
      </c>
      <c r="C95">
        <v>0</v>
      </c>
      <c r="D95">
        <v>0</v>
      </c>
      <c r="E95">
        <v>0</v>
      </c>
      <c r="F95">
        <v>0</v>
      </c>
      <c r="G95">
        <v>0</v>
      </c>
      <c r="H95">
        <v>0</v>
      </c>
      <c r="I95">
        <v>0</v>
      </c>
      <c r="J95">
        <v>0</v>
      </c>
      <c r="L95">
        <v>0</v>
      </c>
      <c r="M95">
        <v>0</v>
      </c>
      <c r="N95">
        <v>0</v>
      </c>
      <c r="O95">
        <v>0</v>
      </c>
      <c r="P95">
        <v>0</v>
      </c>
      <c r="Q95">
        <v>3.4022994151184097E-30</v>
      </c>
      <c r="R95">
        <v>0</v>
      </c>
      <c r="S95">
        <v>0</v>
      </c>
      <c r="T95">
        <v>0</v>
      </c>
      <c r="U95">
        <v>1.7011497075592048E-30</v>
      </c>
      <c r="W95">
        <v>0</v>
      </c>
      <c r="X95">
        <v>0</v>
      </c>
      <c r="Y95">
        <v>0</v>
      </c>
      <c r="Z95">
        <v>0</v>
      </c>
      <c r="AA95">
        <v>0</v>
      </c>
      <c r="AB95">
        <v>0</v>
      </c>
      <c r="AC95">
        <v>0</v>
      </c>
      <c r="AD95">
        <v>0</v>
      </c>
      <c r="AE95">
        <v>0</v>
      </c>
      <c r="AF95">
        <v>0</v>
      </c>
      <c r="AH95" t="s">
        <v>1484</v>
      </c>
      <c r="AI95" t="s">
        <v>1486</v>
      </c>
    </row>
    <row r="96" spans="1:35" x14ac:dyDescent="0.25">
      <c r="A96">
        <v>0</v>
      </c>
      <c r="B96">
        <v>0</v>
      </c>
      <c r="C96">
        <v>0</v>
      </c>
      <c r="D96">
        <v>0</v>
      </c>
      <c r="E96">
        <v>0</v>
      </c>
      <c r="F96">
        <v>0</v>
      </c>
      <c r="G96">
        <v>0</v>
      </c>
      <c r="H96">
        <v>0</v>
      </c>
      <c r="I96">
        <v>0</v>
      </c>
      <c r="J96">
        <v>0</v>
      </c>
      <c r="L96">
        <v>0</v>
      </c>
      <c r="M96">
        <v>0</v>
      </c>
      <c r="N96">
        <v>0</v>
      </c>
      <c r="O96">
        <v>0</v>
      </c>
      <c r="P96">
        <v>0</v>
      </c>
      <c r="Q96">
        <v>0</v>
      </c>
      <c r="R96">
        <v>0</v>
      </c>
      <c r="S96">
        <v>0</v>
      </c>
      <c r="T96">
        <v>0</v>
      </c>
      <c r="U96">
        <v>0</v>
      </c>
      <c r="W96">
        <v>0</v>
      </c>
      <c r="X96">
        <v>0</v>
      </c>
      <c r="Y96">
        <v>0</v>
      </c>
      <c r="Z96">
        <v>0</v>
      </c>
      <c r="AA96">
        <v>0</v>
      </c>
      <c r="AB96">
        <v>0</v>
      </c>
      <c r="AC96">
        <v>0</v>
      </c>
      <c r="AD96">
        <v>0</v>
      </c>
      <c r="AE96">
        <v>0</v>
      </c>
      <c r="AF96">
        <v>0</v>
      </c>
      <c r="AH96" t="s">
        <v>1490</v>
      </c>
      <c r="AI96" t="s">
        <v>1491</v>
      </c>
    </row>
    <row r="97" spans="1:35" x14ac:dyDescent="0.25">
      <c r="A97">
        <v>0</v>
      </c>
      <c r="B97">
        <v>0</v>
      </c>
      <c r="C97">
        <v>0</v>
      </c>
      <c r="D97">
        <v>0</v>
      </c>
      <c r="E97">
        <v>0</v>
      </c>
      <c r="F97">
        <v>0</v>
      </c>
      <c r="G97">
        <v>0</v>
      </c>
      <c r="H97">
        <v>0</v>
      </c>
      <c r="I97">
        <v>0</v>
      </c>
      <c r="J97">
        <v>0</v>
      </c>
      <c r="L97">
        <v>0</v>
      </c>
      <c r="M97">
        <v>0</v>
      </c>
      <c r="N97">
        <v>0</v>
      </c>
      <c r="O97">
        <v>0</v>
      </c>
      <c r="P97">
        <v>0</v>
      </c>
      <c r="Q97">
        <v>0</v>
      </c>
      <c r="R97">
        <v>0</v>
      </c>
      <c r="S97">
        <v>0</v>
      </c>
      <c r="T97">
        <v>0</v>
      </c>
      <c r="U97">
        <v>0</v>
      </c>
      <c r="W97">
        <v>0</v>
      </c>
      <c r="X97">
        <v>0</v>
      </c>
      <c r="Y97">
        <v>0</v>
      </c>
      <c r="Z97">
        <v>0</v>
      </c>
      <c r="AA97">
        <v>0</v>
      </c>
      <c r="AB97">
        <v>0</v>
      </c>
      <c r="AC97">
        <v>0</v>
      </c>
      <c r="AD97">
        <v>0</v>
      </c>
      <c r="AE97">
        <v>0</v>
      </c>
      <c r="AF97">
        <v>0</v>
      </c>
      <c r="AH97" t="s">
        <v>1495</v>
      </c>
      <c r="AI97" t="s">
        <v>1496</v>
      </c>
    </row>
    <row r="98" spans="1:35" x14ac:dyDescent="0.25">
      <c r="A98">
        <v>0</v>
      </c>
      <c r="B98">
        <v>0</v>
      </c>
      <c r="C98">
        <v>0</v>
      </c>
      <c r="D98">
        <v>0</v>
      </c>
      <c r="E98">
        <v>0</v>
      </c>
      <c r="F98">
        <v>0</v>
      </c>
      <c r="G98">
        <v>0</v>
      </c>
      <c r="H98">
        <v>0</v>
      </c>
      <c r="I98">
        <v>0</v>
      </c>
      <c r="J98">
        <v>0</v>
      </c>
      <c r="L98">
        <v>0</v>
      </c>
      <c r="M98">
        <v>0</v>
      </c>
      <c r="N98">
        <v>0</v>
      </c>
      <c r="O98">
        <v>0</v>
      </c>
      <c r="P98">
        <v>0</v>
      </c>
      <c r="Q98">
        <v>0</v>
      </c>
      <c r="R98">
        <v>0</v>
      </c>
      <c r="S98">
        <v>0</v>
      </c>
      <c r="T98">
        <v>0</v>
      </c>
      <c r="U98">
        <v>0</v>
      </c>
      <c r="W98">
        <v>0</v>
      </c>
      <c r="X98">
        <v>0</v>
      </c>
      <c r="Y98">
        <v>0</v>
      </c>
      <c r="Z98">
        <v>0</v>
      </c>
      <c r="AA98">
        <v>0</v>
      </c>
      <c r="AB98">
        <v>0</v>
      </c>
      <c r="AC98">
        <v>0</v>
      </c>
      <c r="AD98">
        <v>0</v>
      </c>
      <c r="AE98">
        <v>0</v>
      </c>
      <c r="AF98">
        <v>0</v>
      </c>
      <c r="AH98" t="s">
        <v>1500</v>
      </c>
      <c r="AI98" t="s">
        <v>1502</v>
      </c>
    </row>
    <row r="99" spans="1:35" x14ac:dyDescent="0.25">
      <c r="A99">
        <v>10</v>
      </c>
      <c r="B99">
        <v>10</v>
      </c>
      <c r="C99">
        <v>10</v>
      </c>
      <c r="D99">
        <v>10</v>
      </c>
      <c r="E99">
        <v>10</v>
      </c>
      <c r="F99">
        <v>10</v>
      </c>
      <c r="G99">
        <v>10</v>
      </c>
      <c r="H99">
        <v>10</v>
      </c>
      <c r="I99">
        <v>10</v>
      </c>
      <c r="J99">
        <v>0</v>
      </c>
      <c r="L99">
        <v>10</v>
      </c>
      <c r="M99">
        <v>10</v>
      </c>
      <c r="N99">
        <v>10</v>
      </c>
      <c r="O99">
        <v>10</v>
      </c>
      <c r="P99">
        <v>10</v>
      </c>
      <c r="Q99">
        <v>10</v>
      </c>
      <c r="R99">
        <v>10</v>
      </c>
      <c r="S99">
        <v>10</v>
      </c>
      <c r="T99">
        <v>10</v>
      </c>
      <c r="U99">
        <v>10</v>
      </c>
      <c r="W99">
        <v>10</v>
      </c>
      <c r="X99">
        <v>10</v>
      </c>
      <c r="Y99">
        <v>10</v>
      </c>
      <c r="Z99">
        <v>10</v>
      </c>
      <c r="AA99">
        <v>10</v>
      </c>
      <c r="AB99">
        <v>10</v>
      </c>
      <c r="AC99">
        <v>10</v>
      </c>
      <c r="AD99">
        <v>10</v>
      </c>
      <c r="AE99">
        <v>10</v>
      </c>
      <c r="AF99">
        <v>10</v>
      </c>
      <c r="AH99" t="s">
        <v>751</v>
      </c>
      <c r="AI99" t="s">
        <v>1507</v>
      </c>
    </row>
    <row r="100" spans="1:35" x14ac:dyDescent="0.25">
      <c r="A100">
        <v>-19.999999999999989</v>
      </c>
      <c r="B100">
        <v>-18.666666666666682</v>
      </c>
      <c r="C100">
        <v>-17.333333333333314</v>
      </c>
      <c r="D100">
        <v>-15.999999999999986</v>
      </c>
      <c r="E100">
        <v>-14.666666666666661</v>
      </c>
      <c r="F100">
        <v>-13.333333333333337</v>
      </c>
      <c r="G100">
        <v>-11.999999999999998</v>
      </c>
      <c r="H100">
        <v>-10.666666666666664</v>
      </c>
      <c r="I100">
        <v>-12.999999999999993</v>
      </c>
      <c r="J100">
        <v>0</v>
      </c>
      <c r="L100">
        <v>-20</v>
      </c>
      <c r="M100">
        <v>-18.666666666666657</v>
      </c>
      <c r="N100">
        <v>-17.333333333333311</v>
      </c>
      <c r="O100">
        <v>-16.000000000000025</v>
      </c>
      <c r="P100">
        <v>-14.666666666666679</v>
      </c>
      <c r="Q100">
        <v>-13.333333333333318</v>
      </c>
      <c r="R100">
        <v>-12.000000000000004</v>
      </c>
      <c r="S100">
        <v>-10.666666666666663</v>
      </c>
      <c r="T100">
        <v>-13.000000000000032</v>
      </c>
      <c r="U100">
        <v>-18.99999999999995</v>
      </c>
      <c r="W100">
        <v>-19.999999999999993</v>
      </c>
      <c r="X100">
        <v>-20.500000000000043</v>
      </c>
      <c r="Y100">
        <v>-21.00000000000006</v>
      </c>
      <c r="Z100">
        <v>-21.500000000000021</v>
      </c>
      <c r="AA100">
        <v>-22.000000000000014</v>
      </c>
      <c r="AB100">
        <v>-22.499999999999993</v>
      </c>
      <c r="AC100">
        <v>-22.999999999999993</v>
      </c>
      <c r="AD100">
        <v>-23.500000000000021</v>
      </c>
      <c r="AE100">
        <v>-23.960727272727269</v>
      </c>
      <c r="AF100">
        <v>-22.971636363636364</v>
      </c>
      <c r="AH100" t="s">
        <v>756</v>
      </c>
      <c r="AI100" t="s">
        <v>1508</v>
      </c>
    </row>
    <row r="101" spans="1:35" x14ac:dyDescent="0.25">
      <c r="A101">
        <v>-8.8817841970012523E-15</v>
      </c>
      <c r="B101">
        <v>-2.3092638912203256E-14</v>
      </c>
      <c r="C101">
        <v>1.7763568394002505E-15</v>
      </c>
      <c r="D101">
        <v>8.8817841970012523E-15</v>
      </c>
      <c r="E101">
        <v>-1.4210854715202004E-14</v>
      </c>
      <c r="F101">
        <v>-8.8817841970012523E-15</v>
      </c>
      <c r="G101">
        <v>-8.8817841970012523E-15</v>
      </c>
      <c r="H101">
        <v>-3.5527136788005009E-15</v>
      </c>
      <c r="I101">
        <v>1.9999999999999964</v>
      </c>
      <c r="J101">
        <v>0</v>
      </c>
      <c r="L101">
        <v>-7.5024261740206768E-14</v>
      </c>
      <c r="M101">
        <v>-5.8341099786128902E-14</v>
      </c>
      <c r="N101">
        <v>-2.6249520619075783E-14</v>
      </c>
      <c r="O101">
        <v>-4.0333994787004202E-14</v>
      </c>
      <c r="P101">
        <v>-3.4179950267355073E-14</v>
      </c>
      <c r="Q101">
        <v>-2.5850078056010762E-14</v>
      </c>
      <c r="R101">
        <v>-8.5615742988072258E-15</v>
      </c>
      <c r="S101">
        <v>-6.886751307804275E-15</v>
      </c>
      <c r="T101">
        <v>1.9999999999999984</v>
      </c>
      <c r="U101">
        <v>5.9999999999999627</v>
      </c>
      <c r="W101">
        <v>7.806573338131536E-15</v>
      </c>
      <c r="X101">
        <v>0.99999999999999045</v>
      </c>
      <c r="Y101">
        <v>2.000000000000024</v>
      </c>
      <c r="Z101">
        <v>2.9999999999999893</v>
      </c>
      <c r="AA101">
        <v>3.9999999999999458</v>
      </c>
      <c r="AB101">
        <v>4.999999999999976</v>
      </c>
      <c r="AC101">
        <v>5.9999999999999742</v>
      </c>
      <c r="AD101">
        <v>7.0000000000000009</v>
      </c>
      <c r="AE101">
        <v>7.9607272727272687</v>
      </c>
      <c r="AF101">
        <v>7.4716363636363567</v>
      </c>
      <c r="AH101" t="s">
        <v>760</v>
      </c>
      <c r="AI101" t="s">
        <v>1509</v>
      </c>
    </row>
    <row r="102" spans="1:35" x14ac:dyDescent="0.25">
      <c r="A102">
        <v>20</v>
      </c>
      <c r="B102">
        <v>19</v>
      </c>
      <c r="C102">
        <v>18</v>
      </c>
      <c r="D102">
        <v>17</v>
      </c>
      <c r="E102">
        <v>16</v>
      </c>
      <c r="F102">
        <v>15</v>
      </c>
      <c r="G102">
        <v>14</v>
      </c>
      <c r="H102">
        <v>13</v>
      </c>
      <c r="I102">
        <v>12</v>
      </c>
      <c r="J102">
        <v>0</v>
      </c>
      <c r="L102">
        <v>20</v>
      </c>
      <c r="M102">
        <v>19</v>
      </c>
      <c r="N102">
        <v>18</v>
      </c>
      <c r="O102">
        <v>17</v>
      </c>
      <c r="P102">
        <v>16</v>
      </c>
      <c r="Q102">
        <v>15</v>
      </c>
      <c r="R102">
        <v>14</v>
      </c>
      <c r="S102">
        <v>13</v>
      </c>
      <c r="T102">
        <v>12</v>
      </c>
      <c r="U102">
        <v>11</v>
      </c>
      <c r="W102">
        <v>20</v>
      </c>
      <c r="X102">
        <v>19</v>
      </c>
      <c r="Y102">
        <v>18</v>
      </c>
      <c r="Z102">
        <v>17</v>
      </c>
      <c r="AA102">
        <v>16</v>
      </c>
      <c r="AB102">
        <v>15</v>
      </c>
      <c r="AC102">
        <v>14</v>
      </c>
      <c r="AD102">
        <v>13</v>
      </c>
      <c r="AE102">
        <v>12</v>
      </c>
      <c r="AF102">
        <v>11</v>
      </c>
      <c r="AH102" t="s">
        <v>765</v>
      </c>
      <c r="AI102" t="s">
        <v>1510</v>
      </c>
    </row>
    <row r="103" spans="1:35" x14ac:dyDescent="0.25">
      <c r="A103">
        <v>1.2434497875801753E-14</v>
      </c>
      <c r="B103">
        <v>0.66666666666665719</v>
      </c>
      <c r="C103">
        <v>1.3333333333333677</v>
      </c>
      <c r="D103">
        <v>2.0000000000000178</v>
      </c>
      <c r="E103">
        <v>2.6666666666666732</v>
      </c>
      <c r="F103">
        <v>3.333333333333325</v>
      </c>
      <c r="G103">
        <v>3.9999999999999982</v>
      </c>
      <c r="H103">
        <v>4.6666666666666696</v>
      </c>
      <c r="I103">
        <v>4.0000000000000027</v>
      </c>
      <c r="J103">
        <v>0</v>
      </c>
      <c r="L103">
        <v>-1.2434497875801753E-14</v>
      </c>
      <c r="M103">
        <v>0.66666666666666607</v>
      </c>
      <c r="N103">
        <v>1.3333333333333623</v>
      </c>
      <c r="O103">
        <v>1.9999999999999503</v>
      </c>
      <c r="P103">
        <v>2.6666666666666554</v>
      </c>
      <c r="Q103">
        <v>3.3333333333333552</v>
      </c>
      <c r="R103">
        <v>3.9999999999999938</v>
      </c>
      <c r="S103">
        <v>4.6666666666666732</v>
      </c>
      <c r="T103">
        <v>3.9999999999999831</v>
      </c>
      <c r="U103">
        <v>2.000000000000024</v>
      </c>
      <c r="W103">
        <v>0</v>
      </c>
      <c r="X103">
        <v>0</v>
      </c>
      <c r="Y103">
        <v>0</v>
      </c>
      <c r="Z103">
        <v>0</v>
      </c>
      <c r="AA103">
        <v>0</v>
      </c>
      <c r="AB103">
        <v>0</v>
      </c>
      <c r="AC103">
        <v>0</v>
      </c>
      <c r="AD103">
        <v>0</v>
      </c>
      <c r="AE103">
        <v>0</v>
      </c>
      <c r="AF103">
        <v>0</v>
      </c>
      <c r="AH103" t="s">
        <v>770</v>
      </c>
      <c r="AI103" t="s">
        <v>1511</v>
      </c>
    </row>
    <row r="104" spans="1:35" x14ac:dyDescent="0.25">
      <c r="A104">
        <v>0</v>
      </c>
      <c r="B104">
        <v>0</v>
      </c>
      <c r="C104">
        <v>0</v>
      </c>
      <c r="D104">
        <v>0</v>
      </c>
      <c r="E104">
        <v>0</v>
      </c>
      <c r="F104">
        <v>0</v>
      </c>
      <c r="G104">
        <v>0</v>
      </c>
      <c r="H104">
        <v>0</v>
      </c>
      <c r="I104">
        <v>0</v>
      </c>
      <c r="J104">
        <v>0</v>
      </c>
      <c r="L104">
        <v>0</v>
      </c>
      <c r="M104">
        <v>0</v>
      </c>
      <c r="N104">
        <v>0</v>
      </c>
      <c r="O104">
        <v>0</v>
      </c>
      <c r="P104">
        <v>0</v>
      </c>
      <c r="Q104">
        <v>0</v>
      </c>
      <c r="R104">
        <v>0</v>
      </c>
      <c r="S104">
        <v>0</v>
      </c>
      <c r="T104">
        <v>0</v>
      </c>
      <c r="U104">
        <v>0</v>
      </c>
      <c r="W104">
        <v>0</v>
      </c>
      <c r="X104">
        <v>0</v>
      </c>
      <c r="Y104">
        <v>0</v>
      </c>
      <c r="Z104">
        <v>0</v>
      </c>
      <c r="AA104">
        <v>0</v>
      </c>
      <c r="AB104">
        <v>0</v>
      </c>
      <c r="AC104">
        <v>0</v>
      </c>
      <c r="AD104">
        <v>0</v>
      </c>
      <c r="AE104">
        <v>0</v>
      </c>
      <c r="AF104">
        <v>0</v>
      </c>
      <c r="AH104" t="s">
        <v>774</v>
      </c>
      <c r="AI104" t="s">
        <v>1512</v>
      </c>
    </row>
    <row r="105" spans="1:35" x14ac:dyDescent="0.25">
      <c r="A105">
        <v>0</v>
      </c>
      <c r="B105">
        <v>0</v>
      </c>
      <c r="C105">
        <v>0</v>
      </c>
      <c r="D105">
        <v>0</v>
      </c>
      <c r="E105">
        <v>0</v>
      </c>
      <c r="F105">
        <v>0</v>
      </c>
      <c r="G105">
        <v>0</v>
      </c>
      <c r="H105">
        <v>0</v>
      </c>
      <c r="I105">
        <v>0</v>
      </c>
      <c r="J105">
        <v>0</v>
      </c>
      <c r="L105">
        <v>0</v>
      </c>
      <c r="M105">
        <v>0</v>
      </c>
      <c r="N105">
        <v>0</v>
      </c>
      <c r="O105">
        <v>0</v>
      </c>
      <c r="P105">
        <v>0</v>
      </c>
      <c r="Q105">
        <v>0</v>
      </c>
      <c r="R105">
        <v>0</v>
      </c>
      <c r="S105">
        <v>0</v>
      </c>
      <c r="T105">
        <v>0</v>
      </c>
      <c r="U105">
        <v>0</v>
      </c>
      <c r="W105">
        <v>0</v>
      </c>
      <c r="X105">
        <v>0</v>
      </c>
      <c r="Y105">
        <v>0</v>
      </c>
      <c r="Z105">
        <v>0</v>
      </c>
      <c r="AA105">
        <v>0</v>
      </c>
      <c r="AB105">
        <v>0</v>
      </c>
      <c r="AC105">
        <v>0</v>
      </c>
      <c r="AD105">
        <v>0</v>
      </c>
      <c r="AE105">
        <v>0</v>
      </c>
      <c r="AF105">
        <v>0</v>
      </c>
      <c r="AH105" t="s">
        <v>778</v>
      </c>
      <c r="AI105" t="s">
        <v>1513</v>
      </c>
    </row>
    <row r="106" spans="1:35" x14ac:dyDescent="0.25">
      <c r="A106">
        <v>0</v>
      </c>
      <c r="B106">
        <v>0</v>
      </c>
      <c r="C106">
        <v>0</v>
      </c>
      <c r="D106">
        <v>0</v>
      </c>
      <c r="E106">
        <v>0</v>
      </c>
      <c r="F106">
        <v>0</v>
      </c>
      <c r="G106">
        <v>0</v>
      </c>
      <c r="H106">
        <v>0</v>
      </c>
      <c r="I106">
        <v>0</v>
      </c>
      <c r="J106">
        <v>0</v>
      </c>
      <c r="L106">
        <v>0</v>
      </c>
      <c r="M106">
        <v>0</v>
      </c>
      <c r="N106">
        <v>0</v>
      </c>
      <c r="O106">
        <v>0</v>
      </c>
      <c r="P106">
        <v>0</v>
      </c>
      <c r="Q106">
        <v>0</v>
      </c>
      <c r="R106">
        <v>0</v>
      </c>
      <c r="S106">
        <v>0</v>
      </c>
      <c r="T106">
        <v>0</v>
      </c>
      <c r="U106">
        <v>0</v>
      </c>
      <c r="W106">
        <v>0</v>
      </c>
      <c r="X106">
        <v>0</v>
      </c>
      <c r="Y106">
        <v>0</v>
      </c>
      <c r="Z106">
        <v>0</v>
      </c>
      <c r="AA106">
        <v>0</v>
      </c>
      <c r="AB106">
        <v>0</v>
      </c>
      <c r="AC106">
        <v>0</v>
      </c>
      <c r="AD106">
        <v>0</v>
      </c>
      <c r="AE106">
        <v>0</v>
      </c>
      <c r="AF106">
        <v>0</v>
      </c>
      <c r="AH106" t="s">
        <v>781</v>
      </c>
      <c r="AI106" t="s">
        <v>1514</v>
      </c>
    </row>
    <row r="107" spans="1:35" x14ac:dyDescent="0.25">
      <c r="A107">
        <v>0</v>
      </c>
      <c r="B107">
        <v>0</v>
      </c>
      <c r="C107">
        <v>0</v>
      </c>
      <c r="D107">
        <v>0</v>
      </c>
      <c r="E107">
        <v>0</v>
      </c>
      <c r="F107">
        <v>0</v>
      </c>
      <c r="G107">
        <v>0</v>
      </c>
      <c r="H107">
        <v>0</v>
      </c>
      <c r="I107">
        <v>0</v>
      </c>
      <c r="J107">
        <v>0</v>
      </c>
      <c r="L107">
        <v>0</v>
      </c>
      <c r="M107">
        <v>0</v>
      </c>
      <c r="N107">
        <v>0</v>
      </c>
      <c r="O107">
        <v>0</v>
      </c>
      <c r="P107">
        <v>0</v>
      </c>
      <c r="Q107">
        <v>0</v>
      </c>
      <c r="R107">
        <v>0</v>
      </c>
      <c r="S107">
        <v>0</v>
      </c>
      <c r="T107">
        <v>0</v>
      </c>
      <c r="U107">
        <v>0</v>
      </c>
      <c r="W107">
        <v>0</v>
      </c>
      <c r="X107">
        <v>0</v>
      </c>
      <c r="Y107">
        <v>0</v>
      </c>
      <c r="Z107">
        <v>0</v>
      </c>
      <c r="AA107">
        <v>0</v>
      </c>
      <c r="AB107">
        <v>0</v>
      </c>
      <c r="AC107">
        <v>0</v>
      </c>
      <c r="AD107">
        <v>0</v>
      </c>
      <c r="AE107">
        <v>0</v>
      </c>
      <c r="AF107">
        <v>0</v>
      </c>
      <c r="AH107" t="s">
        <v>785</v>
      </c>
      <c r="AI107" t="s">
        <v>1515</v>
      </c>
    </row>
    <row r="108" spans="1:35" x14ac:dyDescent="0.25">
      <c r="A108">
        <v>-8.1534662911021039E-30</v>
      </c>
      <c r="B108">
        <v>-2.6417230783170818E-29</v>
      </c>
      <c r="C108">
        <v>-3.5493057948453845E-29</v>
      </c>
      <c r="D108">
        <v>4.5659411230171783E-30</v>
      </c>
      <c r="E108">
        <v>3.4244558422628835E-30</v>
      </c>
      <c r="F108">
        <v>-2.4664235530583867E-30</v>
      </c>
      <c r="G108">
        <v>3.9951984826400309E-30</v>
      </c>
      <c r="H108">
        <v>1.3860892694873578E-29</v>
      </c>
      <c r="I108">
        <v>1.9999999999999978</v>
      </c>
      <c r="J108">
        <v>0</v>
      </c>
      <c r="L108">
        <v>9.1318822460343565E-30</v>
      </c>
      <c r="M108">
        <v>1.5002377975627871E-29</v>
      </c>
      <c r="N108">
        <v>1.728534853713646E-29</v>
      </c>
      <c r="O108">
        <v>1.3860892694873577E-30</v>
      </c>
      <c r="P108">
        <v>5.8704957295935151E-30</v>
      </c>
      <c r="Q108">
        <v>6.5227730328816834E-31</v>
      </c>
      <c r="R108">
        <v>1.9568319098645049E-30</v>
      </c>
      <c r="S108">
        <v>-3.5875251680849256E-30</v>
      </c>
      <c r="T108">
        <v>2.0000000000000169</v>
      </c>
      <c r="U108">
        <v>5.9999999999999769</v>
      </c>
      <c r="W108">
        <v>-1.9352771797770891E-15</v>
      </c>
      <c r="X108">
        <v>1.0000000000000338</v>
      </c>
      <c r="Y108">
        <v>2.0000000000000511</v>
      </c>
      <c r="Z108">
        <v>3.0000000000000142</v>
      </c>
      <c r="AA108">
        <v>4.0000000000000107</v>
      </c>
      <c r="AB108">
        <v>4.9999999999999956</v>
      </c>
      <c r="AC108">
        <v>5.9999999999999973</v>
      </c>
      <c r="AD108">
        <v>7.0000000000000195</v>
      </c>
      <c r="AE108">
        <v>7.9738181818181841</v>
      </c>
      <c r="AF108">
        <v>7.9810909090909119</v>
      </c>
      <c r="AH108" t="s">
        <v>788</v>
      </c>
      <c r="AI108" s="60" t="s">
        <v>1516</v>
      </c>
    </row>
    <row r="109" spans="1:35" x14ac:dyDescent="0.25">
      <c r="A109">
        <v>0</v>
      </c>
      <c r="B109">
        <v>0</v>
      </c>
      <c r="C109">
        <v>0</v>
      </c>
      <c r="D109">
        <v>0</v>
      </c>
      <c r="E109">
        <v>0</v>
      </c>
      <c r="F109">
        <v>0</v>
      </c>
      <c r="G109">
        <v>0</v>
      </c>
      <c r="H109">
        <v>0</v>
      </c>
      <c r="I109">
        <v>0</v>
      </c>
      <c r="J109">
        <v>0</v>
      </c>
      <c r="L109">
        <v>0</v>
      </c>
      <c r="M109">
        <v>0</v>
      </c>
      <c r="N109">
        <v>0</v>
      </c>
      <c r="O109">
        <v>0</v>
      </c>
      <c r="P109">
        <v>0</v>
      </c>
      <c r="Q109">
        <v>0</v>
      </c>
      <c r="R109">
        <v>0</v>
      </c>
      <c r="S109">
        <v>0</v>
      </c>
      <c r="T109">
        <v>0</v>
      </c>
      <c r="U109">
        <v>0</v>
      </c>
      <c r="W109">
        <v>0</v>
      </c>
      <c r="X109">
        <v>0</v>
      </c>
      <c r="Y109">
        <v>0</v>
      </c>
      <c r="Z109">
        <v>0</v>
      </c>
      <c r="AA109">
        <v>0</v>
      </c>
      <c r="AB109">
        <v>0</v>
      </c>
      <c r="AC109">
        <v>0</v>
      </c>
      <c r="AD109">
        <v>0</v>
      </c>
      <c r="AE109">
        <v>0</v>
      </c>
      <c r="AF109">
        <v>0</v>
      </c>
      <c r="AH109" t="s">
        <v>792</v>
      </c>
      <c r="AI109" t="s">
        <v>1519</v>
      </c>
    </row>
    <row r="110" spans="1:35" x14ac:dyDescent="0.25">
      <c r="A110">
        <v>0</v>
      </c>
      <c r="B110">
        <v>0</v>
      </c>
      <c r="C110">
        <v>0</v>
      </c>
      <c r="D110">
        <v>0</v>
      </c>
      <c r="E110">
        <v>0</v>
      </c>
      <c r="F110">
        <v>0</v>
      </c>
      <c r="G110">
        <v>0</v>
      </c>
      <c r="H110">
        <v>0</v>
      </c>
      <c r="I110">
        <v>0</v>
      </c>
      <c r="J110">
        <v>0</v>
      </c>
      <c r="L110">
        <v>0</v>
      </c>
      <c r="M110">
        <v>0</v>
      </c>
      <c r="N110">
        <v>0</v>
      </c>
      <c r="O110">
        <v>0</v>
      </c>
      <c r="P110">
        <v>0</v>
      </c>
      <c r="Q110">
        <v>0</v>
      </c>
      <c r="R110">
        <v>0</v>
      </c>
      <c r="S110">
        <v>0</v>
      </c>
      <c r="T110">
        <v>0</v>
      </c>
      <c r="U110">
        <v>0</v>
      </c>
      <c r="W110">
        <v>0</v>
      </c>
      <c r="X110">
        <v>0</v>
      </c>
      <c r="Y110">
        <v>0</v>
      </c>
      <c r="Z110">
        <v>0</v>
      </c>
      <c r="AA110">
        <v>0</v>
      </c>
      <c r="AB110">
        <v>0</v>
      </c>
      <c r="AC110">
        <v>0</v>
      </c>
      <c r="AD110">
        <v>0</v>
      </c>
      <c r="AE110">
        <v>0</v>
      </c>
      <c r="AF110">
        <v>0</v>
      </c>
      <c r="AH110" t="s">
        <v>795</v>
      </c>
      <c r="AI110" t="s">
        <v>1520</v>
      </c>
    </row>
    <row r="111" spans="1:35" x14ac:dyDescent="0.25">
      <c r="A111">
        <v>0</v>
      </c>
      <c r="B111">
        <v>0</v>
      </c>
      <c r="C111">
        <v>0</v>
      </c>
      <c r="D111">
        <v>0</v>
      </c>
      <c r="E111">
        <v>0</v>
      </c>
      <c r="F111">
        <v>0</v>
      </c>
      <c r="G111">
        <v>0</v>
      </c>
      <c r="H111">
        <v>0</v>
      </c>
      <c r="I111">
        <v>0</v>
      </c>
      <c r="J111">
        <v>0</v>
      </c>
      <c r="L111">
        <v>0</v>
      </c>
      <c r="M111">
        <v>0</v>
      </c>
      <c r="N111">
        <v>0</v>
      </c>
      <c r="O111">
        <v>0</v>
      </c>
      <c r="P111">
        <v>0</v>
      </c>
      <c r="Q111">
        <v>0</v>
      </c>
      <c r="R111">
        <v>0</v>
      </c>
      <c r="S111">
        <v>0</v>
      </c>
      <c r="T111">
        <v>0</v>
      </c>
      <c r="U111">
        <v>0</v>
      </c>
      <c r="W111">
        <v>0</v>
      </c>
      <c r="X111">
        <v>0</v>
      </c>
      <c r="Y111">
        <v>0</v>
      </c>
      <c r="Z111">
        <v>0</v>
      </c>
      <c r="AA111">
        <v>0</v>
      </c>
      <c r="AB111">
        <v>0</v>
      </c>
      <c r="AC111">
        <v>0</v>
      </c>
      <c r="AD111">
        <v>0</v>
      </c>
      <c r="AE111">
        <v>0</v>
      </c>
      <c r="AF111">
        <v>0</v>
      </c>
      <c r="AH111" t="s">
        <v>798</v>
      </c>
      <c r="AI111" t="s">
        <v>1521</v>
      </c>
    </row>
    <row r="112" spans="1:35" x14ac:dyDescent="0.25">
      <c r="A112">
        <v>0</v>
      </c>
      <c r="B112">
        <v>0</v>
      </c>
      <c r="C112">
        <v>0</v>
      </c>
      <c r="D112">
        <v>0</v>
      </c>
      <c r="E112">
        <v>0</v>
      </c>
      <c r="F112">
        <v>0</v>
      </c>
      <c r="G112">
        <v>0</v>
      </c>
      <c r="H112">
        <v>0</v>
      </c>
      <c r="I112">
        <v>0</v>
      </c>
      <c r="J112">
        <v>0</v>
      </c>
      <c r="L112">
        <v>0</v>
      </c>
      <c r="M112">
        <v>0</v>
      </c>
      <c r="N112">
        <v>0</v>
      </c>
      <c r="O112">
        <v>0</v>
      </c>
      <c r="P112">
        <v>0</v>
      </c>
      <c r="Q112">
        <v>0</v>
      </c>
      <c r="R112">
        <v>0</v>
      </c>
      <c r="S112">
        <v>0</v>
      </c>
      <c r="T112">
        <v>0</v>
      </c>
      <c r="U112">
        <v>0</v>
      </c>
      <c r="W112">
        <v>0</v>
      </c>
      <c r="X112">
        <v>0</v>
      </c>
      <c r="Y112">
        <v>0</v>
      </c>
      <c r="Z112">
        <v>0</v>
      </c>
      <c r="AA112">
        <v>0</v>
      </c>
      <c r="AB112">
        <v>0</v>
      </c>
      <c r="AC112">
        <v>0</v>
      </c>
      <c r="AD112">
        <v>0</v>
      </c>
      <c r="AE112">
        <v>0</v>
      </c>
      <c r="AF112">
        <v>0</v>
      </c>
      <c r="AH112" t="s">
        <v>802</v>
      </c>
      <c r="AI112" t="s">
        <v>1523</v>
      </c>
    </row>
    <row r="113" spans="1:35" x14ac:dyDescent="0.25">
      <c r="A113">
        <v>0</v>
      </c>
      <c r="B113">
        <v>0</v>
      </c>
      <c r="C113">
        <v>0</v>
      </c>
      <c r="D113">
        <v>0</v>
      </c>
      <c r="E113">
        <v>0</v>
      </c>
      <c r="F113">
        <v>0</v>
      </c>
      <c r="G113">
        <v>0</v>
      </c>
      <c r="H113">
        <v>0</v>
      </c>
      <c r="I113">
        <v>0</v>
      </c>
      <c r="J113">
        <v>0</v>
      </c>
      <c r="L113">
        <v>0</v>
      </c>
      <c r="M113">
        <v>0</v>
      </c>
      <c r="N113">
        <v>0</v>
      </c>
      <c r="O113">
        <v>0</v>
      </c>
      <c r="P113">
        <v>0</v>
      </c>
      <c r="Q113">
        <v>0</v>
      </c>
      <c r="R113">
        <v>0</v>
      </c>
      <c r="S113">
        <v>0</v>
      </c>
      <c r="T113">
        <v>0</v>
      </c>
      <c r="U113">
        <v>0</v>
      </c>
      <c r="W113">
        <v>0</v>
      </c>
      <c r="X113">
        <v>0</v>
      </c>
      <c r="Y113">
        <v>0</v>
      </c>
      <c r="Z113">
        <v>0</v>
      </c>
      <c r="AA113">
        <v>0</v>
      </c>
      <c r="AB113">
        <v>0</v>
      </c>
      <c r="AC113">
        <v>0</v>
      </c>
      <c r="AD113">
        <v>0</v>
      </c>
      <c r="AE113">
        <v>1.3090909090911025E-2</v>
      </c>
      <c r="AF113">
        <v>0.50945454545454882</v>
      </c>
      <c r="AH113" t="s">
        <v>805</v>
      </c>
      <c r="AI113" t="s">
        <v>1524</v>
      </c>
    </row>
    <row r="114" spans="1:35" x14ac:dyDescent="0.25">
      <c r="A114">
        <v>0</v>
      </c>
      <c r="B114">
        <v>0</v>
      </c>
      <c r="C114">
        <v>0</v>
      </c>
      <c r="D114">
        <v>0</v>
      </c>
      <c r="E114">
        <v>0</v>
      </c>
      <c r="F114">
        <v>0</v>
      </c>
      <c r="G114">
        <v>0</v>
      </c>
      <c r="H114">
        <v>0</v>
      </c>
      <c r="I114">
        <v>0</v>
      </c>
      <c r="J114">
        <v>0</v>
      </c>
      <c r="L114">
        <v>0</v>
      </c>
      <c r="M114">
        <v>0</v>
      </c>
      <c r="N114">
        <v>0</v>
      </c>
      <c r="O114">
        <v>0</v>
      </c>
      <c r="P114">
        <v>0</v>
      </c>
      <c r="Q114">
        <v>0</v>
      </c>
      <c r="R114">
        <v>0</v>
      </c>
      <c r="S114">
        <v>0</v>
      </c>
      <c r="T114">
        <v>0</v>
      </c>
      <c r="U114">
        <v>0</v>
      </c>
      <c r="W114">
        <v>0</v>
      </c>
      <c r="X114">
        <v>0</v>
      </c>
      <c r="Y114">
        <v>0</v>
      </c>
      <c r="Z114">
        <v>0</v>
      </c>
      <c r="AA114">
        <v>0</v>
      </c>
      <c r="AB114">
        <v>0</v>
      </c>
      <c r="AC114">
        <v>0</v>
      </c>
      <c r="AD114">
        <v>0</v>
      </c>
      <c r="AE114">
        <v>0</v>
      </c>
      <c r="AF114">
        <v>0</v>
      </c>
      <c r="AH114" t="s">
        <v>809</v>
      </c>
      <c r="AI114" t="s">
        <v>1526</v>
      </c>
    </row>
    <row r="115" spans="1:35" x14ac:dyDescent="0.25">
      <c r="A115">
        <v>0</v>
      </c>
      <c r="B115">
        <v>0</v>
      </c>
      <c r="C115">
        <v>0</v>
      </c>
      <c r="D115">
        <v>0</v>
      </c>
      <c r="E115">
        <v>0</v>
      </c>
      <c r="F115">
        <v>0</v>
      </c>
      <c r="G115">
        <v>0</v>
      </c>
      <c r="H115">
        <v>0</v>
      </c>
      <c r="I115">
        <v>0</v>
      </c>
      <c r="J115">
        <v>0</v>
      </c>
      <c r="L115">
        <v>0</v>
      </c>
      <c r="M115">
        <v>0</v>
      </c>
      <c r="N115">
        <v>0</v>
      </c>
      <c r="O115">
        <v>0</v>
      </c>
      <c r="P115">
        <v>0</v>
      </c>
      <c r="Q115">
        <v>0</v>
      </c>
      <c r="R115">
        <v>0</v>
      </c>
      <c r="S115">
        <v>0</v>
      </c>
      <c r="T115">
        <v>0</v>
      </c>
      <c r="U115">
        <v>0</v>
      </c>
      <c r="W115">
        <v>0</v>
      </c>
      <c r="X115">
        <v>0</v>
      </c>
      <c r="Y115">
        <v>0</v>
      </c>
      <c r="Z115">
        <v>0</v>
      </c>
      <c r="AA115">
        <v>0</v>
      </c>
      <c r="AB115">
        <v>0</v>
      </c>
      <c r="AC115">
        <v>0</v>
      </c>
      <c r="AD115">
        <v>0</v>
      </c>
      <c r="AE115">
        <v>0</v>
      </c>
      <c r="AF115">
        <v>0</v>
      </c>
      <c r="AH115" t="s">
        <v>813</v>
      </c>
      <c r="AI115" t="s">
        <v>1528</v>
      </c>
    </row>
    <row r="116" spans="1:35" x14ac:dyDescent="0.25">
      <c r="A116">
        <v>0</v>
      </c>
      <c r="B116">
        <v>0</v>
      </c>
      <c r="C116">
        <v>0</v>
      </c>
      <c r="D116">
        <v>0</v>
      </c>
      <c r="E116">
        <v>0</v>
      </c>
      <c r="F116">
        <v>0</v>
      </c>
      <c r="G116">
        <v>0</v>
      </c>
      <c r="H116">
        <v>0</v>
      </c>
      <c r="I116">
        <v>0</v>
      </c>
      <c r="J116">
        <v>0</v>
      </c>
      <c r="L116">
        <v>0</v>
      </c>
      <c r="M116">
        <v>0</v>
      </c>
      <c r="N116">
        <v>0</v>
      </c>
      <c r="O116">
        <v>0</v>
      </c>
      <c r="P116">
        <v>0</v>
      </c>
      <c r="Q116">
        <v>0</v>
      </c>
      <c r="R116">
        <v>0</v>
      </c>
      <c r="S116">
        <v>0</v>
      </c>
      <c r="T116">
        <v>0</v>
      </c>
      <c r="U116">
        <v>0</v>
      </c>
      <c r="W116">
        <v>0</v>
      </c>
      <c r="X116">
        <v>0</v>
      </c>
      <c r="Y116">
        <v>0</v>
      </c>
      <c r="Z116">
        <v>0</v>
      </c>
      <c r="AA116">
        <v>0</v>
      </c>
      <c r="AB116">
        <v>0</v>
      </c>
      <c r="AC116">
        <v>0</v>
      </c>
      <c r="AD116">
        <v>0</v>
      </c>
      <c r="AE116">
        <v>0</v>
      </c>
      <c r="AF116">
        <v>0</v>
      </c>
      <c r="AH116" t="s">
        <v>816</v>
      </c>
      <c r="AI116" t="s">
        <v>1529</v>
      </c>
    </row>
    <row r="117" spans="1:35" x14ac:dyDescent="0.25">
      <c r="A117">
        <v>0</v>
      </c>
      <c r="B117">
        <v>0</v>
      </c>
      <c r="C117">
        <v>0</v>
      </c>
      <c r="D117">
        <v>0</v>
      </c>
      <c r="E117">
        <v>0</v>
      </c>
      <c r="F117">
        <v>0</v>
      </c>
      <c r="G117">
        <v>0</v>
      </c>
      <c r="H117">
        <v>0</v>
      </c>
      <c r="I117">
        <v>0</v>
      </c>
      <c r="J117">
        <v>0</v>
      </c>
      <c r="L117">
        <v>0</v>
      </c>
      <c r="M117">
        <v>0</v>
      </c>
      <c r="N117">
        <v>0</v>
      </c>
      <c r="O117">
        <v>0</v>
      </c>
      <c r="P117">
        <v>0</v>
      </c>
      <c r="Q117">
        <v>0</v>
      </c>
      <c r="R117">
        <v>0</v>
      </c>
      <c r="S117">
        <v>0</v>
      </c>
      <c r="T117">
        <v>0</v>
      </c>
      <c r="U117">
        <v>0</v>
      </c>
      <c r="W117">
        <v>0</v>
      </c>
      <c r="X117">
        <v>0</v>
      </c>
      <c r="Y117">
        <v>0</v>
      </c>
      <c r="Z117">
        <v>0</v>
      </c>
      <c r="AA117">
        <v>0</v>
      </c>
      <c r="AB117">
        <v>0</v>
      </c>
      <c r="AC117">
        <v>0</v>
      </c>
      <c r="AD117">
        <v>0</v>
      </c>
      <c r="AE117">
        <v>0</v>
      </c>
      <c r="AF117">
        <v>0</v>
      </c>
      <c r="AH117" t="s">
        <v>820</v>
      </c>
      <c r="AI117" t="s">
        <v>1530</v>
      </c>
    </row>
    <row r="118" spans="1:35" x14ac:dyDescent="0.25">
      <c r="A118">
        <v>0</v>
      </c>
      <c r="B118">
        <v>0</v>
      </c>
      <c r="C118">
        <v>0</v>
      </c>
      <c r="D118">
        <v>0</v>
      </c>
      <c r="E118">
        <v>0</v>
      </c>
      <c r="F118">
        <v>0</v>
      </c>
      <c r="G118">
        <v>0</v>
      </c>
      <c r="H118">
        <v>0</v>
      </c>
      <c r="I118">
        <v>0</v>
      </c>
      <c r="J118">
        <v>0</v>
      </c>
      <c r="L118">
        <v>0</v>
      </c>
      <c r="M118">
        <v>0</v>
      </c>
      <c r="N118">
        <v>0</v>
      </c>
      <c r="O118">
        <v>0</v>
      </c>
      <c r="P118">
        <v>0</v>
      </c>
      <c r="Q118">
        <v>0</v>
      </c>
      <c r="R118">
        <v>0</v>
      </c>
      <c r="S118">
        <v>0</v>
      </c>
      <c r="T118">
        <v>0</v>
      </c>
      <c r="U118">
        <v>0</v>
      </c>
      <c r="W118">
        <v>0</v>
      </c>
      <c r="X118">
        <v>0</v>
      </c>
      <c r="Y118">
        <v>0</v>
      </c>
      <c r="Z118">
        <v>0</v>
      </c>
      <c r="AA118">
        <v>0</v>
      </c>
      <c r="AB118">
        <v>0</v>
      </c>
      <c r="AC118">
        <v>0</v>
      </c>
      <c r="AD118">
        <v>0</v>
      </c>
      <c r="AE118">
        <v>0</v>
      </c>
      <c r="AF118">
        <v>0</v>
      </c>
      <c r="AH118" t="s">
        <v>825</v>
      </c>
      <c r="AI118" t="s">
        <v>1531</v>
      </c>
    </row>
    <row r="119" spans="1:35" x14ac:dyDescent="0.25">
      <c r="A119">
        <v>0</v>
      </c>
      <c r="B119">
        <v>0</v>
      </c>
      <c r="C119">
        <v>0</v>
      </c>
      <c r="D119">
        <v>0</v>
      </c>
      <c r="E119">
        <v>0</v>
      </c>
      <c r="F119">
        <v>0</v>
      </c>
      <c r="G119">
        <v>0</v>
      </c>
      <c r="H119">
        <v>0</v>
      </c>
      <c r="I119">
        <v>0</v>
      </c>
      <c r="J119">
        <v>0</v>
      </c>
      <c r="L119">
        <v>0</v>
      </c>
      <c r="M119">
        <v>0</v>
      </c>
      <c r="N119">
        <v>0</v>
      </c>
      <c r="O119">
        <v>0</v>
      </c>
      <c r="P119">
        <v>0</v>
      </c>
      <c r="Q119">
        <v>0</v>
      </c>
      <c r="R119">
        <v>0</v>
      </c>
      <c r="S119">
        <v>0</v>
      </c>
      <c r="T119">
        <v>0</v>
      </c>
      <c r="U119">
        <v>0</v>
      </c>
      <c r="W119">
        <v>0</v>
      </c>
      <c r="X119">
        <v>0</v>
      </c>
      <c r="Y119">
        <v>0</v>
      </c>
      <c r="Z119">
        <v>0</v>
      </c>
      <c r="AA119">
        <v>0</v>
      </c>
      <c r="AB119">
        <v>0</v>
      </c>
      <c r="AC119">
        <v>0</v>
      </c>
      <c r="AD119">
        <v>0</v>
      </c>
      <c r="AE119">
        <v>0</v>
      </c>
      <c r="AF119">
        <v>0</v>
      </c>
      <c r="AH119" t="s">
        <v>1533</v>
      </c>
      <c r="AI119" t="s">
        <v>1534</v>
      </c>
    </row>
    <row r="120" spans="1:35" x14ac:dyDescent="0.25">
      <c r="A120">
        <v>0</v>
      </c>
      <c r="B120">
        <v>0</v>
      </c>
      <c r="C120">
        <v>0</v>
      </c>
      <c r="D120">
        <v>0</v>
      </c>
      <c r="E120">
        <v>0</v>
      </c>
      <c r="F120">
        <v>0</v>
      </c>
      <c r="G120">
        <v>0</v>
      </c>
      <c r="H120">
        <v>0</v>
      </c>
      <c r="I120">
        <v>0</v>
      </c>
      <c r="J120">
        <v>0</v>
      </c>
      <c r="L120">
        <v>0</v>
      </c>
      <c r="M120">
        <v>0</v>
      </c>
      <c r="N120">
        <v>0</v>
      </c>
      <c r="O120">
        <v>0</v>
      </c>
      <c r="P120">
        <v>0</v>
      </c>
      <c r="Q120">
        <v>0</v>
      </c>
      <c r="R120">
        <v>0</v>
      </c>
      <c r="S120">
        <v>0</v>
      </c>
      <c r="T120">
        <v>0</v>
      </c>
      <c r="U120">
        <v>0</v>
      </c>
      <c r="W120">
        <v>0</v>
      </c>
      <c r="X120">
        <v>0</v>
      </c>
      <c r="Y120">
        <v>0</v>
      </c>
      <c r="Z120">
        <v>0</v>
      </c>
      <c r="AA120">
        <v>0</v>
      </c>
      <c r="AB120">
        <v>0</v>
      </c>
      <c r="AC120">
        <v>0</v>
      </c>
      <c r="AD120">
        <v>0</v>
      </c>
      <c r="AE120">
        <v>0</v>
      </c>
      <c r="AF120">
        <v>0</v>
      </c>
      <c r="AH120" t="s">
        <v>1535</v>
      </c>
      <c r="AI120" t="s">
        <v>1536</v>
      </c>
    </row>
    <row r="121" spans="1:35" x14ac:dyDescent="0.25">
      <c r="A121">
        <v>0</v>
      </c>
      <c r="B121">
        <v>0</v>
      </c>
      <c r="C121">
        <v>0</v>
      </c>
      <c r="D121">
        <v>0</v>
      </c>
      <c r="E121">
        <v>0</v>
      </c>
      <c r="F121">
        <v>0</v>
      </c>
      <c r="G121">
        <v>0</v>
      </c>
      <c r="H121">
        <v>0</v>
      </c>
      <c r="I121">
        <v>0.99999999999999878</v>
      </c>
      <c r="J121">
        <v>0</v>
      </c>
      <c r="L121">
        <v>0</v>
      </c>
      <c r="M121">
        <v>0</v>
      </c>
      <c r="N121">
        <v>0</v>
      </c>
      <c r="O121">
        <v>0</v>
      </c>
      <c r="P121">
        <v>0</v>
      </c>
      <c r="Q121">
        <v>0</v>
      </c>
      <c r="R121">
        <v>0</v>
      </c>
      <c r="S121">
        <v>0</v>
      </c>
      <c r="T121">
        <v>1.0000000000000082</v>
      </c>
      <c r="U121">
        <v>2.9999999999999876</v>
      </c>
      <c r="W121">
        <v>-9.676385898885337E-16</v>
      </c>
      <c r="X121">
        <v>0.50000000000001676</v>
      </c>
      <c r="Y121">
        <v>1.0000000000000253</v>
      </c>
      <c r="Z121">
        <v>1.5000000000000071</v>
      </c>
      <c r="AA121">
        <v>2.0000000000000053</v>
      </c>
      <c r="AB121">
        <v>2.4999999999999978</v>
      </c>
      <c r="AC121">
        <v>2.9999999999999982</v>
      </c>
      <c r="AD121">
        <v>3.5000000000000089</v>
      </c>
      <c r="AE121">
        <v>3.9869090909090907</v>
      </c>
      <c r="AF121">
        <v>3.9905454545454546</v>
      </c>
      <c r="AH121" t="s">
        <v>837</v>
      </c>
      <c r="AI121" t="s">
        <v>1539</v>
      </c>
    </row>
    <row r="122" spans="1:35" x14ac:dyDescent="0.25">
      <c r="A122">
        <v>10.000000000000005</v>
      </c>
      <c r="B122">
        <v>9.3333333333333268</v>
      </c>
      <c r="C122">
        <v>8.6666666666666838</v>
      </c>
      <c r="D122">
        <v>8.0000000000000107</v>
      </c>
      <c r="E122">
        <v>7.3333333333333348</v>
      </c>
      <c r="F122">
        <v>6.6666666666666607</v>
      </c>
      <c r="G122">
        <v>6.0000000000000009</v>
      </c>
      <c r="H122">
        <v>5.3333333333333348</v>
      </c>
      <c r="I122">
        <v>5.9999999999999982</v>
      </c>
      <c r="J122">
        <v>0</v>
      </c>
      <c r="L122">
        <v>9.9999999999999911</v>
      </c>
      <c r="M122">
        <v>9.3333333333333339</v>
      </c>
      <c r="N122">
        <v>8.6666666666666821</v>
      </c>
      <c r="O122">
        <v>7.9999999999999751</v>
      </c>
      <c r="P122">
        <v>7.3333333333333268</v>
      </c>
      <c r="Q122">
        <v>6.6666666666666794</v>
      </c>
      <c r="R122">
        <v>5.9999999999999973</v>
      </c>
      <c r="S122">
        <v>5.3333333333333357</v>
      </c>
      <c r="T122">
        <v>6.000000000000008</v>
      </c>
      <c r="U122">
        <v>7.9999999999999867</v>
      </c>
      <c r="W122">
        <v>9.9999999999999964</v>
      </c>
      <c r="X122">
        <v>10.000000000000032</v>
      </c>
      <c r="Y122">
        <v>10.000000000000053</v>
      </c>
      <c r="Z122">
        <v>10.000000000000012</v>
      </c>
      <c r="AA122">
        <v>10.000000000000011</v>
      </c>
      <c r="AB122">
        <v>9.9999999999999947</v>
      </c>
      <c r="AC122">
        <v>9.9999999999999982</v>
      </c>
      <c r="AD122">
        <v>10.00000000000002</v>
      </c>
      <c r="AE122">
        <v>9.9738181818181832</v>
      </c>
      <c r="AF122">
        <v>8.981090909090911</v>
      </c>
      <c r="AH122" t="s">
        <v>840</v>
      </c>
      <c r="AI122" t="s">
        <v>1540</v>
      </c>
    </row>
    <row r="123" spans="1:35" x14ac:dyDescent="0.25">
      <c r="A123">
        <v>0</v>
      </c>
      <c r="B123">
        <v>0</v>
      </c>
      <c r="C123">
        <v>0</v>
      </c>
      <c r="D123">
        <v>0</v>
      </c>
      <c r="E123">
        <v>0</v>
      </c>
      <c r="F123">
        <v>0</v>
      </c>
      <c r="G123">
        <v>0</v>
      </c>
      <c r="H123">
        <v>0</v>
      </c>
      <c r="I123">
        <v>0</v>
      </c>
      <c r="J123">
        <v>0</v>
      </c>
      <c r="L123">
        <v>0</v>
      </c>
      <c r="M123">
        <v>0</v>
      </c>
      <c r="N123">
        <v>0</v>
      </c>
      <c r="O123">
        <v>0</v>
      </c>
      <c r="P123">
        <v>0</v>
      </c>
      <c r="Q123">
        <v>0</v>
      </c>
      <c r="R123">
        <v>0</v>
      </c>
      <c r="S123">
        <v>0</v>
      </c>
      <c r="T123">
        <v>0</v>
      </c>
      <c r="U123">
        <v>0</v>
      </c>
      <c r="W123">
        <v>0</v>
      </c>
      <c r="X123">
        <v>0</v>
      </c>
      <c r="Y123">
        <v>0</v>
      </c>
      <c r="Z123">
        <v>0</v>
      </c>
      <c r="AA123">
        <v>0</v>
      </c>
      <c r="AB123">
        <v>0</v>
      </c>
      <c r="AC123">
        <v>0</v>
      </c>
      <c r="AD123">
        <v>0</v>
      </c>
      <c r="AE123">
        <v>0</v>
      </c>
      <c r="AF123">
        <v>0</v>
      </c>
      <c r="AH123" t="s">
        <v>844</v>
      </c>
      <c r="AI123" t="s">
        <v>1542</v>
      </c>
    </row>
    <row r="124" spans="1:35" x14ac:dyDescent="0.25">
      <c r="A124">
        <v>0</v>
      </c>
      <c r="B124">
        <v>0</v>
      </c>
      <c r="C124">
        <v>0</v>
      </c>
      <c r="D124">
        <v>0</v>
      </c>
      <c r="E124">
        <v>0</v>
      </c>
      <c r="F124">
        <v>0</v>
      </c>
      <c r="G124">
        <v>0</v>
      </c>
      <c r="H124">
        <v>0</v>
      </c>
      <c r="I124">
        <v>0</v>
      </c>
      <c r="J124">
        <v>0</v>
      </c>
      <c r="L124">
        <v>0</v>
      </c>
      <c r="M124">
        <v>0</v>
      </c>
      <c r="N124">
        <v>0</v>
      </c>
      <c r="O124">
        <v>0</v>
      </c>
      <c r="P124">
        <v>0</v>
      </c>
      <c r="Q124">
        <v>0</v>
      </c>
      <c r="R124">
        <v>0</v>
      </c>
      <c r="S124">
        <v>0</v>
      </c>
      <c r="T124">
        <v>0</v>
      </c>
      <c r="U124">
        <v>0</v>
      </c>
      <c r="W124">
        <v>0</v>
      </c>
      <c r="X124">
        <v>0</v>
      </c>
      <c r="Y124">
        <v>0</v>
      </c>
      <c r="Z124">
        <v>0</v>
      </c>
      <c r="AA124">
        <v>0</v>
      </c>
      <c r="AB124">
        <v>0</v>
      </c>
      <c r="AC124">
        <v>0</v>
      </c>
      <c r="AD124">
        <v>0</v>
      </c>
      <c r="AE124">
        <v>0</v>
      </c>
      <c r="AF124">
        <v>0</v>
      </c>
      <c r="AH124" t="s">
        <v>847</v>
      </c>
      <c r="AI124" t="s">
        <v>1544</v>
      </c>
    </row>
    <row r="125" spans="1:35" x14ac:dyDescent="0.25">
      <c r="A125">
        <v>0</v>
      </c>
      <c r="B125">
        <v>0</v>
      </c>
      <c r="C125">
        <v>0</v>
      </c>
      <c r="D125">
        <v>0</v>
      </c>
      <c r="E125">
        <v>0</v>
      </c>
      <c r="F125">
        <v>0</v>
      </c>
      <c r="G125">
        <v>0</v>
      </c>
      <c r="H125">
        <v>0</v>
      </c>
      <c r="I125">
        <v>0</v>
      </c>
      <c r="J125">
        <v>0</v>
      </c>
      <c r="L125">
        <v>0</v>
      </c>
      <c r="M125">
        <v>0</v>
      </c>
      <c r="N125">
        <v>0</v>
      </c>
      <c r="O125">
        <v>0</v>
      </c>
      <c r="P125">
        <v>0</v>
      </c>
      <c r="Q125">
        <v>0</v>
      </c>
      <c r="R125">
        <v>0</v>
      </c>
      <c r="S125">
        <v>0</v>
      </c>
      <c r="T125">
        <v>0</v>
      </c>
      <c r="U125">
        <v>0</v>
      </c>
      <c r="W125">
        <v>0</v>
      </c>
      <c r="X125">
        <v>0</v>
      </c>
      <c r="Y125">
        <v>0</v>
      </c>
      <c r="Z125">
        <v>0</v>
      </c>
      <c r="AA125">
        <v>0</v>
      </c>
      <c r="AB125">
        <v>0</v>
      </c>
      <c r="AC125">
        <v>0</v>
      </c>
      <c r="AD125">
        <v>0</v>
      </c>
      <c r="AE125">
        <v>0</v>
      </c>
      <c r="AF125">
        <v>0</v>
      </c>
      <c r="AH125" t="s">
        <v>1547</v>
      </c>
      <c r="AI125" s="60" t="s">
        <v>1564</v>
      </c>
    </row>
    <row r="126" spans="1:35" x14ac:dyDescent="0.25">
      <c r="A126">
        <v>-88.4</v>
      </c>
      <c r="B126">
        <v>-89.066666666666677</v>
      </c>
      <c r="C126">
        <v>-89.73333333333332</v>
      </c>
      <c r="D126">
        <v>-90.399999999999991</v>
      </c>
      <c r="E126">
        <v>-91.066666666666663</v>
      </c>
      <c r="F126">
        <v>-91.733333333333348</v>
      </c>
      <c r="G126">
        <v>-92.4</v>
      </c>
      <c r="H126">
        <v>-93.066666666666663</v>
      </c>
      <c r="I126">
        <v>180.59999999999965</v>
      </c>
      <c r="J126">
        <v>0</v>
      </c>
      <c r="L126">
        <v>-88.40000000000002</v>
      </c>
      <c r="M126">
        <v>-89.066666666666663</v>
      </c>
      <c r="N126">
        <v>-89.73333333333332</v>
      </c>
      <c r="O126">
        <v>-90.400000000000034</v>
      </c>
      <c r="P126">
        <v>-91.066666666666677</v>
      </c>
      <c r="Q126">
        <v>-91.73333333333332</v>
      </c>
      <c r="R126">
        <v>-92.4</v>
      </c>
      <c r="S126">
        <v>-93.066666666666663</v>
      </c>
      <c r="T126">
        <v>180.60000000000227</v>
      </c>
      <c r="U126">
        <v>728.59999999999673</v>
      </c>
      <c r="W126">
        <v>-88.400000000000276</v>
      </c>
      <c r="X126">
        <v>48.100000000004627</v>
      </c>
      <c r="Y126">
        <v>184.60000000000699</v>
      </c>
      <c r="Z126">
        <v>321.10000000000196</v>
      </c>
      <c r="AA126">
        <v>457.6000000000015</v>
      </c>
      <c r="AB126">
        <v>594.09999999999945</v>
      </c>
      <c r="AC126">
        <v>730.59999999999957</v>
      </c>
      <c r="AD126">
        <v>867.10000000000252</v>
      </c>
      <c r="AE126">
        <v>1000</v>
      </c>
      <c r="AF126">
        <v>1000</v>
      </c>
      <c r="AH126" t="s">
        <v>292</v>
      </c>
      <c r="AI126" t="s">
        <v>1551</v>
      </c>
    </row>
    <row r="127" spans="1:35" x14ac:dyDescent="0.25">
      <c r="A127">
        <v>-280.39999999999998</v>
      </c>
      <c r="B127">
        <v>-281.06666666666666</v>
      </c>
      <c r="C127">
        <v>-281.73333333333329</v>
      </c>
      <c r="D127">
        <v>-282.39999999999998</v>
      </c>
      <c r="E127">
        <v>-283.06666666666666</v>
      </c>
      <c r="F127">
        <v>-283.73333333333329</v>
      </c>
      <c r="G127">
        <v>-284.39999999999998</v>
      </c>
      <c r="H127">
        <v>-285.06666666666666</v>
      </c>
      <c r="I127">
        <v>-11.400000000000318</v>
      </c>
      <c r="J127">
        <v>0</v>
      </c>
      <c r="L127">
        <v>-280.39999999999998</v>
      </c>
      <c r="M127">
        <v>-281.06666666666666</v>
      </c>
      <c r="N127">
        <v>-281.73333333333329</v>
      </c>
      <c r="O127">
        <v>-282.39999999999998</v>
      </c>
      <c r="P127">
        <v>-283.06666666666666</v>
      </c>
      <c r="Q127">
        <v>-283.73333333333329</v>
      </c>
      <c r="R127">
        <v>-284.39999999999998</v>
      </c>
      <c r="S127">
        <v>-285.06666666666666</v>
      </c>
      <c r="T127">
        <v>-11.399999999997704</v>
      </c>
      <c r="U127">
        <v>536.59999999999673</v>
      </c>
      <c r="W127">
        <v>-280.40000000000026</v>
      </c>
      <c r="X127">
        <v>-143.89999999999534</v>
      </c>
      <c r="Y127">
        <v>-7.3999999999929855</v>
      </c>
      <c r="Z127">
        <v>129.10000000000201</v>
      </c>
      <c r="AA127">
        <v>265.6000000000015</v>
      </c>
      <c r="AB127">
        <v>402.09999999999945</v>
      </c>
      <c r="AC127">
        <v>538.59999999999957</v>
      </c>
      <c r="AD127">
        <v>675.10000000000252</v>
      </c>
      <c r="AE127">
        <v>808.00000000000011</v>
      </c>
      <c r="AF127">
        <v>808.00000000000011</v>
      </c>
      <c r="AH127" t="s">
        <v>293</v>
      </c>
      <c r="AI127" t="s">
        <v>1553</v>
      </c>
    </row>
    <row r="128" spans="1:35" x14ac:dyDescent="0.25">
      <c r="A128">
        <v>3.5000000000000022</v>
      </c>
      <c r="B128">
        <v>3.099999999999997</v>
      </c>
      <c r="C128">
        <v>2.7000000000000051</v>
      </c>
      <c r="D128">
        <v>2.3000000000000025</v>
      </c>
      <c r="E128">
        <v>1.900000000000001</v>
      </c>
      <c r="F128">
        <v>1.4999999999999982</v>
      </c>
      <c r="G128">
        <v>1.1000000000000001</v>
      </c>
      <c r="H128">
        <v>0.7000000000000004</v>
      </c>
      <c r="I128">
        <v>0.25000000000000022</v>
      </c>
      <c r="J128">
        <v>0</v>
      </c>
      <c r="L128">
        <v>4.4999999999999982</v>
      </c>
      <c r="M128">
        <v>4.0999999999999996</v>
      </c>
      <c r="N128">
        <v>3.7000000000000055</v>
      </c>
      <c r="O128">
        <v>3.2999999999999914</v>
      </c>
      <c r="P128">
        <v>2.8999999999999972</v>
      </c>
      <c r="Q128">
        <v>2.500000000000004</v>
      </c>
      <c r="R128">
        <v>2.0999999999999988</v>
      </c>
      <c r="S128">
        <v>1.7000000000000011</v>
      </c>
      <c r="T128">
        <v>1.2499999999999987</v>
      </c>
      <c r="U128">
        <v>0.75000000000000222</v>
      </c>
      <c r="W128">
        <v>4.9999999999999982</v>
      </c>
      <c r="X128">
        <v>4.5750000000000028</v>
      </c>
      <c r="Y128">
        <v>4.1500000000000048</v>
      </c>
      <c r="Z128">
        <v>3.7250000000000005</v>
      </c>
      <c r="AA128">
        <v>3.3000000000000016</v>
      </c>
      <c r="AB128">
        <v>2.8749999999999991</v>
      </c>
      <c r="AC128">
        <v>2.4499999999999997</v>
      </c>
      <c r="AD128">
        <v>2.0250000000000017</v>
      </c>
      <c r="AE128">
        <v>1.5996727272727271</v>
      </c>
      <c r="AF128">
        <v>1.1622636363636363</v>
      </c>
      <c r="AH128" t="s">
        <v>1631</v>
      </c>
    </row>
    <row r="129" spans="1:34" x14ac:dyDescent="0.25">
      <c r="A129">
        <v>2</v>
      </c>
      <c r="B129">
        <v>1.9</v>
      </c>
      <c r="C129">
        <v>1.8</v>
      </c>
      <c r="D129">
        <v>1.7</v>
      </c>
      <c r="E129">
        <v>1.6</v>
      </c>
      <c r="F129">
        <v>1.5</v>
      </c>
      <c r="G129">
        <v>1.4</v>
      </c>
      <c r="H129">
        <v>1.3</v>
      </c>
      <c r="I129">
        <v>1.2</v>
      </c>
      <c r="J129">
        <v>0</v>
      </c>
      <c r="L129">
        <v>2</v>
      </c>
      <c r="M129">
        <v>1.9</v>
      </c>
      <c r="N129">
        <v>1.8</v>
      </c>
      <c r="O129">
        <v>1.7</v>
      </c>
      <c r="P129">
        <v>1.6</v>
      </c>
      <c r="Q129">
        <v>1.5</v>
      </c>
      <c r="R129">
        <v>1.4</v>
      </c>
      <c r="S129">
        <v>1.3</v>
      </c>
      <c r="T129">
        <v>1.2</v>
      </c>
      <c r="U129">
        <v>1.1000000000000001</v>
      </c>
      <c r="W129">
        <v>2</v>
      </c>
      <c r="X129">
        <v>1.9</v>
      </c>
      <c r="Y129">
        <v>1.8</v>
      </c>
      <c r="Z129">
        <v>1.7</v>
      </c>
      <c r="AA129">
        <v>1.6</v>
      </c>
      <c r="AB129">
        <v>1.5</v>
      </c>
      <c r="AC129">
        <v>1.4</v>
      </c>
      <c r="AD129">
        <v>1.3</v>
      </c>
      <c r="AE129">
        <v>1.2</v>
      </c>
      <c r="AF129">
        <v>1.1000000000000001</v>
      </c>
      <c r="AH129" t="s">
        <v>1615</v>
      </c>
    </row>
    <row r="130" spans="1:34" x14ac:dyDescent="0.25">
      <c r="A130">
        <v>1.0000000000000004</v>
      </c>
      <c r="B130">
        <v>0.93333333333333268</v>
      </c>
      <c r="C130">
        <v>0.86666666666666836</v>
      </c>
      <c r="D130">
        <v>0.80000000000000104</v>
      </c>
      <c r="E130">
        <v>0.7333333333333335</v>
      </c>
      <c r="F130">
        <v>0.66666666666666607</v>
      </c>
      <c r="G130">
        <v>0.60000000000000009</v>
      </c>
      <c r="H130">
        <v>0.53333333333333344</v>
      </c>
      <c r="I130">
        <v>0.59999999999999987</v>
      </c>
      <c r="J130">
        <v>0</v>
      </c>
      <c r="L130">
        <v>0.99999999999999911</v>
      </c>
      <c r="M130">
        <v>0.93333333333333335</v>
      </c>
      <c r="N130">
        <v>0.86666666666666825</v>
      </c>
      <c r="O130">
        <v>0.79999999999999749</v>
      </c>
      <c r="P130">
        <v>0.73333333333333273</v>
      </c>
      <c r="Q130">
        <v>0.66666666666666796</v>
      </c>
      <c r="R130">
        <v>0.59999999999999976</v>
      </c>
      <c r="S130">
        <v>0.53333333333333355</v>
      </c>
      <c r="T130">
        <v>0.60000000000000075</v>
      </c>
      <c r="U130">
        <v>0.79999999999999871</v>
      </c>
      <c r="W130">
        <v>0.99999999999999967</v>
      </c>
      <c r="X130">
        <v>1.0000000000000031</v>
      </c>
      <c r="Y130">
        <v>1.0000000000000053</v>
      </c>
      <c r="Z130">
        <v>1.0000000000000013</v>
      </c>
      <c r="AA130">
        <v>1.0000000000000011</v>
      </c>
      <c r="AB130">
        <v>0.99999999999999944</v>
      </c>
      <c r="AC130">
        <v>0.99999999999999978</v>
      </c>
      <c r="AD130">
        <v>1.000000000000002</v>
      </c>
      <c r="AE130">
        <v>0.99738181818181837</v>
      </c>
      <c r="AF130">
        <v>0.89810909090909108</v>
      </c>
      <c r="AH130" t="s">
        <v>1616</v>
      </c>
    </row>
    <row r="131" spans="1:34" x14ac:dyDescent="0.25">
      <c r="A131">
        <v>-8.84</v>
      </c>
      <c r="B131">
        <v>-8.9066666666666681</v>
      </c>
      <c r="C131">
        <v>-8.9733333333333327</v>
      </c>
      <c r="D131">
        <v>-9.0399999999999991</v>
      </c>
      <c r="E131">
        <v>-9.1066666666666656</v>
      </c>
      <c r="F131">
        <v>-9.1733333333333356</v>
      </c>
      <c r="G131">
        <v>-9.24</v>
      </c>
      <c r="H131">
        <v>-9.3066666666666666</v>
      </c>
      <c r="I131">
        <v>18.059999999999967</v>
      </c>
      <c r="J131">
        <v>0</v>
      </c>
      <c r="L131">
        <v>-8.8400000000000016</v>
      </c>
      <c r="M131">
        <v>-8.9066666666666663</v>
      </c>
      <c r="N131">
        <v>-8.9733333333333327</v>
      </c>
      <c r="O131">
        <v>-9.0400000000000027</v>
      </c>
      <c r="P131">
        <v>-9.1066666666666674</v>
      </c>
      <c r="Q131">
        <v>-9.173333333333332</v>
      </c>
      <c r="R131">
        <v>-9.24</v>
      </c>
      <c r="S131">
        <v>-9.3066666666666666</v>
      </c>
      <c r="T131">
        <v>18.060000000000226</v>
      </c>
      <c r="U131">
        <v>72.859999999999673</v>
      </c>
      <c r="W131">
        <v>-8.8400000000000283</v>
      </c>
      <c r="X131">
        <v>4.8100000000004624</v>
      </c>
      <c r="Y131">
        <v>18.460000000000697</v>
      </c>
      <c r="Z131">
        <v>32.110000000000198</v>
      </c>
      <c r="AA131">
        <v>45.760000000000147</v>
      </c>
      <c r="AB131">
        <v>59.409999999999947</v>
      </c>
      <c r="AC131">
        <v>73.05999999999996</v>
      </c>
      <c r="AD131">
        <v>86.71000000000025</v>
      </c>
      <c r="AE131">
        <v>100</v>
      </c>
      <c r="AF131">
        <v>100</v>
      </c>
      <c r="AH131" t="s">
        <v>1617</v>
      </c>
    </row>
    <row r="132" spans="1:34" x14ac:dyDescent="0.25">
      <c r="A132">
        <v>0</v>
      </c>
      <c r="B132">
        <v>0</v>
      </c>
      <c r="C132">
        <v>0</v>
      </c>
      <c r="D132">
        <v>0</v>
      </c>
      <c r="E132">
        <v>0</v>
      </c>
      <c r="F132">
        <v>0</v>
      </c>
      <c r="G132">
        <v>0</v>
      </c>
      <c r="H132">
        <v>0</v>
      </c>
      <c r="I132">
        <v>0</v>
      </c>
      <c r="J132">
        <v>0</v>
      </c>
      <c r="L132">
        <v>0</v>
      </c>
      <c r="M132">
        <v>0</v>
      </c>
      <c r="N132">
        <v>0</v>
      </c>
      <c r="O132">
        <v>0</v>
      </c>
      <c r="P132">
        <v>0</v>
      </c>
      <c r="Q132">
        <v>0</v>
      </c>
      <c r="R132">
        <v>0</v>
      </c>
      <c r="S132">
        <v>0</v>
      </c>
      <c r="T132">
        <v>0</v>
      </c>
      <c r="U132">
        <v>0</v>
      </c>
      <c r="W132">
        <v>0</v>
      </c>
      <c r="X132">
        <v>0</v>
      </c>
      <c r="Y132">
        <v>0</v>
      </c>
      <c r="Z132">
        <v>0</v>
      </c>
      <c r="AA132">
        <v>0</v>
      </c>
      <c r="AB132">
        <v>0</v>
      </c>
      <c r="AC132">
        <v>0</v>
      </c>
      <c r="AD132">
        <v>0</v>
      </c>
      <c r="AE132">
        <v>2.618181818182205E-3</v>
      </c>
      <c r="AF132">
        <v>0.10189090909090977</v>
      </c>
      <c r="AH132" t="s">
        <v>1618</v>
      </c>
    </row>
    <row r="133" spans="1:34" x14ac:dyDescent="0.25">
      <c r="A133">
        <v>0</v>
      </c>
      <c r="B133">
        <v>0</v>
      </c>
      <c r="C133">
        <v>0</v>
      </c>
      <c r="D133">
        <v>0</v>
      </c>
      <c r="E133">
        <v>0</v>
      </c>
      <c r="F133">
        <v>0</v>
      </c>
      <c r="G133">
        <v>0</v>
      </c>
      <c r="H133">
        <v>0</v>
      </c>
      <c r="I133">
        <v>0</v>
      </c>
      <c r="J133">
        <v>0</v>
      </c>
      <c r="L133">
        <v>0</v>
      </c>
      <c r="M133">
        <v>0</v>
      </c>
      <c r="N133">
        <v>0</v>
      </c>
      <c r="O133">
        <v>0</v>
      </c>
      <c r="P133">
        <v>0</v>
      </c>
      <c r="Q133">
        <v>0</v>
      </c>
      <c r="R133">
        <v>0</v>
      </c>
      <c r="S133">
        <v>0</v>
      </c>
      <c r="T133">
        <v>0</v>
      </c>
      <c r="U133">
        <v>0</v>
      </c>
      <c r="W133">
        <v>0</v>
      </c>
      <c r="X133">
        <v>0</v>
      </c>
      <c r="Y133">
        <v>0</v>
      </c>
      <c r="Z133">
        <v>0</v>
      </c>
      <c r="AA133">
        <v>0</v>
      </c>
      <c r="AB133">
        <v>0</v>
      </c>
      <c r="AC133">
        <v>0</v>
      </c>
      <c r="AD133">
        <v>0</v>
      </c>
      <c r="AE133">
        <v>0</v>
      </c>
      <c r="AF133">
        <v>0</v>
      </c>
      <c r="AH133" t="s">
        <v>1619</v>
      </c>
    </row>
    <row r="134" spans="1:34" x14ac:dyDescent="0.25">
      <c r="A134">
        <v>0</v>
      </c>
      <c r="B134">
        <v>0</v>
      </c>
      <c r="C134">
        <v>0</v>
      </c>
      <c r="D134">
        <v>0</v>
      </c>
      <c r="E134">
        <v>0</v>
      </c>
      <c r="F134">
        <v>0</v>
      </c>
      <c r="G134">
        <v>0</v>
      </c>
      <c r="H134">
        <v>0</v>
      </c>
      <c r="I134">
        <v>0</v>
      </c>
      <c r="J134">
        <v>0</v>
      </c>
      <c r="L134">
        <v>0</v>
      </c>
      <c r="M134">
        <v>0</v>
      </c>
      <c r="N134">
        <v>0</v>
      </c>
      <c r="O134">
        <v>0</v>
      </c>
      <c r="P134">
        <v>0</v>
      </c>
      <c r="Q134">
        <v>0</v>
      </c>
      <c r="R134">
        <v>0</v>
      </c>
      <c r="S134">
        <v>0</v>
      </c>
      <c r="T134">
        <v>0</v>
      </c>
      <c r="U134">
        <v>0</v>
      </c>
      <c r="W134">
        <v>0</v>
      </c>
      <c r="X134">
        <v>0</v>
      </c>
      <c r="Y134">
        <v>0</v>
      </c>
      <c r="Z134">
        <v>0</v>
      </c>
      <c r="AA134">
        <v>0</v>
      </c>
      <c r="AB134">
        <v>0</v>
      </c>
      <c r="AC134">
        <v>0</v>
      </c>
      <c r="AD134">
        <v>0</v>
      </c>
      <c r="AE134">
        <v>0</v>
      </c>
      <c r="AF134">
        <v>0</v>
      </c>
      <c r="AH134" t="s">
        <v>1620</v>
      </c>
    </row>
    <row r="135" spans="1:34" x14ac:dyDescent="0.25">
      <c r="A135">
        <v>0</v>
      </c>
      <c r="B135">
        <v>0</v>
      </c>
      <c r="C135">
        <v>0</v>
      </c>
      <c r="D135">
        <v>0</v>
      </c>
      <c r="E135">
        <v>0</v>
      </c>
      <c r="F135">
        <v>0</v>
      </c>
      <c r="G135">
        <v>0</v>
      </c>
      <c r="H135">
        <v>0</v>
      </c>
      <c r="I135">
        <v>0</v>
      </c>
      <c r="J135">
        <v>0</v>
      </c>
      <c r="L135">
        <v>0</v>
      </c>
      <c r="M135">
        <v>0</v>
      </c>
      <c r="N135">
        <v>0</v>
      </c>
      <c r="O135">
        <v>0</v>
      </c>
      <c r="P135">
        <v>0</v>
      </c>
      <c r="Q135">
        <v>0</v>
      </c>
      <c r="R135">
        <v>0</v>
      </c>
      <c r="S135">
        <v>0</v>
      </c>
      <c r="T135">
        <v>0</v>
      </c>
      <c r="U135">
        <v>0</v>
      </c>
      <c r="W135">
        <v>0</v>
      </c>
      <c r="X135">
        <v>0</v>
      </c>
      <c r="Y135">
        <v>0</v>
      </c>
      <c r="Z135">
        <v>0</v>
      </c>
      <c r="AA135">
        <v>0</v>
      </c>
      <c r="AB135">
        <v>0</v>
      </c>
      <c r="AC135">
        <v>0</v>
      </c>
      <c r="AD135">
        <v>0</v>
      </c>
      <c r="AE135">
        <v>0</v>
      </c>
      <c r="AF135">
        <v>0</v>
      </c>
      <c r="AH135" t="s">
        <v>1621</v>
      </c>
    </row>
    <row r="136" spans="1:34" x14ac:dyDescent="0.25">
      <c r="A136">
        <v>0</v>
      </c>
      <c r="B136">
        <v>0</v>
      </c>
      <c r="C136">
        <v>0</v>
      </c>
      <c r="D136">
        <v>0</v>
      </c>
      <c r="E136">
        <v>0</v>
      </c>
      <c r="F136">
        <v>0</v>
      </c>
      <c r="G136">
        <v>0</v>
      </c>
      <c r="H136">
        <v>0</v>
      </c>
      <c r="I136">
        <v>0</v>
      </c>
      <c r="J136">
        <v>0</v>
      </c>
      <c r="L136">
        <v>0</v>
      </c>
      <c r="M136">
        <v>0</v>
      </c>
      <c r="N136">
        <v>0</v>
      </c>
      <c r="O136">
        <v>0</v>
      </c>
      <c r="P136">
        <v>0</v>
      </c>
      <c r="Q136">
        <v>0</v>
      </c>
      <c r="R136">
        <v>0</v>
      </c>
      <c r="S136">
        <v>0</v>
      </c>
      <c r="T136">
        <v>0</v>
      </c>
      <c r="U136">
        <v>0</v>
      </c>
      <c r="W136">
        <v>0</v>
      </c>
      <c r="X136">
        <v>0</v>
      </c>
      <c r="Y136">
        <v>0</v>
      </c>
      <c r="Z136">
        <v>0</v>
      </c>
      <c r="AA136">
        <v>0</v>
      </c>
      <c r="AB136">
        <v>0</v>
      </c>
      <c r="AC136">
        <v>0</v>
      </c>
      <c r="AD136">
        <v>0</v>
      </c>
      <c r="AE136">
        <v>0</v>
      </c>
      <c r="AF136">
        <v>0</v>
      </c>
      <c r="AH136" t="s">
        <v>1622</v>
      </c>
    </row>
    <row r="137" spans="1:34" x14ac:dyDescent="0.25">
      <c r="A137">
        <v>0</v>
      </c>
      <c r="B137">
        <v>0</v>
      </c>
      <c r="C137">
        <v>0</v>
      </c>
      <c r="D137">
        <v>0</v>
      </c>
      <c r="E137">
        <v>0</v>
      </c>
      <c r="F137">
        <v>0</v>
      </c>
      <c r="G137">
        <v>0</v>
      </c>
      <c r="H137">
        <v>0</v>
      </c>
      <c r="I137">
        <v>0</v>
      </c>
      <c r="J137">
        <v>0</v>
      </c>
      <c r="L137">
        <v>0</v>
      </c>
      <c r="M137">
        <v>0</v>
      </c>
      <c r="N137">
        <v>0</v>
      </c>
      <c r="O137">
        <v>0</v>
      </c>
      <c r="P137">
        <v>0</v>
      </c>
      <c r="Q137">
        <v>0</v>
      </c>
      <c r="R137">
        <v>0</v>
      </c>
      <c r="S137">
        <v>0</v>
      </c>
      <c r="T137">
        <v>0</v>
      </c>
      <c r="U137">
        <v>0</v>
      </c>
      <c r="W137">
        <v>0</v>
      </c>
      <c r="X137">
        <v>0</v>
      </c>
      <c r="Y137">
        <v>0</v>
      </c>
      <c r="Z137">
        <v>0</v>
      </c>
      <c r="AA137">
        <v>0</v>
      </c>
      <c r="AB137">
        <v>0</v>
      </c>
      <c r="AC137">
        <v>0</v>
      </c>
      <c r="AD137">
        <v>0</v>
      </c>
      <c r="AE137">
        <v>0</v>
      </c>
      <c r="AF137">
        <v>0</v>
      </c>
      <c r="AH137" t="s">
        <v>1623</v>
      </c>
    </row>
    <row r="138" spans="1:34" x14ac:dyDescent="0.25">
      <c r="A138">
        <v>1.2434497875801752E-15</v>
      </c>
      <c r="B138">
        <v>6.6666666666665722E-2</v>
      </c>
      <c r="C138">
        <v>0.13333333333333677</v>
      </c>
      <c r="D138">
        <v>0.20000000000000179</v>
      </c>
      <c r="E138">
        <v>0.26666666666666733</v>
      </c>
      <c r="F138">
        <v>0.33333333333333248</v>
      </c>
      <c r="G138">
        <v>0.3999999999999998</v>
      </c>
      <c r="H138">
        <v>0.46666666666666695</v>
      </c>
      <c r="I138">
        <v>0.40000000000000024</v>
      </c>
      <c r="J138">
        <v>0</v>
      </c>
      <c r="L138">
        <v>-1.2434497875801752E-15</v>
      </c>
      <c r="M138">
        <v>6.666666666666661E-2</v>
      </c>
      <c r="N138">
        <v>0.13333333333333625</v>
      </c>
      <c r="O138">
        <v>0.19999999999999502</v>
      </c>
      <c r="P138">
        <v>0.26666666666666555</v>
      </c>
      <c r="Q138">
        <v>0.33333333333333554</v>
      </c>
      <c r="R138">
        <v>0.39999999999999936</v>
      </c>
      <c r="S138">
        <v>0.46666666666666734</v>
      </c>
      <c r="T138">
        <v>0.3999999999999983</v>
      </c>
      <c r="U138">
        <v>0.2000000000000024</v>
      </c>
      <c r="W138">
        <v>0</v>
      </c>
      <c r="X138">
        <v>0</v>
      </c>
      <c r="Y138">
        <v>0</v>
      </c>
      <c r="Z138">
        <v>0</v>
      </c>
      <c r="AA138">
        <v>0</v>
      </c>
      <c r="AB138">
        <v>0</v>
      </c>
      <c r="AC138">
        <v>0</v>
      </c>
      <c r="AD138">
        <v>0</v>
      </c>
      <c r="AE138">
        <v>0</v>
      </c>
      <c r="AF138">
        <v>0</v>
      </c>
      <c r="AH138" t="s">
        <v>1624</v>
      </c>
    </row>
    <row r="139" spans="1:34" x14ac:dyDescent="0.25">
      <c r="A139">
        <v>0</v>
      </c>
      <c r="B139">
        <v>0</v>
      </c>
      <c r="C139">
        <v>0</v>
      </c>
      <c r="D139">
        <v>0</v>
      </c>
      <c r="E139">
        <v>0</v>
      </c>
      <c r="F139">
        <v>0</v>
      </c>
      <c r="G139">
        <v>0</v>
      </c>
      <c r="H139">
        <v>0</v>
      </c>
      <c r="I139">
        <v>0</v>
      </c>
      <c r="J139">
        <v>0</v>
      </c>
      <c r="L139">
        <v>0</v>
      </c>
      <c r="M139">
        <v>0</v>
      </c>
      <c r="N139">
        <v>0</v>
      </c>
      <c r="O139">
        <v>0</v>
      </c>
      <c r="P139">
        <v>0</v>
      </c>
      <c r="Q139">
        <v>0</v>
      </c>
      <c r="R139">
        <v>0</v>
      </c>
      <c r="S139">
        <v>0</v>
      </c>
      <c r="T139">
        <v>0</v>
      </c>
      <c r="U139">
        <v>0</v>
      </c>
      <c r="W139">
        <v>0</v>
      </c>
      <c r="X139">
        <v>0</v>
      </c>
      <c r="Y139">
        <v>0</v>
      </c>
      <c r="Z139">
        <v>0</v>
      </c>
      <c r="AA139">
        <v>0</v>
      </c>
      <c r="AB139">
        <v>0</v>
      </c>
      <c r="AC139">
        <v>0</v>
      </c>
      <c r="AD139">
        <v>0</v>
      </c>
      <c r="AE139">
        <v>0</v>
      </c>
      <c r="AF139">
        <v>0</v>
      </c>
      <c r="AH139" t="s">
        <v>1625</v>
      </c>
    </row>
    <row r="140" spans="1:34" x14ac:dyDescent="0.25">
      <c r="A140">
        <v>0</v>
      </c>
      <c r="B140">
        <v>0</v>
      </c>
      <c r="C140">
        <v>0</v>
      </c>
      <c r="D140">
        <v>0</v>
      </c>
      <c r="E140">
        <v>0</v>
      </c>
      <c r="F140">
        <v>0</v>
      </c>
      <c r="G140">
        <v>0</v>
      </c>
      <c r="H140">
        <v>0</v>
      </c>
      <c r="I140">
        <v>0</v>
      </c>
      <c r="J140">
        <v>0</v>
      </c>
      <c r="L140">
        <v>0</v>
      </c>
      <c r="M140">
        <v>0</v>
      </c>
      <c r="N140">
        <v>0</v>
      </c>
      <c r="O140">
        <v>0</v>
      </c>
      <c r="P140">
        <v>0</v>
      </c>
      <c r="Q140">
        <v>0</v>
      </c>
      <c r="R140">
        <v>0</v>
      </c>
      <c r="S140">
        <v>0</v>
      </c>
      <c r="T140">
        <v>0</v>
      </c>
      <c r="U140">
        <v>0</v>
      </c>
      <c r="W140">
        <v>0</v>
      </c>
      <c r="X140">
        <v>0</v>
      </c>
      <c r="Y140">
        <v>0</v>
      </c>
      <c r="Z140">
        <v>0</v>
      </c>
      <c r="AA140">
        <v>0</v>
      </c>
      <c r="AB140">
        <v>0</v>
      </c>
      <c r="AC140">
        <v>0</v>
      </c>
      <c r="AD140">
        <v>0</v>
      </c>
      <c r="AE140">
        <v>0</v>
      </c>
      <c r="AF140">
        <v>0</v>
      </c>
      <c r="AH140" t="s">
        <v>1626</v>
      </c>
    </row>
    <row r="141" spans="1:34" x14ac:dyDescent="0.25">
      <c r="A141">
        <v>1.2434497875801752E-15</v>
      </c>
      <c r="B141">
        <v>6.6666666666665722E-2</v>
      </c>
      <c r="C141">
        <v>0.13333333333333677</v>
      </c>
      <c r="D141">
        <v>0.20000000000000179</v>
      </c>
      <c r="E141">
        <v>0.26666666666666733</v>
      </c>
      <c r="F141">
        <v>0.33333333333333248</v>
      </c>
      <c r="G141">
        <v>0.3999999999999998</v>
      </c>
      <c r="H141">
        <v>0.46666666666666695</v>
      </c>
      <c r="I141">
        <v>0.40000000000000024</v>
      </c>
      <c r="J141">
        <v>0</v>
      </c>
      <c r="L141">
        <v>-1.2434497875801752E-15</v>
      </c>
      <c r="M141">
        <v>6.666666666666661E-2</v>
      </c>
      <c r="N141">
        <v>0.13333333333333625</v>
      </c>
      <c r="O141">
        <v>0.19999999999999502</v>
      </c>
      <c r="P141">
        <v>0.26666666666666555</v>
      </c>
      <c r="Q141">
        <v>0.33333333333333554</v>
      </c>
      <c r="R141">
        <v>0.39999999999999936</v>
      </c>
      <c r="S141">
        <v>0.46666666666666734</v>
      </c>
      <c r="T141">
        <v>0.3999999999999983</v>
      </c>
      <c r="U141">
        <v>0.2000000000000024</v>
      </c>
      <c r="W141">
        <v>0</v>
      </c>
      <c r="X141">
        <v>0</v>
      </c>
      <c r="Y141">
        <v>0</v>
      </c>
      <c r="Z141">
        <v>0</v>
      </c>
      <c r="AA141">
        <v>0</v>
      </c>
      <c r="AB141">
        <v>0</v>
      </c>
      <c r="AC141">
        <v>0</v>
      </c>
      <c r="AD141">
        <v>0</v>
      </c>
      <c r="AE141">
        <v>2.618181818182205E-3</v>
      </c>
      <c r="AF141">
        <v>0.10189090909090977</v>
      </c>
      <c r="AH141" t="s">
        <v>1627</v>
      </c>
    </row>
    <row r="142" spans="1:34" x14ac:dyDescent="0.25">
      <c r="A142">
        <v>0</v>
      </c>
      <c r="B142">
        <v>0</v>
      </c>
      <c r="C142">
        <v>0</v>
      </c>
      <c r="D142">
        <v>0</v>
      </c>
      <c r="E142">
        <v>0</v>
      </c>
      <c r="F142">
        <v>0</v>
      </c>
      <c r="G142">
        <v>0</v>
      </c>
      <c r="H142">
        <v>0</v>
      </c>
      <c r="I142">
        <v>0</v>
      </c>
      <c r="J142">
        <v>0</v>
      </c>
      <c r="L142">
        <v>0</v>
      </c>
      <c r="M142">
        <v>0</v>
      </c>
      <c r="N142">
        <v>0</v>
      </c>
      <c r="O142">
        <v>0</v>
      </c>
      <c r="P142">
        <v>0</v>
      </c>
      <c r="Q142">
        <v>0</v>
      </c>
      <c r="R142">
        <v>0</v>
      </c>
      <c r="S142">
        <v>0</v>
      </c>
      <c r="T142">
        <v>0</v>
      </c>
      <c r="U142">
        <v>0</v>
      </c>
      <c r="W142">
        <v>0</v>
      </c>
      <c r="X142">
        <v>0</v>
      </c>
      <c r="Y142">
        <v>0</v>
      </c>
      <c r="Z142">
        <v>0</v>
      </c>
      <c r="AA142">
        <v>0</v>
      </c>
      <c r="AB142">
        <v>0</v>
      </c>
      <c r="AC142">
        <v>0</v>
      </c>
      <c r="AD142">
        <v>0</v>
      </c>
      <c r="AE142">
        <v>0</v>
      </c>
      <c r="AF142">
        <v>0</v>
      </c>
      <c r="AH142" t="s">
        <v>1628</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73C16-821A-43E3-9025-CA39A8B59B6A}">
  <sheetPr codeName="Sheet15"/>
  <dimension ref="A1:AT61"/>
  <sheetViews>
    <sheetView zoomScale="90" zoomScaleNormal="90" workbookViewId="0">
      <selection activeCell="T2" sqref="A2:XFD2"/>
    </sheetView>
  </sheetViews>
  <sheetFormatPr defaultRowHeight="15" x14ac:dyDescent="0.25"/>
  <cols>
    <col min="1" max="1" width="21.42578125" customWidth="1"/>
    <col min="4" max="12" width="9.140625" style="36"/>
  </cols>
  <sheetData>
    <row r="1" spans="1:43" x14ac:dyDescent="0.25">
      <c r="A1" s="87" t="s">
        <v>145</v>
      </c>
      <c r="B1" s="87"/>
      <c r="C1" s="87"/>
      <c r="D1" s="88"/>
      <c r="E1" s="88"/>
      <c r="F1" s="88"/>
      <c r="G1" s="88"/>
      <c r="H1" s="88"/>
      <c r="I1" s="88"/>
      <c r="J1" s="88"/>
      <c r="K1" s="88"/>
      <c r="L1" s="88"/>
    </row>
    <row r="2" spans="1:43" x14ac:dyDescent="0.25">
      <c r="A2" s="87"/>
      <c r="B2" s="87"/>
      <c r="C2" s="87"/>
      <c r="D2" s="88" t="s">
        <v>145</v>
      </c>
      <c r="E2" s="88" t="s">
        <v>194</v>
      </c>
      <c r="F2" s="88" t="s">
        <v>189</v>
      </c>
      <c r="G2" s="88" t="s">
        <v>1575</v>
      </c>
      <c r="H2" s="88"/>
      <c r="I2" s="88" t="s">
        <v>1576</v>
      </c>
      <c r="J2" s="88" t="s">
        <v>1577</v>
      </c>
      <c r="K2" s="88"/>
      <c r="L2" s="88" t="s">
        <v>1578</v>
      </c>
    </row>
    <row r="3" spans="1:43" x14ac:dyDescent="0.25">
      <c r="A3" s="87" t="s">
        <v>1579</v>
      </c>
      <c r="B3" s="87"/>
      <c r="C3" s="87"/>
      <c r="D3" s="88"/>
      <c r="E3" s="88"/>
      <c r="F3" s="88" t="s">
        <v>1580</v>
      </c>
      <c r="G3" s="88"/>
      <c r="H3" s="88"/>
      <c r="I3" s="88"/>
      <c r="J3" s="88"/>
      <c r="K3" s="88"/>
      <c r="L3" s="88"/>
    </row>
    <row r="4" spans="1:43" x14ac:dyDescent="0.25">
      <c r="A4" s="87"/>
      <c r="B4" s="87" t="s">
        <v>870</v>
      </c>
      <c r="C4" s="87"/>
      <c r="D4" s="88">
        <v>1</v>
      </c>
      <c r="E4" s="88">
        <v>0.1</v>
      </c>
      <c r="F4" s="88">
        <v>0.30584800000000034</v>
      </c>
      <c r="G4" s="88">
        <v>0.4587720000000004</v>
      </c>
      <c r="H4" s="88"/>
      <c r="I4" s="88">
        <f>E4/F4</f>
        <v>0.32695979702335765</v>
      </c>
      <c r="J4" s="88">
        <f>E4*24/(F4*16)</f>
        <v>0.49043969553503652</v>
      </c>
      <c r="K4" s="88"/>
      <c r="L4" s="88">
        <f>G4/F4</f>
        <v>1.4999999999999996</v>
      </c>
    </row>
    <row r="5" spans="1:43" x14ac:dyDescent="0.25">
      <c r="A5" s="87"/>
      <c r="B5" s="87" t="s">
        <v>871</v>
      </c>
      <c r="C5" s="87"/>
      <c r="D5" s="88">
        <v>1</v>
      </c>
      <c r="E5" s="88">
        <v>0.1</v>
      </c>
      <c r="F5" s="88">
        <v>0.33062999999999987</v>
      </c>
      <c r="G5" s="88">
        <v>0.50833599999999979</v>
      </c>
      <c r="H5" s="88"/>
      <c r="I5" s="88">
        <f>E5/F5</f>
        <v>0.30245289296192129</v>
      </c>
      <c r="J5" s="88">
        <f>E5*24/(F5*16)</f>
        <v>0.45367933944288202</v>
      </c>
      <c r="K5" s="88"/>
      <c r="L5" s="88">
        <f>G5/F5</f>
        <v>1.5374769379669115</v>
      </c>
    </row>
    <row r="6" spans="1:43" x14ac:dyDescent="0.25">
      <c r="A6" s="87"/>
      <c r="B6" s="87" t="s">
        <v>872</v>
      </c>
      <c r="C6" s="87"/>
      <c r="D6" s="88">
        <v>1</v>
      </c>
      <c r="E6" s="88">
        <v>0.1</v>
      </c>
      <c r="F6" s="89">
        <v>0.16531500000000002</v>
      </c>
      <c r="G6" s="89">
        <v>0.17770600000000003</v>
      </c>
      <c r="H6" s="89"/>
      <c r="I6" s="88">
        <f>E6/F6</f>
        <v>0.60490578592384237</v>
      </c>
      <c r="J6" s="88">
        <f>E6*24/(F6*16)</f>
        <v>0.9073586788857636</v>
      </c>
      <c r="K6" s="88"/>
      <c r="L6" s="88">
        <f>G6/F6</f>
        <v>1.0749538759338233</v>
      </c>
    </row>
    <row r="7" spans="1:43" x14ac:dyDescent="0.25">
      <c r="A7" s="87" t="s">
        <v>1581</v>
      </c>
      <c r="B7" s="87"/>
      <c r="C7" s="87"/>
      <c r="D7" s="88"/>
      <c r="E7" s="88"/>
      <c r="F7" s="88"/>
      <c r="G7" s="88"/>
      <c r="H7" s="88"/>
      <c r="I7" s="88" t="s">
        <v>145</v>
      </c>
      <c r="J7" s="88"/>
      <c r="K7" s="88"/>
      <c r="L7" s="88"/>
      <c r="P7" t="s">
        <v>870</v>
      </c>
      <c r="Q7" t="s">
        <v>145</v>
      </c>
      <c r="S7" t="s">
        <v>871</v>
      </c>
      <c r="V7" t="s">
        <v>872</v>
      </c>
      <c r="Y7" t="s">
        <v>1609</v>
      </c>
      <c r="AD7" s="36" t="s">
        <v>1590</v>
      </c>
      <c r="AE7" s="36"/>
      <c r="AF7" s="36" t="s">
        <v>1591</v>
      </c>
      <c r="AG7" s="36"/>
      <c r="AH7" s="36" t="s">
        <v>1592</v>
      </c>
      <c r="AI7" s="36"/>
      <c r="AL7" s="36" t="s">
        <v>1593</v>
      </c>
      <c r="AM7" s="36"/>
      <c r="AN7" s="36" t="s">
        <v>1594</v>
      </c>
      <c r="AO7" s="36"/>
      <c r="AP7" s="36" t="s">
        <v>1595</v>
      </c>
      <c r="AQ7" s="36"/>
    </row>
    <row r="8" spans="1:43" x14ac:dyDescent="0.25">
      <c r="A8" s="87"/>
      <c r="B8" s="87" t="s">
        <v>870</v>
      </c>
      <c r="C8" s="87"/>
      <c r="D8" s="88">
        <v>1</v>
      </c>
      <c r="E8" s="88">
        <v>0.1</v>
      </c>
      <c r="F8" s="88">
        <v>0.30584800000000001</v>
      </c>
      <c r="G8" s="88">
        <v>0.4587719999999999</v>
      </c>
      <c r="H8" s="88"/>
      <c r="I8" s="88">
        <f>E8/F8</f>
        <v>0.32695979702335803</v>
      </c>
      <c r="J8" s="88">
        <f>E8*24/(F8*16)</f>
        <v>0.49043969553503708</v>
      </c>
      <c r="K8" s="88"/>
      <c r="L8" s="88">
        <f>G8/F8</f>
        <v>1.4999999999999996</v>
      </c>
      <c r="O8" t="s">
        <v>1582</v>
      </c>
      <c r="P8" t="s">
        <v>1583</v>
      </c>
      <c r="Q8" t="s">
        <v>1584</v>
      </c>
      <c r="S8" t="s">
        <v>1583</v>
      </c>
      <c r="T8" t="s">
        <v>1584</v>
      </c>
      <c r="V8" t="s">
        <v>1583</v>
      </c>
      <c r="W8" t="s">
        <v>1584</v>
      </c>
      <c r="Y8" t="s">
        <v>194</v>
      </c>
      <c r="Z8" t="s">
        <v>870</v>
      </c>
      <c r="AA8" t="s">
        <v>871</v>
      </c>
      <c r="AB8" t="s">
        <v>872</v>
      </c>
      <c r="AD8" s="36" t="s">
        <v>1596</v>
      </c>
      <c r="AE8" s="36" t="s">
        <v>1597</v>
      </c>
      <c r="AF8" s="36" t="s">
        <v>1596</v>
      </c>
      <c r="AG8" s="36" t="s">
        <v>1597</v>
      </c>
      <c r="AH8" s="36" t="s">
        <v>1596</v>
      </c>
      <c r="AI8" s="36" t="s">
        <v>1597</v>
      </c>
      <c r="AL8" s="36" t="s">
        <v>1596</v>
      </c>
      <c r="AM8" s="36" t="s">
        <v>1597</v>
      </c>
      <c r="AN8" s="36" t="s">
        <v>1596</v>
      </c>
      <c r="AO8" s="36" t="s">
        <v>1597</v>
      </c>
      <c r="AP8" s="36" t="s">
        <v>1596</v>
      </c>
      <c r="AQ8" s="36" t="s">
        <v>1597</v>
      </c>
    </row>
    <row r="9" spans="1:43" x14ac:dyDescent="0.25">
      <c r="A9" s="87"/>
      <c r="B9" s="87" t="s">
        <v>871</v>
      </c>
      <c r="C9" s="87"/>
      <c r="D9" s="88">
        <v>1</v>
      </c>
      <c r="E9" s="88">
        <v>0.1</v>
      </c>
      <c r="F9" s="88">
        <v>0.33062999999999992</v>
      </c>
      <c r="G9" s="88">
        <v>0.50832999999999995</v>
      </c>
      <c r="H9" s="88"/>
      <c r="I9" s="88">
        <f>E9/F9</f>
        <v>0.30245289296192129</v>
      </c>
      <c r="J9" s="88">
        <f>E9*24/(F9*16)</f>
        <v>0.45367933944288197</v>
      </c>
      <c r="K9" s="88"/>
      <c r="L9" s="88">
        <f>G9/F9</f>
        <v>1.5374587907933341</v>
      </c>
      <c r="N9" s="88" t="s">
        <v>1585</v>
      </c>
      <c r="O9" s="88">
        <v>0</v>
      </c>
      <c r="P9" s="88">
        <v>0.32695979702335765</v>
      </c>
      <c r="Q9" s="88">
        <f t="shared" ref="Q9:Q22" si="0">P9*24/16</f>
        <v>0.49043969553503647</v>
      </c>
      <c r="R9" s="88">
        <v>0</v>
      </c>
      <c r="S9" s="88">
        <v>0.30245289296192129</v>
      </c>
      <c r="T9" s="88">
        <f t="shared" ref="T9:T22" si="1">S9*24/16</f>
        <v>0.45367933944288197</v>
      </c>
      <c r="U9" s="88">
        <v>0</v>
      </c>
      <c r="V9" s="88">
        <v>0.60490578592384237</v>
      </c>
      <c r="W9" s="88">
        <f t="shared" ref="W9:W22" si="2">V9*24/16</f>
        <v>0.90735867888576349</v>
      </c>
      <c r="Y9" s="90">
        <v>0.1</v>
      </c>
      <c r="Z9" s="90">
        <f>1000*Y9/0.32696</f>
        <v>305.84781012967949</v>
      </c>
      <c r="AA9" s="90">
        <f>1000*Y9/0.30245</f>
        <v>330.63316250619937</v>
      </c>
      <c r="AB9" s="90">
        <f>1000*Y9/0.55411</f>
        <v>180.46958185197886</v>
      </c>
      <c r="AD9" s="36">
        <v>4.4999999999999982</v>
      </c>
      <c r="AE9" s="36">
        <v>2</v>
      </c>
      <c r="AF9" s="36">
        <v>3.5000000000000022</v>
      </c>
      <c r="AG9" s="36">
        <v>2</v>
      </c>
      <c r="AH9" s="36">
        <v>4.9999999999999982</v>
      </c>
      <c r="AI9" s="36">
        <v>2</v>
      </c>
      <c r="AL9" s="36">
        <v>5.4999999999999956</v>
      </c>
      <c r="AM9" s="36">
        <v>2</v>
      </c>
      <c r="AN9" s="36">
        <v>4.4999999999999947</v>
      </c>
      <c r="AO9" s="36">
        <v>2</v>
      </c>
      <c r="AP9" s="36">
        <v>5.9999999999999947</v>
      </c>
      <c r="AQ9" s="36">
        <v>2</v>
      </c>
    </row>
    <row r="10" spans="1:43" x14ac:dyDescent="0.25">
      <c r="A10" s="87"/>
      <c r="B10" s="87" t="s">
        <v>872</v>
      </c>
      <c r="C10" s="87"/>
      <c r="D10" s="88">
        <v>1</v>
      </c>
      <c r="E10" s="88">
        <v>0.1</v>
      </c>
      <c r="F10" s="88">
        <v>0.18046820833333338</v>
      </c>
      <c r="G10" s="88">
        <v>0.20801241666666673</v>
      </c>
      <c r="H10" s="88"/>
      <c r="I10" s="88">
        <f>E10/F10</f>
        <v>0.55411421725479337</v>
      </c>
      <c r="J10" s="88">
        <f>E10*24/(F10*16)</f>
        <v>0.83117132588219012</v>
      </c>
      <c r="K10" s="88"/>
      <c r="L10" s="88">
        <f>G10/F10</f>
        <v>1.1526263744052796</v>
      </c>
      <c r="N10" s="88" t="s">
        <v>1585</v>
      </c>
      <c r="O10" s="88">
        <v>1</v>
      </c>
      <c r="P10" s="88">
        <v>0.32695979702335803</v>
      </c>
      <c r="Q10" s="88">
        <f t="shared" si="0"/>
        <v>0.49043969553503708</v>
      </c>
      <c r="R10" s="88">
        <v>1</v>
      </c>
      <c r="S10" s="88">
        <v>0.30245289296192129</v>
      </c>
      <c r="T10" s="88">
        <f t="shared" si="1"/>
        <v>0.45367933944288197</v>
      </c>
      <c r="U10" s="88">
        <v>1</v>
      </c>
      <c r="V10" s="88">
        <v>0.55411421725479337</v>
      </c>
      <c r="W10" s="88">
        <f t="shared" si="2"/>
        <v>0.83117132588219</v>
      </c>
      <c r="Y10" s="90">
        <v>0.15</v>
      </c>
      <c r="Z10" s="90">
        <f>1000*Y10/0.32696</f>
        <v>458.77171519451923</v>
      </c>
      <c r="AA10" s="90">
        <f>1000*Y10/0.30245</f>
        <v>495.94974375929905</v>
      </c>
      <c r="AB10" s="90">
        <f>1000*Y10/0.55411</f>
        <v>270.70437277796827</v>
      </c>
      <c r="AD10" s="36">
        <v>4.0999999999999996</v>
      </c>
      <c r="AE10" s="36">
        <v>1.9</v>
      </c>
      <c r="AF10" s="36">
        <v>3.099999999999997</v>
      </c>
      <c r="AG10" s="36">
        <v>1.9</v>
      </c>
      <c r="AH10" s="36">
        <v>4.5750000000000028</v>
      </c>
      <c r="AI10" s="36">
        <v>1.9</v>
      </c>
      <c r="AL10" s="36">
        <v>5.0749999999999975</v>
      </c>
      <c r="AM10" s="36">
        <v>1.9</v>
      </c>
      <c r="AN10" s="36">
        <v>4.0749999999999993</v>
      </c>
      <c r="AO10" s="36">
        <v>1.9</v>
      </c>
      <c r="AP10" s="36">
        <v>5.5750000000000046</v>
      </c>
      <c r="AQ10" s="36">
        <v>1.9</v>
      </c>
    </row>
    <row r="11" spans="1:43" x14ac:dyDescent="0.25">
      <c r="A11" s="87" t="s">
        <v>1586</v>
      </c>
      <c r="B11" s="87"/>
      <c r="C11" s="87"/>
      <c r="D11" s="88"/>
      <c r="E11" s="88"/>
      <c r="F11" s="88"/>
      <c r="G11" s="88"/>
      <c r="H11" s="88"/>
      <c r="I11" s="88" t="s">
        <v>145</v>
      </c>
      <c r="J11" s="88" t="s">
        <v>145</v>
      </c>
      <c r="K11" s="88"/>
      <c r="L11" s="88" t="s">
        <v>145</v>
      </c>
      <c r="N11" s="88" t="s">
        <v>1585</v>
      </c>
      <c r="O11" s="88">
        <v>3</v>
      </c>
      <c r="P11" s="88">
        <v>0.32695979702335742</v>
      </c>
      <c r="Q11" s="88">
        <f t="shared" si="0"/>
        <v>0.49043969553503614</v>
      </c>
      <c r="R11" s="88">
        <v>3</v>
      </c>
      <c r="S11" s="88">
        <v>0.30245289296192129</v>
      </c>
      <c r="T11" s="88">
        <f t="shared" si="1"/>
        <v>0.45367933944288197</v>
      </c>
      <c r="U11" s="88">
        <v>3</v>
      </c>
      <c r="V11" s="88">
        <v>0.4676086513055927</v>
      </c>
      <c r="W11" s="88">
        <f t="shared" si="2"/>
        <v>0.701412976958389</v>
      </c>
      <c r="Y11" s="90">
        <v>0.2</v>
      </c>
      <c r="Z11" s="90">
        <f>1000*Y11/0.32696</f>
        <v>611.69562025935898</v>
      </c>
      <c r="AA11" s="90">
        <f>1000*Y11/0.30245</f>
        <v>661.26632501239874</v>
      </c>
      <c r="AB11" s="90">
        <f>1000*Y11/0.55411</f>
        <v>360.93916370395772</v>
      </c>
      <c r="AD11" s="36">
        <v>3.7000000000000055</v>
      </c>
      <c r="AE11" s="36">
        <v>1.8</v>
      </c>
      <c r="AF11" s="36">
        <v>2.7000000000000051</v>
      </c>
      <c r="AG11" s="36">
        <v>1.8</v>
      </c>
      <c r="AH11" s="36">
        <v>4.1500000000000048</v>
      </c>
      <c r="AI11" s="36">
        <v>1.8</v>
      </c>
      <c r="AL11" s="36">
        <v>4.6499999999999924</v>
      </c>
      <c r="AM11" s="36">
        <v>1.8</v>
      </c>
      <c r="AN11" s="36">
        <v>3.6499999999999964</v>
      </c>
      <c r="AO11" s="36">
        <v>1.8</v>
      </c>
      <c r="AP11" s="36">
        <v>5.149999999999995</v>
      </c>
      <c r="AQ11" s="36">
        <v>1.8</v>
      </c>
    </row>
    <row r="12" spans="1:43" x14ac:dyDescent="0.25">
      <c r="A12" s="87"/>
      <c r="B12" s="87" t="s">
        <v>870</v>
      </c>
      <c r="C12" s="87"/>
      <c r="D12" s="88">
        <v>3</v>
      </c>
      <c r="E12" s="88">
        <v>0.1</v>
      </c>
      <c r="F12" s="88">
        <v>0.30584800000000056</v>
      </c>
      <c r="G12" s="88">
        <v>0.45877200000000068</v>
      </c>
      <c r="H12" s="88"/>
      <c r="I12" s="88">
        <f>E12/F12</f>
        <v>0.32695979702335742</v>
      </c>
      <c r="J12" s="88">
        <f>E12*24/(F12*16)</f>
        <v>0.49043969553503619</v>
      </c>
      <c r="K12" s="88"/>
      <c r="L12" s="88">
        <f>G12/F12</f>
        <v>1.4999999999999996</v>
      </c>
      <c r="N12" s="88" t="s">
        <v>1585</v>
      </c>
      <c r="O12" s="88">
        <v>5</v>
      </c>
      <c r="P12" s="88">
        <v>0.32695979702335798</v>
      </c>
      <c r="Q12" s="88">
        <f t="shared" si="0"/>
        <v>0.49043969553503697</v>
      </c>
      <c r="R12" s="88">
        <v>5</v>
      </c>
      <c r="S12" s="88">
        <v>0.30245289296192124</v>
      </c>
      <c r="T12" s="88">
        <f t="shared" si="1"/>
        <v>0.45367933944288186</v>
      </c>
      <c r="U12" s="88">
        <v>5</v>
      </c>
      <c r="V12" s="88">
        <v>0.40455140558857411</v>
      </c>
      <c r="W12" s="88">
        <f t="shared" si="2"/>
        <v>0.60682710838286114</v>
      </c>
      <c r="Y12" s="90">
        <v>0.25</v>
      </c>
      <c r="Z12" s="90">
        <f>1000*Y12/0.32696</f>
        <v>764.61952532419878</v>
      </c>
      <c r="AA12" s="90">
        <f>1000*Y12/0.30245</f>
        <v>826.58290626549842</v>
      </c>
      <c r="AB12" s="90">
        <f>1000*Y12/0.55411</f>
        <v>451.1739546299471</v>
      </c>
      <c r="AD12" s="36">
        <v>3.2999999999999914</v>
      </c>
      <c r="AE12" s="36">
        <v>1.7</v>
      </c>
      <c r="AF12" s="36">
        <v>2.3000000000000025</v>
      </c>
      <c r="AG12" s="36">
        <v>1.7</v>
      </c>
      <c r="AH12" s="36">
        <v>3.7250000000000005</v>
      </c>
      <c r="AI12" s="36">
        <v>1.7</v>
      </c>
      <c r="AL12" s="36">
        <v>4.2249999999999925</v>
      </c>
      <c r="AM12" s="36">
        <v>1.7</v>
      </c>
      <c r="AN12" s="36">
        <v>3.2249999999999965</v>
      </c>
      <c r="AO12" s="36">
        <v>1.7</v>
      </c>
      <c r="AP12" s="36">
        <v>4.7249999999999979</v>
      </c>
      <c r="AQ12" s="36">
        <v>1.7</v>
      </c>
    </row>
    <row r="13" spans="1:43" x14ac:dyDescent="0.25">
      <c r="A13" s="87"/>
      <c r="B13" s="87" t="s">
        <v>871</v>
      </c>
      <c r="C13" s="87"/>
      <c r="D13" s="88">
        <v>3</v>
      </c>
      <c r="E13" s="88">
        <v>0.1</v>
      </c>
      <c r="F13" s="88">
        <v>0.33062999999999992</v>
      </c>
      <c r="G13" s="88">
        <v>0.5083359999999999</v>
      </c>
      <c r="H13" s="88"/>
      <c r="I13" s="88">
        <f>E13/F13</f>
        <v>0.30245289296192129</v>
      </c>
      <c r="J13" s="88">
        <f>E13*24/(F13*16)</f>
        <v>0.45367933944288197</v>
      </c>
      <c r="K13" s="88"/>
      <c r="L13" s="88">
        <f>G13/F13</f>
        <v>1.5374769379669118</v>
      </c>
      <c r="N13" s="88" t="s">
        <v>1585</v>
      </c>
      <c r="O13" s="88">
        <v>10</v>
      </c>
      <c r="P13" s="88">
        <v>0.27734016161619718</v>
      </c>
      <c r="Q13" s="88">
        <f t="shared" si="0"/>
        <v>0.41601024242429574</v>
      </c>
      <c r="R13" s="88">
        <v>10</v>
      </c>
      <c r="S13" s="88">
        <v>0.22691467768597953</v>
      </c>
      <c r="T13" s="88">
        <f t="shared" si="1"/>
        <v>0.34037201652896931</v>
      </c>
      <c r="U13" s="88">
        <v>10</v>
      </c>
      <c r="V13" s="88">
        <v>0.30255290358130604</v>
      </c>
      <c r="W13" s="88">
        <f t="shared" si="2"/>
        <v>0.45382935537195906</v>
      </c>
      <c r="Y13" s="90">
        <v>0.3</v>
      </c>
      <c r="Z13" s="90">
        <f>1000*Y13/0.32696</f>
        <v>917.54343038903846</v>
      </c>
      <c r="AA13" s="90">
        <f>1000*Y13/0.30245</f>
        <v>991.89948751859811</v>
      </c>
      <c r="AB13" s="90">
        <f>1000*Y13/0.55411</f>
        <v>541.40874555593655</v>
      </c>
      <c r="AD13" s="36">
        <v>2.8999999999999972</v>
      </c>
      <c r="AE13" s="36">
        <v>1.6</v>
      </c>
      <c r="AF13" s="36">
        <v>1.900000000000001</v>
      </c>
      <c r="AG13" s="36">
        <v>1.6</v>
      </c>
      <c r="AH13" s="36">
        <v>3.3000000000000016</v>
      </c>
      <c r="AI13" s="36">
        <v>1.6</v>
      </c>
      <c r="AL13" s="36">
        <v>3.7999999999999936</v>
      </c>
      <c r="AM13" s="36">
        <v>1.6</v>
      </c>
      <c r="AN13" s="36">
        <v>2.8000000000000012</v>
      </c>
      <c r="AO13" s="36">
        <v>1.6</v>
      </c>
      <c r="AP13" s="36">
        <v>4.2999999999999972</v>
      </c>
      <c r="AQ13" s="36">
        <v>1.6</v>
      </c>
    </row>
    <row r="14" spans="1:43" x14ac:dyDescent="0.25">
      <c r="A14" s="87"/>
      <c r="B14" s="87" t="s">
        <v>872</v>
      </c>
      <c r="C14" s="87"/>
      <c r="D14" s="88">
        <v>3</v>
      </c>
      <c r="E14" s="88">
        <v>0.1</v>
      </c>
      <c r="F14" s="88">
        <v>0.21385404166666663</v>
      </c>
      <c r="G14" s="88">
        <v>0.27478408333333326</v>
      </c>
      <c r="H14" s="88"/>
      <c r="I14" s="88">
        <f>E14/F14</f>
        <v>0.4676086513055927</v>
      </c>
      <c r="J14" s="88">
        <f>E14*24/(F14*16)</f>
        <v>0.70141297695838911</v>
      </c>
      <c r="K14" s="88"/>
      <c r="L14" s="88">
        <f>G14/F14</f>
        <v>1.2849141460774354</v>
      </c>
      <c r="N14" s="36" t="s">
        <v>1587</v>
      </c>
      <c r="O14" s="36">
        <v>1</v>
      </c>
      <c r="P14" s="36">
        <v>0.31670525192319221</v>
      </c>
      <c r="Q14" s="36">
        <f t="shared" si="0"/>
        <v>0.47505787788478832</v>
      </c>
      <c r="R14" s="36">
        <v>1</v>
      </c>
      <c r="S14" s="36">
        <v>0.29365729606234914</v>
      </c>
      <c r="T14" s="36">
        <f t="shared" si="1"/>
        <v>0.44048594409352371</v>
      </c>
      <c r="U14" s="36">
        <v>1</v>
      </c>
      <c r="V14" s="36">
        <v>0.54172807191981875</v>
      </c>
      <c r="W14" s="36">
        <f t="shared" si="2"/>
        <v>0.81259210787972813</v>
      </c>
      <c r="AD14" s="36">
        <v>2.500000000000004</v>
      </c>
      <c r="AE14" s="36">
        <v>1.5</v>
      </c>
      <c r="AF14" s="36">
        <v>1.4999999999999982</v>
      </c>
      <c r="AG14" s="36">
        <v>1.5</v>
      </c>
      <c r="AH14" s="36">
        <v>2.8749999999999991</v>
      </c>
      <c r="AI14" s="36">
        <v>1.5</v>
      </c>
      <c r="AL14" s="36">
        <v>3.3749999999999956</v>
      </c>
      <c r="AM14" s="36">
        <v>1.5</v>
      </c>
      <c r="AN14" s="36">
        <v>2.3749999999999956</v>
      </c>
      <c r="AO14" s="36">
        <v>1.5</v>
      </c>
      <c r="AP14" s="36">
        <v>3.8749999999999956</v>
      </c>
      <c r="AQ14" s="36">
        <v>1.5</v>
      </c>
    </row>
    <row r="15" spans="1:43" x14ac:dyDescent="0.25">
      <c r="A15" s="87" t="s">
        <v>1588</v>
      </c>
      <c r="B15" s="87"/>
      <c r="C15" s="87"/>
      <c r="D15" s="88"/>
      <c r="E15" s="88"/>
      <c r="F15" s="88"/>
      <c r="G15" s="88"/>
      <c r="H15" s="88"/>
      <c r="I15" s="88" t="s">
        <v>145</v>
      </c>
      <c r="J15" s="88" t="s">
        <v>145</v>
      </c>
      <c r="K15" s="88"/>
      <c r="L15" s="88" t="s">
        <v>145</v>
      </c>
      <c r="N15" s="36" t="s">
        <v>1587</v>
      </c>
      <c r="O15" s="36">
        <v>3</v>
      </c>
      <c r="P15" s="36">
        <v>0.31670525192319204</v>
      </c>
      <c r="Q15" s="36">
        <f t="shared" si="0"/>
        <v>0.47505787788478804</v>
      </c>
      <c r="R15" s="36">
        <v>3</v>
      </c>
      <c r="S15" s="36">
        <v>0.29365729606234947</v>
      </c>
      <c r="T15" s="36">
        <f t="shared" si="1"/>
        <v>0.44048594409352421</v>
      </c>
      <c r="U15" s="36">
        <v>3</v>
      </c>
      <c r="V15" s="36">
        <v>0.45875707035441082</v>
      </c>
      <c r="W15" s="36">
        <f t="shared" si="2"/>
        <v>0.68813560553161623</v>
      </c>
      <c r="AD15" s="36">
        <v>2.0999999999999988</v>
      </c>
      <c r="AE15" s="36">
        <v>1.4</v>
      </c>
      <c r="AF15" s="36">
        <v>1.1000000000000001</v>
      </c>
      <c r="AG15" s="36">
        <v>1.4</v>
      </c>
      <c r="AH15" s="36">
        <v>2.4499999999999997</v>
      </c>
      <c r="AI15" s="36">
        <v>1.4</v>
      </c>
      <c r="AL15" s="36">
        <v>2.95</v>
      </c>
      <c r="AM15" s="36">
        <v>1.4</v>
      </c>
      <c r="AN15" s="36">
        <v>1.9499999999999971</v>
      </c>
      <c r="AO15" s="36">
        <v>1.4</v>
      </c>
      <c r="AP15" s="36">
        <v>3.4499999999999957</v>
      </c>
      <c r="AQ15" s="36">
        <v>1.4</v>
      </c>
    </row>
    <row r="16" spans="1:43" x14ac:dyDescent="0.25">
      <c r="A16" s="87"/>
      <c r="B16" s="87" t="s">
        <v>870</v>
      </c>
      <c r="C16" s="87"/>
      <c r="D16" s="88">
        <v>5</v>
      </c>
      <c r="E16" s="88">
        <v>0.1</v>
      </c>
      <c r="F16" s="88">
        <v>0.30584800000000006</v>
      </c>
      <c r="G16" s="88">
        <v>0.45877199999999996</v>
      </c>
      <c r="H16" s="88"/>
      <c r="I16" s="88">
        <f>E16/F16</f>
        <v>0.32695979702335798</v>
      </c>
      <c r="J16" s="88">
        <f>E16*24/(F16*16)</f>
        <v>0.49043969553503697</v>
      </c>
      <c r="K16" s="88"/>
      <c r="L16" s="88">
        <f>G16/F16</f>
        <v>1.4999999999999996</v>
      </c>
      <c r="N16" s="36" t="s">
        <v>1587</v>
      </c>
      <c r="O16" s="36">
        <v>5</v>
      </c>
      <c r="P16" s="36">
        <v>0.31670525192319265</v>
      </c>
      <c r="Q16" s="36">
        <f t="shared" si="0"/>
        <v>0.47505787788478898</v>
      </c>
      <c r="R16" s="36">
        <v>5</v>
      </c>
      <c r="S16" s="36">
        <v>0.29365729606234925</v>
      </c>
      <c r="T16" s="36">
        <f t="shared" si="1"/>
        <v>0.44048594409352387</v>
      </c>
      <c r="U16" s="36">
        <v>5</v>
      </c>
      <c r="V16" s="36">
        <v>0.39790918618121085</v>
      </c>
      <c r="W16" s="36">
        <f t="shared" si="2"/>
        <v>0.59686377927181633</v>
      </c>
      <c r="AD16" s="36">
        <v>1.7000000000000011</v>
      </c>
      <c r="AE16" s="36">
        <v>1.3</v>
      </c>
      <c r="AF16" s="36">
        <v>0.7000000000000004</v>
      </c>
      <c r="AG16" s="36">
        <v>1.3</v>
      </c>
      <c r="AH16" s="36">
        <v>2.0250000000000017</v>
      </c>
      <c r="AI16" s="36">
        <v>1.3</v>
      </c>
      <c r="AL16" s="36">
        <v>2.5249999999999946</v>
      </c>
      <c r="AM16" s="36">
        <v>1.3</v>
      </c>
      <c r="AN16" s="36">
        <v>1.5249999999999979</v>
      </c>
      <c r="AO16" s="36">
        <v>1.3</v>
      </c>
      <c r="AP16" s="36">
        <v>3.0249999999999972</v>
      </c>
      <c r="AQ16" s="36">
        <v>1.3</v>
      </c>
    </row>
    <row r="17" spans="1:46" x14ac:dyDescent="0.25">
      <c r="A17" s="87"/>
      <c r="B17" s="87" t="s">
        <v>871</v>
      </c>
      <c r="C17" s="87"/>
      <c r="D17" s="88">
        <v>5</v>
      </c>
      <c r="E17" s="88">
        <v>0.1</v>
      </c>
      <c r="F17" s="88">
        <v>0.33062999999999998</v>
      </c>
      <c r="G17" s="88">
        <v>0.5083359999999999</v>
      </c>
      <c r="H17" s="88"/>
      <c r="I17" s="88">
        <f>E17/F17</f>
        <v>0.30245289296192124</v>
      </c>
      <c r="J17" s="88">
        <f>E17*24/(F17*16)</f>
        <v>0.45367933944288186</v>
      </c>
      <c r="K17" s="88"/>
      <c r="L17" s="88">
        <f>G17/F17</f>
        <v>1.5374769379669115</v>
      </c>
      <c r="N17" s="88" t="s">
        <v>1589</v>
      </c>
      <c r="O17" s="88">
        <v>1</v>
      </c>
      <c r="P17" s="88">
        <v>0.30700933001353836</v>
      </c>
      <c r="Q17" s="88">
        <f t="shared" si="0"/>
        <v>0.46051399502030754</v>
      </c>
      <c r="R17" s="88">
        <v>1</v>
      </c>
      <c r="S17" s="88">
        <v>0.28530263476983214</v>
      </c>
      <c r="T17" s="88">
        <f t="shared" si="1"/>
        <v>0.42795395215474819</v>
      </c>
      <c r="U17" s="88">
        <v>1</v>
      </c>
      <c r="V17" s="88">
        <v>0.52980284490882634</v>
      </c>
      <c r="W17" s="88">
        <f t="shared" si="2"/>
        <v>0.79470426736323951</v>
      </c>
      <c r="AD17" s="36">
        <v>1.2499999999999987</v>
      </c>
      <c r="AE17" s="36">
        <v>1.2</v>
      </c>
      <c r="AF17" s="36">
        <v>0.25000000000000022</v>
      </c>
      <c r="AG17" s="36">
        <v>1.2</v>
      </c>
      <c r="AH17" s="36">
        <v>1.5996727272727271</v>
      </c>
      <c r="AI17" s="36">
        <v>1.2</v>
      </c>
      <c r="AL17" s="36">
        <v>2.0989064398541908</v>
      </c>
      <c r="AM17" s="36">
        <v>1.2</v>
      </c>
      <c r="AN17" s="36">
        <v>1.0989064398541921</v>
      </c>
      <c r="AO17" s="36">
        <v>1.2</v>
      </c>
      <c r="AP17" s="36">
        <v>2.5980505415162432</v>
      </c>
      <c r="AQ17" s="36">
        <v>1.2</v>
      </c>
    </row>
    <row r="18" spans="1:46" x14ac:dyDescent="0.25">
      <c r="A18" s="87"/>
      <c r="B18" s="87" t="s">
        <v>872</v>
      </c>
      <c r="C18" s="87"/>
      <c r="D18" s="88">
        <v>5</v>
      </c>
      <c r="E18" s="88">
        <v>0.1</v>
      </c>
      <c r="F18" s="88">
        <v>0.2471873750000001</v>
      </c>
      <c r="G18" s="88">
        <v>0.34145075000000008</v>
      </c>
      <c r="H18" s="88"/>
      <c r="I18" s="88">
        <f>E18/F18</f>
        <v>0.40455140558857411</v>
      </c>
      <c r="J18" s="88">
        <f>E18*24/(F18*16)</f>
        <v>0.60682710838286125</v>
      </c>
      <c r="K18" s="88"/>
      <c r="L18" s="88">
        <f>G18/F18</f>
        <v>1.3813438085177285</v>
      </c>
      <c r="N18" s="88" t="s">
        <v>1589</v>
      </c>
      <c r="O18" s="88">
        <v>3</v>
      </c>
      <c r="P18" s="88">
        <v>0.30700933001353875</v>
      </c>
      <c r="Q18" s="88">
        <f t="shared" si="0"/>
        <v>0.4605139950203081</v>
      </c>
      <c r="R18" s="88">
        <v>3</v>
      </c>
      <c r="S18" s="88">
        <v>0.28530263476983209</v>
      </c>
      <c r="T18" s="88">
        <f t="shared" si="1"/>
        <v>0.42795395215474813</v>
      </c>
      <c r="U18" s="88">
        <v>3</v>
      </c>
      <c r="V18" s="88">
        <v>0.45017610326439572</v>
      </c>
      <c r="W18" s="88">
        <f t="shared" si="2"/>
        <v>0.67526415489659364</v>
      </c>
      <c r="AD18" s="36">
        <v>0.75000000000000222</v>
      </c>
      <c r="AE18" s="36">
        <v>1.1000000000000001</v>
      </c>
      <c r="AF18" s="36">
        <v>0</v>
      </c>
      <c r="AG18" s="36">
        <v>0</v>
      </c>
      <c r="AH18" s="36">
        <v>1.1622636363636363</v>
      </c>
      <c r="AI18" s="36">
        <v>1.1000000000000001</v>
      </c>
      <c r="AL18" s="36">
        <v>1.632442284325635</v>
      </c>
      <c r="AM18" s="36">
        <v>1.1000000000000001</v>
      </c>
      <c r="AN18" s="36">
        <v>0.63244228432563809</v>
      </c>
      <c r="AO18" s="36">
        <v>1.1000000000000001</v>
      </c>
      <c r="AP18" s="36">
        <v>2.0991335740072183</v>
      </c>
      <c r="AQ18" s="36">
        <v>1.1000000000000001</v>
      </c>
    </row>
    <row r="19" spans="1:46" x14ac:dyDescent="0.25">
      <c r="A19" s="87" t="s">
        <v>1598</v>
      </c>
      <c r="B19" s="87"/>
      <c r="C19" s="87"/>
      <c r="D19" s="88"/>
      <c r="E19" s="88"/>
      <c r="F19" s="88"/>
      <c r="G19" s="88"/>
      <c r="H19" s="88"/>
      <c r="I19" s="88" t="s">
        <v>145</v>
      </c>
      <c r="J19" s="88" t="s">
        <v>145</v>
      </c>
      <c r="K19" s="88"/>
      <c r="L19" s="88" t="s">
        <v>145</v>
      </c>
      <c r="N19" s="88" t="s">
        <v>1589</v>
      </c>
      <c r="O19" s="88">
        <v>5</v>
      </c>
      <c r="P19" s="88">
        <v>0.30700933001353869</v>
      </c>
      <c r="Q19" s="88">
        <f t="shared" si="0"/>
        <v>0.46051399502030804</v>
      </c>
      <c r="R19" s="88">
        <v>5</v>
      </c>
      <c r="S19" s="88">
        <v>0.28530263476983203</v>
      </c>
      <c r="T19" s="88">
        <f t="shared" si="1"/>
        <v>0.42795395215474807</v>
      </c>
      <c r="U19" s="88">
        <v>5</v>
      </c>
      <c r="V19" s="88">
        <v>0.39143750039755365</v>
      </c>
      <c r="W19" s="88">
        <f t="shared" si="2"/>
        <v>0.58715625059633048</v>
      </c>
    </row>
    <row r="20" spans="1:46" x14ac:dyDescent="0.25">
      <c r="A20" s="87"/>
      <c r="B20" s="87" t="s">
        <v>870</v>
      </c>
      <c r="C20" s="87"/>
      <c r="D20" s="88">
        <v>10</v>
      </c>
      <c r="E20" s="88">
        <v>0.1</v>
      </c>
      <c r="F20" s="88">
        <v>0.36056804545454557</v>
      </c>
      <c r="G20" s="88">
        <v>0.56821209090909097</v>
      </c>
      <c r="H20" s="88"/>
      <c r="I20" s="88">
        <f>E20/F20</f>
        <v>0.27734016161619718</v>
      </c>
      <c r="J20" s="88">
        <f>E20*24/(F20*16)</f>
        <v>0.41601024242429585</v>
      </c>
      <c r="K20" s="88"/>
      <c r="L20" s="88">
        <f>G20/F20</f>
        <v>1.5758803312500462</v>
      </c>
      <c r="N20" s="36" t="s">
        <v>1599</v>
      </c>
      <c r="O20" s="36">
        <v>1</v>
      </c>
      <c r="P20" s="36">
        <v>0.29783001054318253</v>
      </c>
      <c r="Q20" s="36">
        <f t="shared" si="0"/>
        <v>0.44674501581477377</v>
      </c>
      <c r="R20" s="36">
        <v>1</v>
      </c>
      <c r="S20" s="36">
        <v>0.27735865802786908</v>
      </c>
      <c r="T20" s="36">
        <f t="shared" si="1"/>
        <v>0.41603798704180361</v>
      </c>
      <c r="U20" s="36">
        <v>1</v>
      </c>
      <c r="V20" s="36">
        <v>0.51831632715867404</v>
      </c>
      <c r="W20" s="36">
        <f t="shared" si="2"/>
        <v>0.77747449073801111</v>
      </c>
      <c r="AD20" t="s">
        <v>313</v>
      </c>
      <c r="AF20" t="s">
        <v>313</v>
      </c>
      <c r="AH20" t="s">
        <v>240</v>
      </c>
      <c r="AL20" t="s">
        <v>313</v>
      </c>
      <c r="AN20" t="s">
        <v>313</v>
      </c>
      <c r="AP20" t="s">
        <v>283</v>
      </c>
      <c r="AT20" s="36"/>
    </row>
    <row r="21" spans="1:46" x14ac:dyDescent="0.25">
      <c r="A21" s="87"/>
      <c r="B21" s="87" t="s">
        <v>871</v>
      </c>
      <c r="C21" s="87"/>
      <c r="D21" s="88">
        <v>10</v>
      </c>
      <c r="E21" s="88">
        <v>0.1</v>
      </c>
      <c r="F21" s="88">
        <v>0.44069427777777792</v>
      </c>
      <c r="G21" s="88">
        <v>0.72846455555555556</v>
      </c>
      <c r="H21" s="88"/>
      <c r="I21" s="88">
        <f>E21/F21</f>
        <v>0.22691467768597953</v>
      </c>
      <c r="J21" s="88">
        <f>E21*24/(F21*16)</f>
        <v>0.34037201652896931</v>
      </c>
      <c r="K21" s="88"/>
      <c r="L21" s="88">
        <f>G21/F21</f>
        <v>1.6529929982954921</v>
      </c>
      <c r="N21" s="36" t="s">
        <v>1599</v>
      </c>
      <c r="O21" s="36">
        <v>3</v>
      </c>
      <c r="P21" s="36">
        <v>0.29783001054318203</v>
      </c>
      <c r="Q21" s="36">
        <f t="shared" si="0"/>
        <v>0.44674501581477305</v>
      </c>
      <c r="R21" s="36">
        <v>3</v>
      </c>
      <c r="S21" s="36">
        <v>0.27735865802786891</v>
      </c>
      <c r="T21" s="36">
        <f t="shared" si="1"/>
        <v>0.41603798704180339</v>
      </c>
      <c r="U21" s="36">
        <v>3</v>
      </c>
      <c r="V21" s="36">
        <v>0.44185574256895288</v>
      </c>
      <c r="W21" s="36">
        <f t="shared" si="2"/>
        <v>0.66278361385342932</v>
      </c>
    </row>
    <row r="22" spans="1:46" x14ac:dyDescent="0.25">
      <c r="A22" s="87"/>
      <c r="B22" s="87" t="s">
        <v>872</v>
      </c>
      <c r="C22" s="87"/>
      <c r="D22" s="88">
        <v>10</v>
      </c>
      <c r="E22" s="88">
        <v>0.1</v>
      </c>
      <c r="F22" s="88">
        <v>0.33052070833333341</v>
      </c>
      <c r="G22" s="88">
        <v>0.50811741666666665</v>
      </c>
      <c r="H22" s="88"/>
      <c r="I22" s="88">
        <f>E22/F22</f>
        <v>0.30255290358130604</v>
      </c>
      <c r="J22" s="88">
        <f>E22*24/(F22*16)</f>
        <v>0.45382935537195912</v>
      </c>
      <c r="K22" s="88"/>
      <c r="L22" s="88">
        <f>G22/F22</f>
        <v>1.537323997727323</v>
      </c>
      <c r="N22" s="36" t="s">
        <v>1599</v>
      </c>
      <c r="O22" s="36">
        <v>5</v>
      </c>
      <c r="P22" s="36">
        <v>0.29783001054318226</v>
      </c>
      <c r="Q22" s="36">
        <f t="shared" si="0"/>
        <v>0.44674501581477338</v>
      </c>
      <c r="R22" s="36">
        <v>5</v>
      </c>
      <c r="S22" s="36">
        <v>0.27735865802786885</v>
      </c>
      <c r="T22" s="36">
        <f t="shared" si="1"/>
        <v>0.41603798704180328</v>
      </c>
      <c r="U22" s="36">
        <v>5</v>
      </c>
      <c r="V22" s="36">
        <v>0.38513154729648075</v>
      </c>
      <c r="W22" s="36">
        <f t="shared" si="2"/>
        <v>0.57769732094472115</v>
      </c>
    </row>
    <row r="23" spans="1:46" x14ac:dyDescent="0.25">
      <c r="I23" s="36" t="s">
        <v>145</v>
      </c>
    </row>
    <row r="24" spans="1:46" x14ac:dyDescent="0.25">
      <c r="A24" t="s">
        <v>1600</v>
      </c>
      <c r="D24" s="36" t="s">
        <v>145</v>
      </c>
      <c r="I24" s="36" t="s">
        <v>145</v>
      </c>
    </row>
    <row r="25" spans="1:46" x14ac:dyDescent="0.25">
      <c r="B25" t="s">
        <v>870</v>
      </c>
      <c r="D25" s="36">
        <v>1</v>
      </c>
      <c r="E25" s="36">
        <v>0.1</v>
      </c>
      <c r="F25" s="36">
        <v>0.31575100000000045</v>
      </c>
      <c r="G25" s="36">
        <v>0.47362650000000051</v>
      </c>
      <c r="I25" s="36">
        <f>E25/F25</f>
        <v>0.31670525192319221</v>
      </c>
      <c r="J25" s="36">
        <f>E25*24/(F25*16)</f>
        <v>0.47505787788478837</v>
      </c>
      <c r="L25" s="36">
        <f>G25/F25</f>
        <v>1.4999999999999996</v>
      </c>
    </row>
    <row r="26" spans="1:46" x14ac:dyDescent="0.25">
      <c r="B26" t="s">
        <v>871</v>
      </c>
      <c r="D26" s="36">
        <v>1</v>
      </c>
      <c r="E26" s="36">
        <v>0.1</v>
      </c>
      <c r="F26" s="36">
        <v>0.3405330000000002</v>
      </c>
      <c r="G26" s="36">
        <v>0.52319050000000022</v>
      </c>
      <c r="I26" s="36">
        <f>E26/F26</f>
        <v>0.29365729606234914</v>
      </c>
      <c r="J26" s="36">
        <f>E26*24/(F26*16)</f>
        <v>0.44048594409352376</v>
      </c>
      <c r="L26" s="36">
        <f>G26/F26</f>
        <v>1.5363870755550855</v>
      </c>
    </row>
    <row r="27" spans="1:46" x14ac:dyDescent="0.25">
      <c r="B27" t="s">
        <v>872</v>
      </c>
      <c r="D27" s="36">
        <v>1</v>
      </c>
      <c r="E27" s="36">
        <v>0.1</v>
      </c>
      <c r="F27" s="36">
        <v>0.18459445833333338</v>
      </c>
      <c r="G27" s="36">
        <v>0.21131341666666673</v>
      </c>
      <c r="I27" s="36">
        <f>E27/F27</f>
        <v>0.54172807191981875</v>
      </c>
      <c r="J27" s="36">
        <f>E27*24/(F27*16)</f>
        <v>0.81259210787972813</v>
      </c>
      <c r="L27" s="36">
        <f>G27/F27</f>
        <v>1.1447440978162264</v>
      </c>
    </row>
    <row r="28" spans="1:46" x14ac:dyDescent="0.25">
      <c r="A28" t="s">
        <v>1601</v>
      </c>
      <c r="I28" s="36" t="s">
        <v>145</v>
      </c>
      <c r="J28" s="36" t="s">
        <v>145</v>
      </c>
      <c r="L28" s="36" t="s">
        <v>145</v>
      </c>
    </row>
    <row r="29" spans="1:46" x14ac:dyDescent="0.25">
      <c r="B29" t="s">
        <v>870</v>
      </c>
      <c r="D29" s="36">
        <v>3</v>
      </c>
      <c r="E29" s="36">
        <v>0.1</v>
      </c>
      <c r="F29" s="36">
        <v>0.31575100000000061</v>
      </c>
      <c r="G29" s="36">
        <v>0.47362650000000089</v>
      </c>
      <c r="I29" s="36">
        <f>E29/F29</f>
        <v>0.31670525192319204</v>
      </c>
      <c r="J29" s="36">
        <f>E29*24/(F29*16)</f>
        <v>0.47505787788478809</v>
      </c>
      <c r="L29" s="36">
        <f>G29/F29</f>
        <v>1.5</v>
      </c>
    </row>
    <row r="30" spans="1:46" x14ac:dyDescent="0.25">
      <c r="B30" t="s">
        <v>871</v>
      </c>
      <c r="D30" s="36">
        <v>3</v>
      </c>
      <c r="E30" s="36">
        <v>0.1</v>
      </c>
      <c r="F30" s="36">
        <v>0.34053299999999986</v>
      </c>
      <c r="G30" s="36">
        <v>0.52319049999999989</v>
      </c>
      <c r="I30" s="36">
        <f>E30/F30</f>
        <v>0.29365729606234947</v>
      </c>
      <c r="J30" s="36">
        <f>E30*24/(F30*16)</f>
        <v>0.44048594409352421</v>
      </c>
      <c r="L30" s="36">
        <f>G30/F30</f>
        <v>1.5363870755550859</v>
      </c>
    </row>
    <row r="31" spans="1:46" x14ac:dyDescent="0.25">
      <c r="B31" t="s">
        <v>872</v>
      </c>
      <c r="D31" s="36">
        <v>3</v>
      </c>
      <c r="E31" s="36">
        <v>0.1</v>
      </c>
      <c r="F31" s="36">
        <v>0.21798029166666669</v>
      </c>
      <c r="G31" s="36">
        <v>0.27808508333333332</v>
      </c>
      <c r="I31" s="36">
        <f>E31/F31</f>
        <v>0.45875707035441082</v>
      </c>
      <c r="J31" s="36">
        <f>E31*24/(F31*16)</f>
        <v>0.68813560553161635</v>
      </c>
      <c r="L31" s="36">
        <f>G31/F31</f>
        <v>1.275734981392622</v>
      </c>
    </row>
    <row r="32" spans="1:46" x14ac:dyDescent="0.25">
      <c r="A32" t="s">
        <v>1602</v>
      </c>
      <c r="I32" s="36" t="s">
        <v>145</v>
      </c>
      <c r="J32" s="36" t="s">
        <v>145</v>
      </c>
      <c r="L32" s="36" t="s">
        <v>145</v>
      </c>
    </row>
    <row r="33" spans="1:12" x14ac:dyDescent="0.25">
      <c r="B33" t="s">
        <v>870</v>
      </c>
      <c r="D33" s="36">
        <v>5</v>
      </c>
      <c r="E33" s="36">
        <v>0.1</v>
      </c>
      <c r="F33" s="36">
        <v>0.315751</v>
      </c>
      <c r="G33" s="36">
        <v>0.47362649999999989</v>
      </c>
      <c r="I33" s="36">
        <f>E33/F33</f>
        <v>0.31670525192319265</v>
      </c>
      <c r="J33" s="36">
        <f>E33*24/(F33*16)</f>
        <v>0.47505787788478904</v>
      </c>
      <c r="L33" s="36">
        <f>G33/F33</f>
        <v>1.4999999999999996</v>
      </c>
    </row>
    <row r="34" spans="1:12" x14ac:dyDescent="0.25">
      <c r="B34" t="s">
        <v>871</v>
      </c>
      <c r="D34" s="36">
        <v>5</v>
      </c>
      <c r="E34" s="36">
        <v>0.1</v>
      </c>
      <c r="F34" s="36">
        <v>0.34053300000000009</v>
      </c>
      <c r="G34" s="36">
        <v>0.5231905</v>
      </c>
      <c r="I34" s="36">
        <f>E34/F34</f>
        <v>0.29365729606234925</v>
      </c>
      <c r="J34" s="36">
        <f>E34*24/(F34*16)</f>
        <v>0.44048594409352393</v>
      </c>
      <c r="L34" s="36">
        <f>G34/F34</f>
        <v>1.5363870755550852</v>
      </c>
    </row>
    <row r="35" spans="1:12" x14ac:dyDescent="0.25">
      <c r="B35" t="s">
        <v>872</v>
      </c>
      <c r="D35" s="36">
        <v>5</v>
      </c>
      <c r="E35" s="36">
        <v>0.1</v>
      </c>
      <c r="F35" s="36">
        <v>0.25131362499999998</v>
      </c>
      <c r="G35" s="36">
        <v>0.34475175000000002</v>
      </c>
      <c r="I35" s="36">
        <f>E35/F35</f>
        <v>0.39790918618121085</v>
      </c>
      <c r="J35" s="36">
        <f>E35*24/(F35*16)</f>
        <v>0.59686377927181633</v>
      </c>
      <c r="L35" s="36">
        <f>G35/F35</f>
        <v>1.3717988827704828</v>
      </c>
    </row>
    <row r="36" spans="1:12" x14ac:dyDescent="0.25">
      <c r="I36" s="36" t="s">
        <v>145</v>
      </c>
      <c r="J36" s="36" t="s">
        <v>145</v>
      </c>
      <c r="L36" s="36" t="s">
        <v>145</v>
      </c>
    </row>
    <row r="37" spans="1:12" x14ac:dyDescent="0.25">
      <c r="A37" s="87" t="s">
        <v>1603</v>
      </c>
      <c r="B37" s="87"/>
      <c r="C37" s="87"/>
      <c r="D37" s="88" t="s">
        <v>145</v>
      </c>
      <c r="E37" s="88"/>
      <c r="F37" s="88"/>
      <c r="G37" s="88"/>
      <c r="H37" s="88"/>
      <c r="I37" s="88" t="s">
        <v>145</v>
      </c>
      <c r="J37" s="88"/>
      <c r="K37" s="88"/>
      <c r="L37" s="88"/>
    </row>
    <row r="38" spans="1:12" x14ac:dyDescent="0.25">
      <c r="A38" s="87"/>
      <c r="B38" s="87" t="s">
        <v>870</v>
      </c>
      <c r="C38" s="87"/>
      <c r="D38" s="88">
        <v>1</v>
      </c>
      <c r="E38" s="88">
        <v>0.1</v>
      </c>
      <c r="F38" s="88">
        <v>0.32572300000000082</v>
      </c>
      <c r="G38" s="88">
        <v>0.48858450000000114</v>
      </c>
      <c r="H38" s="88"/>
      <c r="I38" s="88">
        <f>E38/F38</f>
        <v>0.30700933001353836</v>
      </c>
      <c r="J38" s="88">
        <f>E38*24/(F38*16)</f>
        <v>0.4605139950203076</v>
      </c>
      <c r="K38" s="88"/>
      <c r="L38" s="88">
        <f>G38/F38</f>
        <v>1.4999999999999998</v>
      </c>
    </row>
    <row r="39" spans="1:12" x14ac:dyDescent="0.25">
      <c r="A39" s="87"/>
      <c r="B39" s="87" t="s">
        <v>871</v>
      </c>
      <c r="C39" s="87"/>
      <c r="D39" s="88">
        <v>1</v>
      </c>
      <c r="E39" s="88">
        <v>0.1</v>
      </c>
      <c r="F39" s="88">
        <v>0.35050499999999996</v>
      </c>
      <c r="G39" s="88">
        <v>0.53814849999999992</v>
      </c>
      <c r="H39" s="88"/>
      <c r="I39" s="88">
        <f>E39/F39</f>
        <v>0.28530263476983214</v>
      </c>
      <c r="J39" s="88">
        <f>E39*24/(F39*16)</f>
        <v>0.42795395215474824</v>
      </c>
      <c r="K39" s="88"/>
      <c r="L39" s="88">
        <f>G39/F39</f>
        <v>1.5353518494743299</v>
      </c>
    </row>
    <row r="40" spans="1:12" x14ac:dyDescent="0.25">
      <c r="A40" s="87"/>
      <c r="B40" s="87" t="s">
        <v>872</v>
      </c>
      <c r="C40" s="87"/>
      <c r="D40" s="88">
        <v>1</v>
      </c>
      <c r="E40" s="88">
        <v>0.1</v>
      </c>
      <c r="F40" s="88">
        <v>0.1887494583333334</v>
      </c>
      <c r="G40" s="88">
        <v>0.21463741666666677</v>
      </c>
      <c r="H40" s="88"/>
      <c r="I40" s="88">
        <f>E40/F40</f>
        <v>0.52980284490882634</v>
      </c>
      <c r="J40" s="88">
        <f>E40*24/(F40*16)</f>
        <v>0.79470426736323951</v>
      </c>
      <c r="K40" s="88"/>
      <c r="L40" s="88">
        <f>G40/F40</f>
        <v>1.1371551397388118</v>
      </c>
    </row>
    <row r="41" spans="1:12" x14ac:dyDescent="0.25">
      <c r="A41" s="87" t="s">
        <v>1604</v>
      </c>
      <c r="B41" s="87"/>
      <c r="C41" s="87"/>
      <c r="D41" s="88"/>
      <c r="E41" s="88"/>
      <c r="F41" s="88"/>
      <c r="G41" s="88"/>
      <c r="H41" s="88"/>
      <c r="I41" s="88" t="s">
        <v>145</v>
      </c>
      <c r="J41" s="88" t="s">
        <v>145</v>
      </c>
      <c r="K41" s="88"/>
      <c r="L41" s="88" t="s">
        <v>145</v>
      </c>
    </row>
    <row r="42" spans="1:12" x14ac:dyDescent="0.25">
      <c r="A42" s="87"/>
      <c r="B42" s="87" t="s">
        <v>870</v>
      </c>
      <c r="C42" s="87"/>
      <c r="D42" s="88">
        <v>3</v>
      </c>
      <c r="E42" s="88">
        <v>0.1</v>
      </c>
      <c r="F42" s="88">
        <v>0.32572300000000037</v>
      </c>
      <c r="G42" s="88">
        <v>0.48858450000000048</v>
      </c>
      <c r="H42" s="88"/>
      <c r="I42" s="88">
        <f>E42/F42</f>
        <v>0.30700933001353875</v>
      </c>
      <c r="J42" s="88">
        <f>E42*24/(F42*16)</f>
        <v>0.46051399502030821</v>
      </c>
      <c r="K42" s="88"/>
      <c r="L42" s="88">
        <f>G42/F42</f>
        <v>1.4999999999999998</v>
      </c>
    </row>
    <row r="43" spans="1:12" x14ac:dyDescent="0.25">
      <c r="A43" s="87"/>
      <c r="B43" s="87" t="s">
        <v>871</v>
      </c>
      <c r="C43" s="87"/>
      <c r="D43" s="88">
        <v>3</v>
      </c>
      <c r="E43" s="88">
        <v>0.1</v>
      </c>
      <c r="F43" s="88">
        <v>0.35050500000000001</v>
      </c>
      <c r="G43" s="88">
        <v>0.53814850000000003</v>
      </c>
      <c r="H43" s="88"/>
      <c r="I43" s="88">
        <f>E43/F43</f>
        <v>0.28530263476983209</v>
      </c>
      <c r="J43" s="88">
        <f>E43*24/(F43*16)</f>
        <v>0.42795395215474819</v>
      </c>
      <c r="K43" s="88"/>
      <c r="L43" s="88">
        <f>G43/F43</f>
        <v>1.5353518494743299</v>
      </c>
    </row>
    <row r="44" spans="1:12" x14ac:dyDescent="0.25">
      <c r="A44" s="87"/>
      <c r="B44" s="87" t="s">
        <v>872</v>
      </c>
      <c r="C44" s="87"/>
      <c r="D44" s="88">
        <v>3</v>
      </c>
      <c r="E44" s="88">
        <v>0.1</v>
      </c>
      <c r="F44" s="88">
        <v>0.22213529166666668</v>
      </c>
      <c r="G44" s="88">
        <v>0.28140908333333331</v>
      </c>
      <c r="H44" s="88"/>
      <c r="I44" s="88">
        <f>E44/F44</f>
        <v>0.45017610326439572</v>
      </c>
      <c r="J44" s="88">
        <f>E44*24/(F44*16)</f>
        <v>0.67526415489659364</v>
      </c>
      <c r="K44" s="88"/>
      <c r="L44" s="88">
        <f>G44/F44</f>
        <v>1.266836445582056</v>
      </c>
    </row>
    <row r="45" spans="1:12" x14ac:dyDescent="0.25">
      <c r="A45" s="87" t="s">
        <v>1605</v>
      </c>
      <c r="B45" s="87"/>
      <c r="C45" s="87"/>
      <c r="D45" s="88"/>
      <c r="E45" s="88"/>
      <c r="F45" s="88"/>
      <c r="G45" s="88"/>
      <c r="H45" s="88"/>
      <c r="I45" s="88" t="s">
        <v>145</v>
      </c>
      <c r="J45" s="88" t="s">
        <v>145</v>
      </c>
      <c r="K45" s="88"/>
      <c r="L45" s="88" t="s">
        <v>145</v>
      </c>
    </row>
    <row r="46" spans="1:12" x14ac:dyDescent="0.25">
      <c r="A46" s="87"/>
      <c r="B46" s="87" t="s">
        <v>870</v>
      </c>
      <c r="C46" s="87"/>
      <c r="D46" s="88">
        <v>5</v>
      </c>
      <c r="E46" s="88">
        <v>0.1</v>
      </c>
      <c r="F46" s="88">
        <v>0.32572300000000048</v>
      </c>
      <c r="G46" s="88">
        <v>0.48858450000000053</v>
      </c>
      <c r="H46" s="88"/>
      <c r="I46" s="88">
        <f>E46/F46</f>
        <v>0.30700933001353869</v>
      </c>
      <c r="J46" s="88">
        <f>E46*24/(F46*16)</f>
        <v>0.46051399502030804</v>
      </c>
      <c r="K46" s="88"/>
      <c r="L46" s="88">
        <f>G46/F46</f>
        <v>1.4999999999999993</v>
      </c>
    </row>
    <row r="47" spans="1:12" x14ac:dyDescent="0.25">
      <c r="A47" s="87"/>
      <c r="B47" s="87" t="s">
        <v>871</v>
      </c>
      <c r="C47" s="87"/>
      <c r="D47" s="88">
        <v>5</v>
      </c>
      <c r="E47" s="88">
        <v>0.1</v>
      </c>
      <c r="F47" s="88">
        <v>0.35050500000000012</v>
      </c>
      <c r="G47" s="88">
        <v>0.53814850000000014</v>
      </c>
      <c r="H47" s="88"/>
      <c r="I47" s="88">
        <f>E47/F47</f>
        <v>0.28530263476983203</v>
      </c>
      <c r="J47" s="88">
        <f>E47*24/(F47*16)</f>
        <v>0.42795395215474807</v>
      </c>
      <c r="K47" s="88"/>
      <c r="L47" s="88">
        <f>G47/F47</f>
        <v>1.5353518494743297</v>
      </c>
    </row>
    <row r="48" spans="1:12" x14ac:dyDescent="0.25">
      <c r="A48" s="87"/>
      <c r="B48" s="87" t="s">
        <v>872</v>
      </c>
      <c r="C48" s="87"/>
      <c r="D48" s="88">
        <v>5</v>
      </c>
      <c r="E48" s="88">
        <v>0.1</v>
      </c>
      <c r="F48" s="88">
        <v>0.25546862500000006</v>
      </c>
      <c r="G48" s="88">
        <v>0.34807575000000007</v>
      </c>
      <c r="H48" s="88"/>
      <c r="I48" s="88">
        <f>E48/F48</f>
        <v>0.39143750039755365</v>
      </c>
      <c r="J48" s="88">
        <f>E48*24/(F48*16)</f>
        <v>0.58715625059633048</v>
      </c>
      <c r="K48" s="88"/>
      <c r="L48" s="88">
        <f>G48/F48</f>
        <v>1.362499015290038</v>
      </c>
    </row>
    <row r="49" spans="1:12" x14ac:dyDescent="0.25">
      <c r="I49" s="36" t="s">
        <v>145</v>
      </c>
    </row>
    <row r="50" spans="1:12" x14ac:dyDescent="0.25">
      <c r="A50" t="s">
        <v>1606</v>
      </c>
      <c r="D50" s="36" t="s">
        <v>145</v>
      </c>
      <c r="I50" s="36" t="s">
        <v>145</v>
      </c>
    </row>
    <row r="51" spans="1:12" x14ac:dyDescent="0.25">
      <c r="B51" t="s">
        <v>870</v>
      </c>
      <c r="D51" s="36">
        <v>1</v>
      </c>
      <c r="E51" s="36">
        <v>0.1</v>
      </c>
      <c r="F51" s="36">
        <v>0.33576199999999984</v>
      </c>
      <c r="G51" s="36">
        <v>0.50364299999999973</v>
      </c>
      <c r="I51" s="36">
        <f>E51/F51</f>
        <v>0.29783001054318253</v>
      </c>
      <c r="J51" s="36">
        <f>E51*24/(F51*16)</f>
        <v>0.44674501581477383</v>
      </c>
      <c r="L51" s="36">
        <f>G51/F51</f>
        <v>1.5</v>
      </c>
    </row>
    <row r="52" spans="1:12" x14ac:dyDescent="0.25">
      <c r="B52" t="s">
        <v>871</v>
      </c>
      <c r="D52" s="36">
        <v>1</v>
      </c>
      <c r="E52" s="36">
        <v>0.1</v>
      </c>
      <c r="F52" s="36">
        <v>0.36054399999999992</v>
      </c>
      <c r="G52" s="36">
        <v>0.55320699999999978</v>
      </c>
      <c r="I52" s="36">
        <f>E52/F52</f>
        <v>0.27735865802786908</v>
      </c>
      <c r="J52" s="36">
        <f>E52*24/(F52*16)</f>
        <v>0.41603798704180367</v>
      </c>
      <c r="L52" s="36">
        <f>G52/F52</f>
        <v>1.5343675113162329</v>
      </c>
    </row>
    <row r="53" spans="1:12" x14ac:dyDescent="0.25">
      <c r="B53" t="s">
        <v>872</v>
      </c>
      <c r="D53" s="36">
        <v>1</v>
      </c>
      <c r="E53" s="36">
        <v>0.1</v>
      </c>
      <c r="F53" s="36">
        <v>0.19293237500000004</v>
      </c>
      <c r="G53" s="36">
        <v>0.21798375000000006</v>
      </c>
      <c r="I53" s="36">
        <f>E53/F53</f>
        <v>0.51831632715867404</v>
      </c>
      <c r="J53" s="36">
        <f>E53*24/(F53*16)</f>
        <v>0.77747449073801111</v>
      </c>
      <c r="L53" s="36">
        <f>G53/F53</f>
        <v>1.1298453668027464</v>
      </c>
    </row>
    <row r="54" spans="1:12" x14ac:dyDescent="0.25">
      <c r="A54" t="s">
        <v>1607</v>
      </c>
      <c r="I54" s="36" t="s">
        <v>145</v>
      </c>
      <c r="J54" s="36" t="s">
        <v>145</v>
      </c>
      <c r="L54" s="36" t="s">
        <v>145</v>
      </c>
    </row>
    <row r="55" spans="1:12" x14ac:dyDescent="0.25">
      <c r="B55" t="s">
        <v>870</v>
      </c>
      <c r="D55" s="36">
        <v>3</v>
      </c>
      <c r="E55" s="36">
        <v>0.1</v>
      </c>
      <c r="F55" s="36">
        <v>0.33576200000000039</v>
      </c>
      <c r="G55" s="36">
        <v>0.50364300000000051</v>
      </c>
      <c r="I55" s="36">
        <f>E55/F55</f>
        <v>0.29783001054318203</v>
      </c>
      <c r="J55" s="36">
        <f>E55*24/(F55*16)</f>
        <v>0.44674501581477311</v>
      </c>
      <c r="L55" s="36">
        <f>G55/F55</f>
        <v>1.4999999999999998</v>
      </c>
    </row>
    <row r="56" spans="1:12" x14ac:dyDescent="0.25">
      <c r="B56" t="s">
        <v>871</v>
      </c>
      <c r="D56" s="36">
        <v>3</v>
      </c>
      <c r="E56" s="36">
        <v>0.1</v>
      </c>
      <c r="F56" s="36">
        <v>0.36054400000000014</v>
      </c>
      <c r="G56" s="36">
        <v>0.55320700000000012</v>
      </c>
      <c r="I56" s="36">
        <f>E56/F56</f>
        <v>0.27735865802786891</v>
      </c>
      <c r="J56" s="36">
        <f>E56*24/(F56*16)</f>
        <v>0.41603798704180339</v>
      </c>
      <c r="L56" s="36">
        <f>G56/F56</f>
        <v>1.5343675113162329</v>
      </c>
    </row>
    <row r="57" spans="1:12" x14ac:dyDescent="0.25">
      <c r="B57" t="s">
        <v>872</v>
      </c>
      <c r="D57" s="36">
        <v>3</v>
      </c>
      <c r="E57" s="36">
        <v>0.1</v>
      </c>
      <c r="F57" s="36">
        <v>0.22631820833333338</v>
      </c>
      <c r="G57" s="36">
        <v>0.28475541666666671</v>
      </c>
      <c r="I57" s="36">
        <f>E57/F57</f>
        <v>0.44185574256895288</v>
      </c>
      <c r="J57" s="36">
        <f>E57*24/(F57*16)</f>
        <v>0.66278361385342943</v>
      </c>
      <c r="L57" s="36">
        <f>G57/F57</f>
        <v>1.2582081608178159</v>
      </c>
    </row>
    <row r="58" spans="1:12" x14ac:dyDescent="0.25">
      <c r="A58" t="s">
        <v>1608</v>
      </c>
      <c r="I58" s="36" t="s">
        <v>145</v>
      </c>
      <c r="J58" s="36" t="s">
        <v>145</v>
      </c>
      <c r="L58" s="36" t="s">
        <v>145</v>
      </c>
    </row>
    <row r="59" spans="1:12" x14ac:dyDescent="0.25">
      <c r="B59" t="s">
        <v>870</v>
      </c>
      <c r="D59" s="36">
        <v>5</v>
      </c>
      <c r="E59" s="36">
        <v>0.1</v>
      </c>
      <c r="F59" s="36">
        <v>0.33576200000000017</v>
      </c>
      <c r="G59" s="36">
        <v>0.50364300000000017</v>
      </c>
      <c r="I59" s="36">
        <f>E59/F59</f>
        <v>0.29783001054318226</v>
      </c>
      <c r="J59" s="36">
        <f>E59*24/(F59*16)</f>
        <v>0.44674501581477338</v>
      </c>
      <c r="L59" s="36">
        <f>G59/F59</f>
        <v>1.4999999999999998</v>
      </c>
    </row>
    <row r="60" spans="1:12" x14ac:dyDescent="0.25">
      <c r="B60" t="s">
        <v>871</v>
      </c>
      <c r="D60" s="36">
        <v>5</v>
      </c>
      <c r="E60" s="36">
        <v>0.1</v>
      </c>
      <c r="F60" s="36">
        <v>0.3605440000000002</v>
      </c>
      <c r="G60" s="36">
        <v>0.55320700000000023</v>
      </c>
      <c r="I60" s="36">
        <f>E60/F60</f>
        <v>0.27735865802786885</v>
      </c>
      <c r="J60" s="36">
        <f>E60*24/(F60*16)</f>
        <v>0.41603798704180334</v>
      </c>
      <c r="L60" s="36">
        <f>G60/F60</f>
        <v>1.5343675113162329</v>
      </c>
    </row>
    <row r="61" spans="1:12" x14ac:dyDescent="0.25">
      <c r="B61" t="s">
        <v>872</v>
      </c>
      <c r="D61" s="36">
        <v>5</v>
      </c>
      <c r="E61" s="36">
        <v>0.1</v>
      </c>
      <c r="F61" s="36">
        <v>0.25965154166666676</v>
      </c>
      <c r="G61" s="36">
        <v>0.35142208333333341</v>
      </c>
      <c r="I61" s="36">
        <f>E61/F61</f>
        <v>0.38513154729648075</v>
      </c>
      <c r="J61" s="36">
        <f>E61*24/(F61*16)</f>
        <v>0.57769732094472115</v>
      </c>
      <c r="L61" s="36">
        <f>G61/F61</f>
        <v>1.3534373070831949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95CF9-CE19-49A9-B6F4-E46642C8DBAC}">
  <sheetPr codeName="Sheet16"/>
  <dimension ref="A1:AF151"/>
  <sheetViews>
    <sheetView workbookViewId="0">
      <selection activeCell="B1" sqref="B1:G1048576"/>
    </sheetView>
  </sheetViews>
  <sheetFormatPr defaultRowHeight="15" x14ac:dyDescent="0.25"/>
  <sheetData>
    <row r="1" spans="1:31" x14ac:dyDescent="0.25">
      <c r="A1">
        <v>4.2</v>
      </c>
      <c r="B1">
        <v>0</v>
      </c>
      <c r="C1">
        <v>0</v>
      </c>
      <c r="D1">
        <v>0</v>
      </c>
      <c r="E1">
        <v>0</v>
      </c>
      <c r="F1">
        <v>0</v>
      </c>
      <c r="G1">
        <v>0</v>
      </c>
      <c r="H1">
        <v>4.4000000000000004</v>
      </c>
      <c r="I1">
        <v>0</v>
      </c>
      <c r="J1">
        <v>0</v>
      </c>
      <c r="K1">
        <v>0</v>
      </c>
      <c r="L1">
        <v>0</v>
      </c>
      <c r="M1">
        <v>0</v>
      </c>
      <c r="N1">
        <v>0</v>
      </c>
      <c r="O1">
        <v>4.5999999999999996</v>
      </c>
      <c r="P1">
        <v>0</v>
      </c>
      <c r="Q1">
        <v>0</v>
      </c>
      <c r="R1">
        <v>0</v>
      </c>
      <c r="S1">
        <v>0</v>
      </c>
      <c r="T1">
        <v>0</v>
      </c>
      <c r="U1">
        <v>0</v>
      </c>
      <c r="V1">
        <v>4.8</v>
      </c>
      <c r="W1">
        <v>0</v>
      </c>
      <c r="X1">
        <v>0</v>
      </c>
      <c r="Y1">
        <v>0</v>
      </c>
      <c r="Z1">
        <v>0</v>
      </c>
      <c r="AA1">
        <v>0</v>
      </c>
      <c r="AB1">
        <v>0</v>
      </c>
      <c r="AD1" t="s">
        <v>343</v>
      </c>
      <c r="AE1" t="s">
        <v>987</v>
      </c>
    </row>
    <row r="2" spans="1:31" x14ac:dyDescent="0.25">
      <c r="B2">
        <v>0</v>
      </c>
      <c r="C2">
        <v>0</v>
      </c>
      <c r="D2">
        <v>0</v>
      </c>
      <c r="E2">
        <v>0</v>
      </c>
      <c r="F2">
        <v>0</v>
      </c>
      <c r="G2">
        <v>0</v>
      </c>
      <c r="I2">
        <v>0</v>
      </c>
      <c r="J2">
        <v>0</v>
      </c>
      <c r="K2">
        <v>0</v>
      </c>
      <c r="L2">
        <v>0</v>
      </c>
      <c r="M2">
        <v>0</v>
      </c>
      <c r="N2">
        <v>0</v>
      </c>
      <c r="P2">
        <v>0</v>
      </c>
      <c r="Q2">
        <v>0</v>
      </c>
      <c r="R2">
        <v>0</v>
      </c>
      <c r="S2">
        <v>0</v>
      </c>
      <c r="T2">
        <v>0</v>
      </c>
      <c r="U2">
        <v>0</v>
      </c>
      <c r="W2">
        <v>0</v>
      </c>
      <c r="X2">
        <v>0</v>
      </c>
      <c r="Y2">
        <v>0</v>
      </c>
      <c r="Z2">
        <v>0</v>
      </c>
      <c r="AA2">
        <v>0</v>
      </c>
      <c r="AB2">
        <v>0</v>
      </c>
      <c r="AD2" t="s">
        <v>348</v>
      </c>
      <c r="AE2" t="s">
        <v>992</v>
      </c>
    </row>
    <row r="3" spans="1:31" x14ac:dyDescent="0.25">
      <c r="B3">
        <v>0.260178625</v>
      </c>
      <c r="C3">
        <v>0.35526793750000007</v>
      </c>
      <c r="D3">
        <v>0.45035724999999993</v>
      </c>
      <c r="E3">
        <v>0.54544656250000001</v>
      </c>
      <c r="F3">
        <v>0.64620737499999992</v>
      </c>
      <c r="G3">
        <v>0.74224193750000012</v>
      </c>
      <c r="I3">
        <v>0.26430570833333333</v>
      </c>
      <c r="J3">
        <v>0.36145856250000002</v>
      </c>
      <c r="K3">
        <v>0.45861141666666649</v>
      </c>
      <c r="L3">
        <v>0.55576427083333302</v>
      </c>
      <c r="M3">
        <v>0.65858862499999993</v>
      </c>
      <c r="N3">
        <v>0.75668672916666724</v>
      </c>
      <c r="P3">
        <v>0.26846070833333335</v>
      </c>
      <c r="Q3">
        <v>0.36769106250000005</v>
      </c>
      <c r="R3">
        <v>0.46692141666666664</v>
      </c>
      <c r="S3">
        <v>0.56615177083333312</v>
      </c>
      <c r="T3">
        <v>0.67105362499999988</v>
      </c>
      <c r="U3">
        <v>0.7712292291666667</v>
      </c>
      <c r="W3">
        <v>0.272643625</v>
      </c>
      <c r="X3">
        <v>0.37396543750000005</v>
      </c>
      <c r="Y3">
        <v>0.47528724999999983</v>
      </c>
      <c r="Z3">
        <v>0.57660906249999988</v>
      </c>
      <c r="AA3">
        <v>0.68360237499999965</v>
      </c>
      <c r="AB3">
        <v>0.78586943750000005</v>
      </c>
      <c r="AD3" t="s">
        <v>353</v>
      </c>
      <c r="AE3" t="s">
        <v>997</v>
      </c>
    </row>
    <row r="4" spans="1:31" x14ac:dyDescent="0.25">
      <c r="B4">
        <v>0</v>
      </c>
      <c r="C4">
        <v>4.5994238183201482E-31</v>
      </c>
      <c r="D4">
        <v>0</v>
      </c>
      <c r="E4">
        <v>4.5994238183201482E-31</v>
      </c>
      <c r="F4">
        <v>0</v>
      </c>
      <c r="G4">
        <v>0</v>
      </c>
      <c r="I4">
        <v>0</v>
      </c>
      <c r="J4">
        <v>0</v>
      </c>
      <c r="K4">
        <v>0</v>
      </c>
      <c r="L4">
        <v>9.0597873701276468E-31</v>
      </c>
      <c r="M4">
        <v>0</v>
      </c>
      <c r="N4">
        <v>0</v>
      </c>
      <c r="P4">
        <v>2.2997119091600741E-31</v>
      </c>
      <c r="Q4">
        <v>0</v>
      </c>
      <c r="R4">
        <v>0</v>
      </c>
      <c r="S4">
        <v>0</v>
      </c>
      <c r="T4">
        <v>-2.2997119091600741E-31</v>
      </c>
      <c r="U4">
        <v>-2.2649468425319117E-31</v>
      </c>
      <c r="W4">
        <v>2.2997119091600741E-31</v>
      </c>
      <c r="X4">
        <v>0</v>
      </c>
      <c r="Y4">
        <v>0</v>
      </c>
      <c r="Z4">
        <v>-2.2649468425319117E-31</v>
      </c>
      <c r="AA4">
        <v>-4.4783863494169869E-31</v>
      </c>
      <c r="AB4">
        <v>0</v>
      </c>
      <c r="AD4" t="s">
        <v>357</v>
      </c>
      <c r="AE4" t="s">
        <v>999</v>
      </c>
    </row>
    <row r="5" spans="1:31" x14ac:dyDescent="0.25">
      <c r="B5">
        <v>0</v>
      </c>
      <c r="C5">
        <v>0</v>
      </c>
      <c r="D5">
        <v>0</v>
      </c>
      <c r="E5">
        <v>0</v>
      </c>
      <c r="F5">
        <v>0</v>
      </c>
      <c r="G5">
        <v>0</v>
      </c>
      <c r="I5">
        <v>0</v>
      </c>
      <c r="J5">
        <v>0</v>
      </c>
      <c r="K5">
        <v>0</v>
      </c>
      <c r="L5">
        <v>0</v>
      </c>
      <c r="M5">
        <v>0</v>
      </c>
      <c r="N5">
        <v>0</v>
      </c>
      <c r="P5">
        <v>0</v>
      </c>
      <c r="Q5">
        <v>0</v>
      </c>
      <c r="R5">
        <v>0</v>
      </c>
      <c r="S5">
        <v>0</v>
      </c>
      <c r="T5">
        <v>0</v>
      </c>
      <c r="U5">
        <v>0</v>
      </c>
      <c r="W5">
        <v>0</v>
      </c>
      <c r="X5">
        <v>0</v>
      </c>
      <c r="Y5">
        <v>0</v>
      </c>
      <c r="Z5">
        <v>0</v>
      </c>
      <c r="AA5">
        <v>0</v>
      </c>
      <c r="AB5">
        <v>0</v>
      </c>
      <c r="AD5" t="s">
        <v>361</v>
      </c>
      <c r="AE5" t="s">
        <v>1005</v>
      </c>
    </row>
    <row r="6" spans="1:31" x14ac:dyDescent="0.25">
      <c r="B6">
        <v>0</v>
      </c>
      <c r="C6">
        <v>0</v>
      </c>
      <c r="D6">
        <v>0</v>
      </c>
      <c r="E6">
        <v>0</v>
      </c>
      <c r="F6">
        <v>0</v>
      </c>
      <c r="G6">
        <v>0</v>
      </c>
      <c r="I6">
        <v>0</v>
      </c>
      <c r="J6">
        <v>0</v>
      </c>
      <c r="K6">
        <v>0</v>
      </c>
      <c r="L6">
        <v>0</v>
      </c>
      <c r="M6">
        <v>0</v>
      </c>
      <c r="N6">
        <v>0</v>
      </c>
      <c r="P6">
        <v>0</v>
      </c>
      <c r="Q6">
        <v>0</v>
      </c>
      <c r="R6">
        <v>0</v>
      </c>
      <c r="S6">
        <v>0</v>
      </c>
      <c r="T6">
        <v>0</v>
      </c>
      <c r="U6">
        <v>0</v>
      </c>
      <c r="W6">
        <v>0</v>
      </c>
      <c r="X6">
        <v>0</v>
      </c>
      <c r="Y6">
        <v>0</v>
      </c>
      <c r="Z6">
        <v>0</v>
      </c>
      <c r="AA6">
        <v>0</v>
      </c>
      <c r="AB6">
        <v>0</v>
      </c>
      <c r="AD6" t="s">
        <v>366</v>
      </c>
      <c r="AE6" t="s">
        <v>1009</v>
      </c>
    </row>
    <row r="7" spans="1:31" x14ac:dyDescent="0.25">
      <c r="B7">
        <v>0</v>
      </c>
      <c r="C7">
        <v>0</v>
      </c>
      <c r="D7">
        <v>0</v>
      </c>
      <c r="E7">
        <v>0</v>
      </c>
      <c r="F7">
        <v>0</v>
      </c>
      <c r="G7">
        <v>0</v>
      </c>
      <c r="I7">
        <v>0</v>
      </c>
      <c r="J7">
        <v>0</v>
      </c>
      <c r="K7">
        <v>0</v>
      </c>
      <c r="L7">
        <v>0</v>
      </c>
      <c r="M7">
        <v>0</v>
      </c>
      <c r="N7">
        <v>0</v>
      </c>
      <c r="P7">
        <v>0</v>
      </c>
      <c r="Q7">
        <v>0</v>
      </c>
      <c r="R7">
        <v>0</v>
      </c>
      <c r="S7">
        <v>0</v>
      </c>
      <c r="T7">
        <v>0</v>
      </c>
      <c r="U7">
        <v>0</v>
      </c>
      <c r="W7">
        <v>0</v>
      </c>
      <c r="X7">
        <v>0</v>
      </c>
      <c r="Y7">
        <v>0</v>
      </c>
      <c r="Z7">
        <v>0</v>
      </c>
      <c r="AA7">
        <v>0</v>
      </c>
      <c r="AB7">
        <v>0</v>
      </c>
      <c r="AD7" t="s">
        <v>371</v>
      </c>
      <c r="AE7" t="s">
        <v>1027</v>
      </c>
    </row>
    <row r="8" spans="1:31" x14ac:dyDescent="0.25">
      <c r="B8">
        <v>0</v>
      </c>
      <c r="C8">
        <v>0</v>
      </c>
      <c r="D8">
        <v>0</v>
      </c>
      <c r="E8">
        <v>0</v>
      </c>
      <c r="F8">
        <v>0</v>
      </c>
      <c r="G8">
        <v>0</v>
      </c>
      <c r="I8">
        <v>0</v>
      </c>
      <c r="J8">
        <v>0</v>
      </c>
      <c r="K8">
        <v>0</v>
      </c>
      <c r="L8">
        <v>0</v>
      </c>
      <c r="M8">
        <v>0</v>
      </c>
      <c r="N8">
        <v>0</v>
      </c>
      <c r="P8">
        <v>0</v>
      </c>
      <c r="Q8">
        <v>0</v>
      </c>
      <c r="R8">
        <v>0</v>
      </c>
      <c r="S8">
        <v>0</v>
      </c>
      <c r="T8">
        <v>0</v>
      </c>
      <c r="U8">
        <v>0</v>
      </c>
      <c r="W8">
        <v>0</v>
      </c>
      <c r="X8">
        <v>0</v>
      </c>
      <c r="Y8">
        <v>0</v>
      </c>
      <c r="Z8">
        <v>0</v>
      </c>
      <c r="AA8">
        <v>0</v>
      </c>
      <c r="AB8">
        <v>0</v>
      </c>
      <c r="AD8" t="s">
        <v>375</v>
      </c>
      <c r="AE8" t="s">
        <v>1031</v>
      </c>
    </row>
    <row r="9" spans="1:31" x14ac:dyDescent="0.25">
      <c r="B9">
        <v>0</v>
      </c>
      <c r="C9">
        <v>0</v>
      </c>
      <c r="D9">
        <v>0</v>
      </c>
      <c r="E9">
        <v>0</v>
      </c>
      <c r="F9">
        <v>0</v>
      </c>
      <c r="G9">
        <v>0</v>
      </c>
      <c r="I9">
        <v>0</v>
      </c>
      <c r="J9">
        <v>0</v>
      </c>
      <c r="K9">
        <v>0</v>
      </c>
      <c r="L9">
        <v>0</v>
      </c>
      <c r="M9">
        <v>0</v>
      </c>
      <c r="N9">
        <v>0</v>
      </c>
      <c r="P9">
        <v>0</v>
      </c>
      <c r="Q9">
        <v>0</v>
      </c>
      <c r="R9">
        <v>0</v>
      </c>
      <c r="S9">
        <v>0</v>
      </c>
      <c r="T9">
        <v>0</v>
      </c>
      <c r="U9">
        <v>0</v>
      </c>
      <c r="W9">
        <v>0</v>
      </c>
      <c r="X9">
        <v>0</v>
      </c>
      <c r="Y9">
        <v>0</v>
      </c>
      <c r="Z9">
        <v>0</v>
      </c>
      <c r="AA9">
        <v>0</v>
      </c>
      <c r="AB9">
        <v>0</v>
      </c>
      <c r="AD9" t="s">
        <v>380</v>
      </c>
      <c r="AE9" t="s">
        <v>1035</v>
      </c>
    </row>
    <row r="10" spans="1:31" x14ac:dyDescent="0.25">
      <c r="B10">
        <v>0</v>
      </c>
      <c r="C10">
        <v>0</v>
      </c>
      <c r="D10">
        <v>0</v>
      </c>
      <c r="E10">
        <v>0</v>
      </c>
      <c r="F10">
        <v>0</v>
      </c>
      <c r="G10">
        <v>0</v>
      </c>
      <c r="I10">
        <v>0</v>
      </c>
      <c r="J10">
        <v>0</v>
      </c>
      <c r="K10">
        <v>0</v>
      </c>
      <c r="L10">
        <v>0</v>
      </c>
      <c r="M10">
        <v>0</v>
      </c>
      <c r="N10">
        <v>0</v>
      </c>
      <c r="P10">
        <v>0</v>
      </c>
      <c r="Q10">
        <v>0</v>
      </c>
      <c r="R10">
        <v>0</v>
      </c>
      <c r="S10">
        <v>0</v>
      </c>
      <c r="T10">
        <v>0</v>
      </c>
      <c r="U10">
        <v>0</v>
      </c>
      <c r="W10">
        <v>0</v>
      </c>
      <c r="X10">
        <v>0</v>
      </c>
      <c r="Y10">
        <v>0</v>
      </c>
      <c r="Z10">
        <v>0</v>
      </c>
      <c r="AA10">
        <v>0</v>
      </c>
      <c r="AB10">
        <v>0</v>
      </c>
      <c r="AD10" t="s">
        <v>385</v>
      </c>
      <c r="AE10" t="s">
        <v>1036</v>
      </c>
    </row>
    <row r="11" spans="1:31" x14ac:dyDescent="0.25">
      <c r="B11">
        <v>0</v>
      </c>
      <c r="C11">
        <v>0</v>
      </c>
      <c r="D11">
        <v>0</v>
      </c>
      <c r="E11">
        <v>0</v>
      </c>
      <c r="F11">
        <v>0</v>
      </c>
      <c r="G11">
        <v>0</v>
      </c>
      <c r="I11">
        <v>0</v>
      </c>
      <c r="J11">
        <v>0</v>
      </c>
      <c r="K11">
        <v>0</v>
      </c>
      <c r="L11">
        <v>0</v>
      </c>
      <c r="M11">
        <v>0</v>
      </c>
      <c r="N11">
        <v>0</v>
      </c>
      <c r="P11">
        <v>0</v>
      </c>
      <c r="Q11">
        <v>0</v>
      </c>
      <c r="R11">
        <v>0</v>
      </c>
      <c r="S11">
        <v>0</v>
      </c>
      <c r="T11">
        <v>0</v>
      </c>
      <c r="U11">
        <v>0</v>
      </c>
      <c r="W11">
        <v>0</v>
      </c>
      <c r="X11">
        <v>0</v>
      </c>
      <c r="Y11">
        <v>0</v>
      </c>
      <c r="Z11">
        <v>0</v>
      </c>
      <c r="AA11">
        <v>0</v>
      </c>
      <c r="AB11">
        <v>0</v>
      </c>
      <c r="AD11" t="s">
        <v>390</v>
      </c>
      <c r="AE11" t="s">
        <v>1040</v>
      </c>
    </row>
    <row r="12" spans="1:31" x14ac:dyDescent="0.25">
      <c r="B12">
        <v>0.260178625</v>
      </c>
      <c r="C12">
        <v>0.35526793750000007</v>
      </c>
      <c r="D12">
        <v>0.45035724999999993</v>
      </c>
      <c r="E12">
        <v>0.54544656250000001</v>
      </c>
      <c r="F12">
        <v>0.64620737500000003</v>
      </c>
      <c r="G12">
        <v>0.74224193750000023</v>
      </c>
      <c r="I12">
        <v>0.26430570833333333</v>
      </c>
      <c r="J12">
        <v>0.36145856250000002</v>
      </c>
      <c r="K12">
        <v>0.45861141666666655</v>
      </c>
      <c r="L12">
        <v>0.55576427083333313</v>
      </c>
      <c r="M12">
        <v>0.65858862499999993</v>
      </c>
      <c r="N12">
        <v>0.75668672916666724</v>
      </c>
      <c r="P12">
        <v>0.26846070833333335</v>
      </c>
      <c r="Q12">
        <v>0.36769106250000005</v>
      </c>
      <c r="R12">
        <v>0.4669214166666667</v>
      </c>
      <c r="S12">
        <v>0.56615177083333323</v>
      </c>
      <c r="T12">
        <v>0.67105362499999988</v>
      </c>
      <c r="U12">
        <v>0.7712292291666667</v>
      </c>
      <c r="W12">
        <v>0.272643625</v>
      </c>
      <c r="X12">
        <v>0.37396543750000005</v>
      </c>
      <c r="Y12">
        <v>0.47528724999999988</v>
      </c>
      <c r="Z12">
        <v>0.57660906249999999</v>
      </c>
      <c r="AA12">
        <v>0.68360237499999976</v>
      </c>
      <c r="AB12">
        <v>0.78586943750000005</v>
      </c>
      <c r="AD12" t="s">
        <v>394</v>
      </c>
      <c r="AE12" t="s">
        <v>1044</v>
      </c>
    </row>
    <row r="13" spans="1:31" x14ac:dyDescent="0.25">
      <c r="B13">
        <v>0.21267762499999998</v>
      </c>
      <c r="C13">
        <v>0.28401643750000005</v>
      </c>
      <c r="D13">
        <v>0.35535525000000001</v>
      </c>
      <c r="E13">
        <v>0.42669406250000003</v>
      </c>
      <c r="F13">
        <v>0.50131637500000004</v>
      </c>
      <c r="G13">
        <v>0.57320243750000022</v>
      </c>
      <c r="I13">
        <v>0.21680470833333337</v>
      </c>
      <c r="J13">
        <v>0.2902070625</v>
      </c>
      <c r="K13">
        <v>0.36360941666666657</v>
      </c>
      <c r="L13">
        <v>0.43701177083333331</v>
      </c>
      <c r="M13">
        <v>0.51369762499999994</v>
      </c>
      <c r="N13">
        <v>0.58764722916666701</v>
      </c>
      <c r="P13">
        <v>0.22095970833333337</v>
      </c>
      <c r="Q13">
        <v>0.29643956250000003</v>
      </c>
      <c r="R13">
        <v>0.37191941666666667</v>
      </c>
      <c r="S13">
        <v>0.44739927083333325</v>
      </c>
      <c r="T13">
        <v>0.52616262499999988</v>
      </c>
      <c r="U13">
        <v>0.60218972916666669</v>
      </c>
      <c r="W13">
        <v>0.22514262499999999</v>
      </c>
      <c r="X13">
        <v>0.30271393750000003</v>
      </c>
      <c r="Y13">
        <v>0.38028524999999996</v>
      </c>
      <c r="Z13">
        <v>0.45785656249999995</v>
      </c>
      <c r="AA13">
        <v>0.53871137499999988</v>
      </c>
      <c r="AB13">
        <v>0.61682993750000004</v>
      </c>
      <c r="AD13" t="s">
        <v>399</v>
      </c>
      <c r="AE13" t="s">
        <v>1046</v>
      </c>
    </row>
    <row r="14" spans="1:31" x14ac:dyDescent="0.25">
      <c r="B14">
        <v>0.21267762499999998</v>
      </c>
      <c r="C14">
        <v>0.28401643750000005</v>
      </c>
      <c r="D14">
        <v>0.35535524999999996</v>
      </c>
      <c r="E14">
        <v>0.42669406250000008</v>
      </c>
      <c r="F14">
        <v>0.50131637499999993</v>
      </c>
      <c r="G14">
        <v>0.57320243750000011</v>
      </c>
      <c r="I14">
        <v>0.21680470833333332</v>
      </c>
      <c r="J14">
        <v>0.2902070625</v>
      </c>
      <c r="K14">
        <v>0.36360941666666663</v>
      </c>
      <c r="L14">
        <v>0.43701177083333331</v>
      </c>
      <c r="M14">
        <v>0.51369762499999994</v>
      </c>
      <c r="N14">
        <v>0.58764722916666701</v>
      </c>
      <c r="P14">
        <v>0.22095970833333334</v>
      </c>
      <c r="Q14">
        <v>0.29643956249999998</v>
      </c>
      <c r="R14">
        <v>0.37191941666666672</v>
      </c>
      <c r="S14">
        <v>0.44739927083333325</v>
      </c>
      <c r="T14">
        <v>0.52616262499999988</v>
      </c>
      <c r="U14">
        <v>0.60218972916666669</v>
      </c>
      <c r="W14">
        <v>0.22514262499999999</v>
      </c>
      <c r="X14">
        <v>0.30271393750000003</v>
      </c>
      <c r="Y14">
        <v>0.38028524999999996</v>
      </c>
      <c r="Z14">
        <v>0.45785656249999995</v>
      </c>
      <c r="AA14">
        <v>0.53871137499999988</v>
      </c>
      <c r="AB14">
        <v>0.61682993750000004</v>
      </c>
      <c r="AD14" t="s">
        <v>404</v>
      </c>
      <c r="AE14" t="s">
        <v>1051</v>
      </c>
    </row>
    <row r="15" spans="1:31" x14ac:dyDescent="0.25">
      <c r="B15">
        <v>-0.21267762499999998</v>
      </c>
      <c r="C15">
        <v>-0.28401643750000005</v>
      </c>
      <c r="D15">
        <v>-0.35535525000000001</v>
      </c>
      <c r="E15">
        <v>-0.42669406250000003</v>
      </c>
      <c r="F15">
        <v>-0.50131637499999993</v>
      </c>
      <c r="G15">
        <v>-0.57320243750000022</v>
      </c>
      <c r="I15">
        <v>-0.21680470833333335</v>
      </c>
      <c r="J15">
        <v>-0.2902070625</v>
      </c>
      <c r="K15">
        <v>-0.36360941666666657</v>
      </c>
      <c r="L15">
        <v>-0.43701177083333326</v>
      </c>
      <c r="M15">
        <v>-0.51369762499999994</v>
      </c>
      <c r="N15">
        <v>-0.58764722916666701</v>
      </c>
      <c r="P15">
        <v>-0.22095970833333337</v>
      </c>
      <c r="Q15">
        <v>-0.29643956250000003</v>
      </c>
      <c r="R15">
        <v>-0.37191941666666672</v>
      </c>
      <c r="S15">
        <v>-0.44739927083333331</v>
      </c>
      <c r="T15">
        <v>-0.52616262499999999</v>
      </c>
      <c r="U15">
        <v>-0.60218972916666669</v>
      </c>
      <c r="W15">
        <v>-0.22514262500000001</v>
      </c>
      <c r="X15">
        <v>-0.30271393750000003</v>
      </c>
      <c r="Y15">
        <v>-0.38028524999999996</v>
      </c>
      <c r="Z15">
        <v>-0.45785656249999995</v>
      </c>
      <c r="AA15">
        <v>-0.53871137499999988</v>
      </c>
      <c r="AB15">
        <v>-0.61682993750000004</v>
      </c>
      <c r="AD15" t="s">
        <v>409</v>
      </c>
      <c r="AE15" t="s">
        <v>1055</v>
      </c>
    </row>
    <row r="16" spans="1:31" x14ac:dyDescent="0.25">
      <c r="B16">
        <v>0.21267762499999998</v>
      </c>
      <c r="C16">
        <v>0.2840164375</v>
      </c>
      <c r="D16">
        <v>0.35535524999999996</v>
      </c>
      <c r="E16">
        <v>0.42669406250000003</v>
      </c>
      <c r="F16">
        <v>0.50131637499999993</v>
      </c>
      <c r="G16">
        <v>0.57320243750000022</v>
      </c>
      <c r="I16">
        <v>0.21680470833333335</v>
      </c>
      <c r="J16">
        <v>0.2902070625</v>
      </c>
      <c r="K16">
        <v>0.36360941666666663</v>
      </c>
      <c r="L16">
        <v>0.43701177083333326</v>
      </c>
      <c r="M16">
        <v>0.51369762499999994</v>
      </c>
      <c r="N16">
        <v>0.5876472291666669</v>
      </c>
      <c r="P16">
        <v>0.22095970833333334</v>
      </c>
      <c r="Q16">
        <v>0.29643956249999998</v>
      </c>
      <c r="R16">
        <v>0.37191941666666667</v>
      </c>
      <c r="S16">
        <v>0.44739927083333325</v>
      </c>
      <c r="T16">
        <v>0.52616262499999988</v>
      </c>
      <c r="U16">
        <v>0.60218972916666669</v>
      </c>
      <c r="W16">
        <v>0.22514262499999996</v>
      </c>
      <c r="X16">
        <v>0.30271393749999997</v>
      </c>
      <c r="Y16">
        <v>0.38028524999999991</v>
      </c>
      <c r="Z16">
        <v>0.4578565624999999</v>
      </c>
      <c r="AA16">
        <v>0.53871137499999988</v>
      </c>
      <c r="AB16">
        <v>0.61682993750000004</v>
      </c>
      <c r="AD16" t="s">
        <v>413</v>
      </c>
      <c r="AE16" t="s">
        <v>1060</v>
      </c>
    </row>
    <row r="17" spans="2:31" x14ac:dyDescent="0.25">
      <c r="B17">
        <v>4.7501000000000002E-2</v>
      </c>
      <c r="C17">
        <v>7.1251500000000009E-2</v>
      </c>
      <c r="D17">
        <v>9.5001999999999989E-2</v>
      </c>
      <c r="E17">
        <v>0.11875250000000001</v>
      </c>
      <c r="F17">
        <v>0.14489099999999999</v>
      </c>
      <c r="G17">
        <v>0.16903950000000004</v>
      </c>
      <c r="I17">
        <v>4.7501000000000015E-2</v>
      </c>
      <c r="J17">
        <v>7.1251499999999995E-2</v>
      </c>
      <c r="K17">
        <v>9.5001999999999989E-2</v>
      </c>
      <c r="L17">
        <v>0.11875249999999991</v>
      </c>
      <c r="M17">
        <v>0.14489099999999999</v>
      </c>
      <c r="N17">
        <v>0.16903950000000015</v>
      </c>
      <c r="P17">
        <v>4.7501000000000015E-2</v>
      </c>
      <c r="Q17">
        <v>7.1251500000000023E-2</v>
      </c>
      <c r="R17">
        <v>9.5002000000000031E-2</v>
      </c>
      <c r="S17">
        <v>0.11875249999999997</v>
      </c>
      <c r="T17">
        <v>0.14489099999999994</v>
      </c>
      <c r="U17">
        <v>0.16903950000000004</v>
      </c>
      <c r="W17">
        <v>4.7500999999999995E-2</v>
      </c>
      <c r="X17">
        <v>7.1251500000000023E-2</v>
      </c>
      <c r="Y17">
        <v>9.5001999999999975E-2</v>
      </c>
      <c r="Z17">
        <v>0.11875249999999998</v>
      </c>
      <c r="AA17">
        <v>0.14489099999999991</v>
      </c>
      <c r="AB17">
        <v>0.16903950000000004</v>
      </c>
      <c r="AD17" t="s">
        <v>418</v>
      </c>
      <c r="AE17" t="s">
        <v>1065</v>
      </c>
    </row>
    <row r="18" spans="2:31" x14ac:dyDescent="0.25">
      <c r="B18">
        <v>4.7500999999999995E-2</v>
      </c>
      <c r="C18">
        <v>7.1251499999999995E-2</v>
      </c>
      <c r="D18">
        <v>9.5001999999999975E-2</v>
      </c>
      <c r="E18">
        <v>0.1187525</v>
      </c>
      <c r="F18">
        <v>0.14489099999999999</v>
      </c>
      <c r="G18">
        <v>0.16903950000000004</v>
      </c>
      <c r="I18">
        <v>4.7501000000000008E-2</v>
      </c>
      <c r="J18">
        <v>7.1251499999999995E-2</v>
      </c>
      <c r="K18">
        <v>9.5001999999999975E-2</v>
      </c>
      <c r="L18">
        <v>0.1187524999999999</v>
      </c>
      <c r="M18">
        <v>0.14489099999999996</v>
      </c>
      <c r="N18">
        <v>0.16903950000000012</v>
      </c>
      <c r="P18">
        <v>4.7501000000000008E-2</v>
      </c>
      <c r="Q18">
        <v>7.1251500000000023E-2</v>
      </c>
      <c r="R18">
        <v>9.5002000000000003E-2</v>
      </c>
      <c r="S18">
        <v>0.11875249999999997</v>
      </c>
      <c r="T18">
        <v>0.14489099999999996</v>
      </c>
      <c r="U18">
        <v>0.16903950000000001</v>
      </c>
      <c r="W18">
        <v>4.7500999999999988E-2</v>
      </c>
      <c r="X18">
        <v>7.1251500000000023E-2</v>
      </c>
      <c r="Y18">
        <v>9.5001999999999961E-2</v>
      </c>
      <c r="Z18">
        <v>0.1187525</v>
      </c>
      <c r="AA18">
        <v>0.14489099999999991</v>
      </c>
      <c r="AB18">
        <v>0.16903950000000004</v>
      </c>
      <c r="AD18" t="s">
        <v>423</v>
      </c>
      <c r="AE18" t="s">
        <v>1070</v>
      </c>
    </row>
    <row r="19" spans="2:31" x14ac:dyDescent="0.25">
      <c r="B19">
        <v>0</v>
      </c>
      <c r="C19">
        <v>0</v>
      </c>
      <c r="D19">
        <v>0</v>
      </c>
      <c r="E19">
        <v>0</v>
      </c>
      <c r="F19">
        <v>0</v>
      </c>
      <c r="G19">
        <v>0</v>
      </c>
      <c r="I19">
        <v>0</v>
      </c>
      <c r="J19">
        <v>0</v>
      </c>
      <c r="K19">
        <v>0</v>
      </c>
      <c r="L19">
        <v>0</v>
      </c>
      <c r="M19">
        <v>0</v>
      </c>
      <c r="N19">
        <v>0.16903950000000012</v>
      </c>
      <c r="P19">
        <v>0</v>
      </c>
      <c r="Q19">
        <v>0</v>
      </c>
      <c r="R19">
        <v>0</v>
      </c>
      <c r="S19">
        <v>0.11875249999999998</v>
      </c>
      <c r="T19">
        <v>0.14489099999999994</v>
      </c>
      <c r="U19">
        <v>0.16903950000000001</v>
      </c>
      <c r="W19">
        <v>0</v>
      </c>
      <c r="X19">
        <v>0</v>
      </c>
      <c r="Y19">
        <v>9.5001999999999975E-2</v>
      </c>
      <c r="Z19">
        <v>0.11875249999999998</v>
      </c>
      <c r="AA19">
        <v>0.14489099999999988</v>
      </c>
      <c r="AB19">
        <v>0.16903950000000006</v>
      </c>
      <c r="AD19" t="s">
        <v>427</v>
      </c>
      <c r="AE19" t="s">
        <v>1075</v>
      </c>
    </row>
    <row r="20" spans="2:31" x14ac:dyDescent="0.25">
      <c r="B20">
        <v>4.7500999999999995E-2</v>
      </c>
      <c r="C20">
        <v>7.1251499999999995E-2</v>
      </c>
      <c r="D20">
        <v>9.5001999999999989E-2</v>
      </c>
      <c r="E20">
        <v>0.11875249999999998</v>
      </c>
      <c r="F20">
        <v>0.14489099999999999</v>
      </c>
      <c r="G20">
        <v>0.16903950000000004</v>
      </c>
      <c r="I20">
        <v>4.7501000000000002E-2</v>
      </c>
      <c r="J20">
        <v>7.1251499999999995E-2</v>
      </c>
      <c r="K20">
        <v>9.5001999999999975E-2</v>
      </c>
      <c r="L20">
        <v>0.11875249999999991</v>
      </c>
      <c r="M20">
        <v>0.14489099999999996</v>
      </c>
      <c r="N20">
        <v>0</v>
      </c>
      <c r="P20">
        <v>4.7501000000000002E-2</v>
      </c>
      <c r="Q20">
        <v>7.1251500000000009E-2</v>
      </c>
      <c r="R20">
        <v>9.5002000000000003E-2</v>
      </c>
      <c r="S20">
        <v>0</v>
      </c>
      <c r="T20">
        <v>0</v>
      </c>
      <c r="U20">
        <v>0</v>
      </c>
      <c r="W20">
        <v>4.7500999999999988E-2</v>
      </c>
      <c r="X20">
        <v>7.1251500000000023E-2</v>
      </c>
      <c r="Y20">
        <v>0</v>
      </c>
      <c r="Z20">
        <v>0</v>
      </c>
      <c r="AA20">
        <v>0</v>
      </c>
      <c r="AB20">
        <v>0</v>
      </c>
      <c r="AD20" t="s">
        <v>432</v>
      </c>
      <c r="AE20" t="s">
        <v>1080</v>
      </c>
    </row>
    <row r="21" spans="2:31" x14ac:dyDescent="0.25">
      <c r="B21">
        <v>4.7501000000000002E-2</v>
      </c>
      <c r="C21">
        <v>7.1251500000000009E-2</v>
      </c>
      <c r="D21">
        <v>9.5001999999999989E-2</v>
      </c>
      <c r="E21">
        <v>0.11875250000000001</v>
      </c>
      <c r="F21">
        <v>0.14489100000000002</v>
      </c>
      <c r="G21">
        <v>0.16903950000000006</v>
      </c>
      <c r="I21">
        <v>4.7501000000000008E-2</v>
      </c>
      <c r="J21">
        <v>7.1251500000000009E-2</v>
      </c>
      <c r="K21">
        <v>9.5001999999999989E-2</v>
      </c>
      <c r="L21">
        <v>0.11875249999999993</v>
      </c>
      <c r="M21">
        <v>0.14489099999999999</v>
      </c>
      <c r="N21">
        <v>0.16903950000000012</v>
      </c>
      <c r="P21">
        <v>4.7501000000000008E-2</v>
      </c>
      <c r="Q21">
        <v>7.1251500000000023E-2</v>
      </c>
      <c r="R21">
        <v>9.5002000000000003E-2</v>
      </c>
      <c r="S21">
        <v>0.11875249999999998</v>
      </c>
      <c r="T21">
        <v>0.14489099999999996</v>
      </c>
      <c r="U21">
        <v>0.16903950000000004</v>
      </c>
      <c r="W21">
        <v>4.7500999999999995E-2</v>
      </c>
      <c r="X21">
        <v>7.1251500000000037E-2</v>
      </c>
      <c r="Y21">
        <v>9.5001999999999989E-2</v>
      </c>
      <c r="Z21">
        <v>0.11875249999999998</v>
      </c>
      <c r="AA21">
        <v>0.14489099999999991</v>
      </c>
      <c r="AB21">
        <v>0.16903950000000006</v>
      </c>
      <c r="AD21" t="s">
        <v>437</v>
      </c>
      <c r="AE21" t="s">
        <v>1081</v>
      </c>
    </row>
    <row r="22" spans="2:31" x14ac:dyDescent="0.25">
      <c r="B22">
        <v>4.9790000000000008E-3</v>
      </c>
      <c r="C22">
        <v>7.4685000000000012E-3</v>
      </c>
      <c r="D22">
        <v>9.9580000000000033E-3</v>
      </c>
      <c r="E22">
        <v>1.2447500000000004E-2</v>
      </c>
      <c r="F22">
        <v>1.4937000000000001E-2</v>
      </c>
      <c r="G22">
        <v>1.7426500000000001E-2</v>
      </c>
      <c r="I22">
        <v>4.9789999999999999E-3</v>
      </c>
      <c r="J22">
        <v>7.4685000000000012E-3</v>
      </c>
      <c r="K22">
        <v>9.9580000000000016E-3</v>
      </c>
      <c r="L22">
        <v>1.24475E-2</v>
      </c>
      <c r="M22">
        <v>1.4937000000000001E-2</v>
      </c>
      <c r="N22">
        <v>1.7426500000000001E-2</v>
      </c>
      <c r="P22">
        <v>4.9789999999999999E-3</v>
      </c>
      <c r="Q22">
        <v>7.4685000000000012E-3</v>
      </c>
      <c r="R22">
        <v>9.9579999999999998E-3</v>
      </c>
      <c r="S22">
        <v>1.24475E-2</v>
      </c>
      <c r="T22">
        <v>1.4936999999999995E-2</v>
      </c>
      <c r="U22">
        <v>1.7426500000000001E-2</v>
      </c>
      <c r="W22">
        <v>4.9789999999999999E-3</v>
      </c>
      <c r="X22">
        <v>7.4685000000000012E-3</v>
      </c>
      <c r="Y22">
        <v>9.9579999999999998E-3</v>
      </c>
      <c r="Z22">
        <v>1.2447500000000004E-2</v>
      </c>
      <c r="AA22">
        <v>1.4936999999999997E-2</v>
      </c>
      <c r="AB22">
        <v>1.7426500000000004E-2</v>
      </c>
      <c r="AD22" t="s">
        <v>442</v>
      </c>
      <c r="AE22" t="s">
        <v>1086</v>
      </c>
    </row>
    <row r="23" spans="2:31" x14ac:dyDescent="0.25">
      <c r="B23">
        <v>4.2521999999999997E-2</v>
      </c>
      <c r="C23">
        <v>6.3783000000000006E-2</v>
      </c>
      <c r="D23">
        <v>8.5043999999999981E-2</v>
      </c>
      <c r="E23">
        <v>0.10630499999999998</v>
      </c>
      <c r="F23">
        <v>0.12995400000000001</v>
      </c>
      <c r="G23">
        <v>0.15161300000000005</v>
      </c>
      <c r="I23">
        <v>4.2522000000000004E-2</v>
      </c>
      <c r="J23">
        <v>6.3783000000000006E-2</v>
      </c>
      <c r="K23">
        <v>8.5043999999999981E-2</v>
      </c>
      <c r="L23">
        <v>0.10630499999999993</v>
      </c>
      <c r="M23">
        <v>0.12995399999999999</v>
      </c>
      <c r="N23">
        <v>0.15161300000000011</v>
      </c>
      <c r="P23">
        <v>4.2522000000000011E-2</v>
      </c>
      <c r="Q23">
        <v>6.378300000000002E-2</v>
      </c>
      <c r="R23">
        <v>8.5043999999999995E-2</v>
      </c>
      <c r="S23">
        <v>0.10630499999999998</v>
      </c>
      <c r="T23">
        <v>0.12995399999999996</v>
      </c>
      <c r="U23">
        <v>0.15161300000000003</v>
      </c>
      <c r="W23">
        <v>4.252199999999999E-2</v>
      </c>
      <c r="X23">
        <v>6.3783000000000034E-2</v>
      </c>
      <c r="Y23">
        <v>8.5043999999999981E-2</v>
      </c>
      <c r="Z23">
        <v>0.10630499999999998</v>
      </c>
      <c r="AA23">
        <v>0.12995399999999993</v>
      </c>
      <c r="AB23">
        <v>0.15161300000000003</v>
      </c>
      <c r="AD23" t="s">
        <v>447</v>
      </c>
      <c r="AE23" t="s">
        <v>1090</v>
      </c>
    </row>
    <row r="24" spans="2:31" x14ac:dyDescent="0.25">
      <c r="B24">
        <v>3.6927000000000001E-2</v>
      </c>
      <c r="C24">
        <v>5.5390500000000002E-2</v>
      </c>
      <c r="D24">
        <v>7.3853999999999989E-2</v>
      </c>
      <c r="E24">
        <v>9.2317500000000011E-2</v>
      </c>
      <c r="F24">
        <v>0.11316900000000002</v>
      </c>
      <c r="G24">
        <v>0.13203050000000005</v>
      </c>
      <c r="I24">
        <v>3.6927000000000008E-2</v>
      </c>
      <c r="J24">
        <v>5.5390500000000016E-2</v>
      </c>
      <c r="K24">
        <v>7.3853999999999975E-2</v>
      </c>
      <c r="L24">
        <v>9.2317499999999941E-2</v>
      </c>
      <c r="M24">
        <v>0.11316899999999998</v>
      </c>
      <c r="N24">
        <v>0.10625300000000011</v>
      </c>
      <c r="P24">
        <v>3.6927000000000008E-2</v>
      </c>
      <c r="Q24">
        <v>5.5390500000000023E-2</v>
      </c>
      <c r="R24">
        <v>7.3854000000000003E-2</v>
      </c>
      <c r="S24">
        <v>7.3905000000000012E-2</v>
      </c>
      <c r="T24">
        <v>9.1073999999999974E-2</v>
      </c>
      <c r="U24">
        <v>0.10625300000000004</v>
      </c>
      <c r="W24">
        <v>3.6927000000000001E-2</v>
      </c>
      <c r="X24">
        <v>5.5390500000000037E-2</v>
      </c>
      <c r="Y24">
        <v>5.9123999999999982E-2</v>
      </c>
      <c r="Z24">
        <v>7.3904999999999998E-2</v>
      </c>
      <c r="AA24">
        <v>9.1073999999999947E-2</v>
      </c>
      <c r="AB24">
        <v>0.10625300000000004</v>
      </c>
      <c r="AD24" t="s">
        <v>452</v>
      </c>
      <c r="AE24" t="s">
        <v>1096</v>
      </c>
    </row>
    <row r="25" spans="2:31" x14ac:dyDescent="0.25">
      <c r="B25">
        <v>3.0084000000000003E-2</v>
      </c>
      <c r="C25">
        <v>4.5126000000000006E-2</v>
      </c>
      <c r="D25">
        <v>6.0167999999999985E-2</v>
      </c>
      <c r="E25">
        <v>7.5210000000000013E-2</v>
      </c>
      <c r="F25">
        <v>9.2640000000000028E-2</v>
      </c>
      <c r="G25">
        <v>0.10808000000000004</v>
      </c>
      <c r="I25">
        <v>3.0084000000000007E-2</v>
      </c>
      <c r="J25">
        <v>4.5126000000000013E-2</v>
      </c>
      <c r="K25">
        <v>6.0167999999999985E-2</v>
      </c>
      <c r="L25">
        <v>7.5209999999999957E-2</v>
      </c>
      <c r="M25">
        <v>9.2639999999999986E-2</v>
      </c>
      <c r="N25">
        <v>8.230250000000007E-2</v>
      </c>
      <c r="P25">
        <v>3.008400000000001E-2</v>
      </c>
      <c r="Q25">
        <v>4.5126000000000013E-2</v>
      </c>
      <c r="R25">
        <v>6.0168000000000013E-2</v>
      </c>
      <c r="S25">
        <v>5.6797500000000001E-2</v>
      </c>
      <c r="T25">
        <v>7.0544999999999983E-2</v>
      </c>
      <c r="U25">
        <v>8.2302500000000001E-2</v>
      </c>
      <c r="W25">
        <v>3.0083999999999993E-2</v>
      </c>
      <c r="X25">
        <v>4.5126000000000027E-2</v>
      </c>
      <c r="Y25">
        <v>4.5437999999999992E-2</v>
      </c>
      <c r="Z25">
        <v>5.6797500000000008E-2</v>
      </c>
      <c r="AA25">
        <v>7.0544999999999955E-2</v>
      </c>
      <c r="AB25">
        <v>8.2302500000000028E-2</v>
      </c>
      <c r="AD25" t="s">
        <v>457</v>
      </c>
      <c r="AE25" t="s">
        <v>1101</v>
      </c>
    </row>
    <row r="26" spans="2:31" x14ac:dyDescent="0.25">
      <c r="B26">
        <v>3.5109999999999995E-2</v>
      </c>
      <c r="C26">
        <v>5.2664999999999997E-2</v>
      </c>
      <c r="D26">
        <v>7.0219999999999977E-2</v>
      </c>
      <c r="E26">
        <v>8.7774999999999992E-2</v>
      </c>
      <c r="F26">
        <v>0.10771799999999999</v>
      </c>
      <c r="G26">
        <v>0.12567100000000003</v>
      </c>
      <c r="I26">
        <v>3.5110000000000002E-2</v>
      </c>
      <c r="J26">
        <v>5.266500000000001E-2</v>
      </c>
      <c r="K26">
        <v>7.0219999999999977E-2</v>
      </c>
      <c r="L26">
        <v>8.7774999999999936E-2</v>
      </c>
      <c r="M26">
        <v>0.10771799999999998</v>
      </c>
      <c r="N26">
        <v>0.12567100000000012</v>
      </c>
      <c r="P26">
        <v>3.5110000000000009E-2</v>
      </c>
      <c r="Q26">
        <v>5.2665000000000017E-2</v>
      </c>
      <c r="R26">
        <v>7.0220000000000005E-2</v>
      </c>
      <c r="S26">
        <v>8.7774999999999978E-2</v>
      </c>
      <c r="T26">
        <v>0.10771799999999995</v>
      </c>
      <c r="U26">
        <v>0.125671</v>
      </c>
      <c r="W26">
        <v>3.5109999999999995E-2</v>
      </c>
      <c r="X26">
        <v>5.2665000000000017E-2</v>
      </c>
      <c r="Y26">
        <v>7.0219999999999977E-2</v>
      </c>
      <c r="Z26">
        <v>8.7774999999999992E-2</v>
      </c>
      <c r="AA26">
        <v>0.10771799999999992</v>
      </c>
      <c r="AB26">
        <v>0.12567100000000003</v>
      </c>
      <c r="AD26" t="s">
        <v>462</v>
      </c>
      <c r="AE26" t="s">
        <v>1105</v>
      </c>
    </row>
    <row r="27" spans="2:31" x14ac:dyDescent="0.25">
      <c r="B27">
        <v>3.5109999999999995E-2</v>
      </c>
      <c r="C27">
        <v>5.266500000000001E-2</v>
      </c>
      <c r="D27">
        <v>7.0219999999999977E-2</v>
      </c>
      <c r="E27">
        <v>8.7774999999999978E-2</v>
      </c>
      <c r="F27">
        <v>0.10771799999999999</v>
      </c>
      <c r="G27">
        <v>0.12567100000000003</v>
      </c>
      <c r="I27">
        <v>3.5110000000000009E-2</v>
      </c>
      <c r="J27">
        <v>5.2664999999999997E-2</v>
      </c>
      <c r="K27">
        <v>7.0219999999999977E-2</v>
      </c>
      <c r="L27">
        <v>8.7774999999999923E-2</v>
      </c>
      <c r="M27">
        <v>0.10771799999999997</v>
      </c>
      <c r="N27">
        <v>0.12567100000000009</v>
      </c>
      <c r="P27">
        <v>3.5110000000000009E-2</v>
      </c>
      <c r="Q27">
        <v>5.2665000000000017E-2</v>
      </c>
      <c r="R27">
        <v>7.0220000000000005E-2</v>
      </c>
      <c r="S27">
        <v>8.7774999999999978E-2</v>
      </c>
      <c r="T27">
        <v>0.10771799999999997</v>
      </c>
      <c r="U27">
        <v>0.125671</v>
      </c>
      <c r="W27">
        <v>3.5109999999999995E-2</v>
      </c>
      <c r="X27">
        <v>5.2665000000000017E-2</v>
      </c>
      <c r="Y27">
        <v>7.0219999999999963E-2</v>
      </c>
      <c r="Z27">
        <v>8.7774999999999978E-2</v>
      </c>
      <c r="AA27">
        <v>0.10771799999999992</v>
      </c>
      <c r="AB27">
        <v>0.12567100000000003</v>
      </c>
      <c r="AD27" t="s">
        <v>466</v>
      </c>
      <c r="AE27" t="s">
        <v>1111</v>
      </c>
    </row>
    <row r="28" spans="2:31" x14ac:dyDescent="0.25">
      <c r="B28">
        <v>1.2390999999999998E-2</v>
      </c>
      <c r="C28">
        <v>1.8586499999999999E-2</v>
      </c>
      <c r="D28">
        <v>2.4781999999999992E-2</v>
      </c>
      <c r="E28">
        <v>3.0977499999999995E-2</v>
      </c>
      <c r="F28">
        <v>3.8367000000000005E-2</v>
      </c>
      <c r="G28">
        <v>4.476150000000001E-2</v>
      </c>
      <c r="I28">
        <v>1.2391000000000003E-2</v>
      </c>
      <c r="J28">
        <v>1.8586499999999999E-2</v>
      </c>
      <c r="K28">
        <v>2.4781999999999992E-2</v>
      </c>
      <c r="L28">
        <v>3.097749999999997E-2</v>
      </c>
      <c r="M28">
        <v>3.8366999999999991E-2</v>
      </c>
      <c r="N28">
        <v>4.4761500000000037E-2</v>
      </c>
      <c r="P28">
        <v>1.2391000000000004E-2</v>
      </c>
      <c r="Q28">
        <v>1.8586500000000006E-2</v>
      </c>
      <c r="R28">
        <v>2.4782000000000005E-2</v>
      </c>
      <c r="S28">
        <v>3.0977499999999991E-2</v>
      </c>
      <c r="T28">
        <v>3.8366999999999984E-2</v>
      </c>
      <c r="U28">
        <v>4.4761500000000003E-2</v>
      </c>
      <c r="W28">
        <v>1.2390999999999996E-2</v>
      </c>
      <c r="X28">
        <v>1.8586500000000006E-2</v>
      </c>
      <c r="Y28">
        <v>2.4781999999999988E-2</v>
      </c>
      <c r="Z28">
        <v>3.0977499999999998E-2</v>
      </c>
      <c r="AA28">
        <v>3.8366999999999978E-2</v>
      </c>
      <c r="AB28">
        <v>4.476150000000001E-2</v>
      </c>
      <c r="AD28" t="s">
        <v>470</v>
      </c>
      <c r="AE28" t="s">
        <v>1116</v>
      </c>
    </row>
    <row r="29" spans="2:31" x14ac:dyDescent="0.25">
      <c r="B29">
        <v>1.2391000000000001E-2</v>
      </c>
      <c r="C29">
        <v>1.8586500000000002E-2</v>
      </c>
      <c r="D29">
        <v>2.4781999999999998E-2</v>
      </c>
      <c r="E29">
        <v>3.0977499999999998E-2</v>
      </c>
      <c r="F29">
        <v>3.8367000000000019E-2</v>
      </c>
      <c r="G29">
        <v>4.4761500000000017E-2</v>
      </c>
      <c r="I29">
        <v>1.2391000000000003E-2</v>
      </c>
      <c r="J29">
        <v>1.8586500000000002E-2</v>
      </c>
      <c r="K29">
        <v>2.4781999999999998E-2</v>
      </c>
      <c r="L29">
        <v>3.0977499999999974E-2</v>
      </c>
      <c r="M29">
        <v>3.8366999999999991E-2</v>
      </c>
      <c r="N29">
        <v>4.4761500000000051E-2</v>
      </c>
      <c r="P29">
        <v>1.2391000000000006E-2</v>
      </c>
      <c r="Q29">
        <v>1.8586500000000009E-2</v>
      </c>
      <c r="R29">
        <v>2.4782000000000005E-2</v>
      </c>
      <c r="S29">
        <v>3.0977499999999995E-2</v>
      </c>
      <c r="T29">
        <v>3.8366999999999991E-2</v>
      </c>
      <c r="U29">
        <v>4.476150000000001E-2</v>
      </c>
      <c r="W29">
        <v>1.2390999999999998E-2</v>
      </c>
      <c r="X29">
        <v>1.8586500000000009E-2</v>
      </c>
      <c r="Y29">
        <v>2.4781999999999992E-2</v>
      </c>
      <c r="Z29">
        <v>3.0977500000000009E-2</v>
      </c>
      <c r="AA29">
        <v>3.8366999999999978E-2</v>
      </c>
      <c r="AB29">
        <v>4.4761500000000017E-2</v>
      </c>
      <c r="AD29" t="s">
        <v>473</v>
      </c>
      <c r="AE29" t="s">
        <v>1120</v>
      </c>
    </row>
    <row r="30" spans="2:31" x14ac:dyDescent="0.25">
      <c r="B30">
        <v>1.2390999999999999E-2</v>
      </c>
      <c r="C30">
        <v>1.8586500000000002E-2</v>
      </c>
      <c r="D30">
        <v>2.4781999999999998E-2</v>
      </c>
      <c r="E30">
        <v>3.0977499999999998E-2</v>
      </c>
      <c r="F30">
        <v>3.7173000000000005E-2</v>
      </c>
      <c r="G30">
        <v>4.3368500000000018E-2</v>
      </c>
      <c r="I30">
        <v>1.2391000000000001E-2</v>
      </c>
      <c r="J30">
        <v>1.8586500000000002E-2</v>
      </c>
      <c r="K30">
        <v>2.4781999999999998E-2</v>
      </c>
      <c r="L30">
        <v>3.097749999999997E-2</v>
      </c>
      <c r="M30">
        <v>3.7172999999999998E-2</v>
      </c>
      <c r="N30">
        <v>4.3368500000000046E-2</v>
      </c>
      <c r="P30">
        <v>1.2391000000000006E-2</v>
      </c>
      <c r="Q30">
        <v>1.8586500000000009E-2</v>
      </c>
      <c r="R30">
        <v>2.4782000000000002E-2</v>
      </c>
      <c r="S30">
        <v>3.0977499999999995E-2</v>
      </c>
      <c r="T30">
        <v>3.7172999999999991E-2</v>
      </c>
      <c r="U30">
        <v>4.3368500000000004E-2</v>
      </c>
      <c r="W30">
        <v>1.2390999999999999E-2</v>
      </c>
      <c r="X30">
        <v>1.8586500000000009E-2</v>
      </c>
      <c r="Y30">
        <v>2.4781999999999998E-2</v>
      </c>
      <c r="Z30">
        <v>3.0977500000000002E-2</v>
      </c>
      <c r="AA30">
        <v>3.7172999999999984E-2</v>
      </c>
      <c r="AB30">
        <v>4.3368500000000018E-2</v>
      </c>
      <c r="AD30" t="s">
        <v>477</v>
      </c>
      <c r="AE30" t="s">
        <v>1125</v>
      </c>
    </row>
    <row r="31" spans="2:31" x14ac:dyDescent="0.25">
      <c r="B31">
        <v>1.2390999999999999E-2</v>
      </c>
      <c r="C31">
        <v>1.8586499999999999E-2</v>
      </c>
      <c r="D31">
        <v>2.4781999999999995E-2</v>
      </c>
      <c r="E31">
        <v>3.0977499999999995E-2</v>
      </c>
      <c r="F31">
        <v>3.7173000000000012E-2</v>
      </c>
      <c r="G31">
        <v>4.3368500000000011E-2</v>
      </c>
      <c r="I31">
        <v>1.2391000000000001E-2</v>
      </c>
      <c r="J31">
        <v>1.8586500000000002E-2</v>
      </c>
      <c r="K31">
        <v>2.4781999999999995E-2</v>
      </c>
      <c r="L31">
        <v>3.097749999999997E-2</v>
      </c>
      <c r="M31">
        <v>3.7172999999999998E-2</v>
      </c>
      <c r="N31">
        <v>4.3368500000000046E-2</v>
      </c>
      <c r="P31">
        <v>1.2391000000000004E-2</v>
      </c>
      <c r="Q31">
        <v>1.8586500000000006E-2</v>
      </c>
      <c r="R31">
        <v>2.4782000000000002E-2</v>
      </c>
      <c r="S31">
        <v>3.0977499999999988E-2</v>
      </c>
      <c r="T31">
        <v>3.7172999999999984E-2</v>
      </c>
      <c r="U31">
        <v>4.3368500000000004E-2</v>
      </c>
      <c r="W31">
        <v>1.2390999999999998E-2</v>
      </c>
      <c r="X31">
        <v>1.8586500000000009E-2</v>
      </c>
      <c r="Y31">
        <v>2.4781999999999992E-2</v>
      </c>
      <c r="Z31">
        <v>3.0977500000000005E-2</v>
      </c>
      <c r="AA31">
        <v>3.7172999999999977E-2</v>
      </c>
      <c r="AB31">
        <v>4.3368500000000011E-2</v>
      </c>
      <c r="AD31" t="s">
        <v>482</v>
      </c>
      <c r="AE31" t="s">
        <v>1129</v>
      </c>
    </row>
    <row r="32" spans="2:31" x14ac:dyDescent="0.25">
      <c r="B32">
        <v>1.2390999999999999E-2</v>
      </c>
      <c r="C32">
        <v>1.8586499999999995E-2</v>
      </c>
      <c r="D32">
        <v>2.4781999999999995E-2</v>
      </c>
      <c r="E32">
        <v>3.0977500000000002E-2</v>
      </c>
      <c r="F32">
        <v>3.7173000000000005E-2</v>
      </c>
      <c r="G32">
        <v>4.3368500000000011E-2</v>
      </c>
      <c r="I32">
        <v>1.2391000000000001E-2</v>
      </c>
      <c r="J32">
        <v>1.8586500000000002E-2</v>
      </c>
      <c r="K32">
        <v>2.4781999999999998E-2</v>
      </c>
      <c r="L32">
        <v>3.0977499999999974E-2</v>
      </c>
      <c r="M32">
        <v>3.7172999999999991E-2</v>
      </c>
      <c r="N32">
        <v>4.3368500000000046E-2</v>
      </c>
      <c r="P32">
        <v>1.2391000000000003E-2</v>
      </c>
      <c r="Q32">
        <v>1.8586500000000006E-2</v>
      </c>
      <c r="R32">
        <v>2.4782000000000002E-2</v>
      </c>
      <c r="S32">
        <v>3.0977499999999988E-2</v>
      </c>
      <c r="T32">
        <v>3.7172999999999984E-2</v>
      </c>
      <c r="U32">
        <v>4.3368500000000004E-2</v>
      </c>
      <c r="W32">
        <v>1.2390999999999998E-2</v>
      </c>
      <c r="X32">
        <v>1.8586500000000009E-2</v>
      </c>
      <c r="Y32">
        <v>2.4781999999999992E-2</v>
      </c>
      <c r="Z32">
        <v>3.0977500000000005E-2</v>
      </c>
      <c r="AA32">
        <v>3.7172999999999977E-2</v>
      </c>
      <c r="AB32">
        <v>4.3368500000000011E-2</v>
      </c>
      <c r="AD32" t="s">
        <v>486</v>
      </c>
      <c r="AE32" t="s">
        <v>1133</v>
      </c>
    </row>
    <row r="33" spans="2:31" x14ac:dyDescent="0.25">
      <c r="B33">
        <v>1.2390999999999999E-2</v>
      </c>
      <c r="C33">
        <v>1.8586499999999995E-2</v>
      </c>
      <c r="D33">
        <v>2.4781999999999995E-2</v>
      </c>
      <c r="E33">
        <v>3.0977500000000002E-2</v>
      </c>
      <c r="F33">
        <v>3.7173000000000005E-2</v>
      </c>
      <c r="G33">
        <v>4.3368500000000011E-2</v>
      </c>
      <c r="I33">
        <v>1.2391000000000001E-2</v>
      </c>
      <c r="J33">
        <v>1.8586500000000002E-2</v>
      </c>
      <c r="K33">
        <v>2.4781999999999998E-2</v>
      </c>
      <c r="L33">
        <v>3.0977499999999974E-2</v>
      </c>
      <c r="M33">
        <v>3.7172999999999991E-2</v>
      </c>
      <c r="N33">
        <v>4.3368500000000046E-2</v>
      </c>
      <c r="P33">
        <v>1.2391000000000003E-2</v>
      </c>
      <c r="Q33">
        <v>1.8586500000000006E-2</v>
      </c>
      <c r="R33">
        <v>2.4782000000000002E-2</v>
      </c>
      <c r="S33">
        <v>3.0977499999999988E-2</v>
      </c>
      <c r="T33">
        <v>3.7172999999999984E-2</v>
      </c>
      <c r="U33">
        <v>4.3368500000000004E-2</v>
      </c>
      <c r="W33">
        <v>1.2390999999999998E-2</v>
      </c>
      <c r="X33">
        <v>1.8586500000000009E-2</v>
      </c>
      <c r="Y33">
        <v>2.4781999999999992E-2</v>
      </c>
      <c r="Z33">
        <v>3.0977500000000005E-2</v>
      </c>
      <c r="AA33">
        <v>3.7172999999999977E-2</v>
      </c>
      <c r="AB33">
        <v>4.3368500000000011E-2</v>
      </c>
      <c r="AD33" t="s">
        <v>489</v>
      </c>
      <c r="AE33" t="s">
        <v>1137</v>
      </c>
    </row>
    <row r="34" spans="2:31" x14ac:dyDescent="0.25">
      <c r="B34">
        <v>1.2391000000000001E-2</v>
      </c>
      <c r="C34">
        <v>1.8586500000000002E-2</v>
      </c>
      <c r="D34">
        <v>2.4781999999999995E-2</v>
      </c>
      <c r="E34">
        <v>3.0977499999999998E-2</v>
      </c>
      <c r="F34">
        <v>3.7173000000000005E-2</v>
      </c>
      <c r="G34">
        <v>4.3368500000000018E-2</v>
      </c>
      <c r="I34">
        <v>1.2391000000000003E-2</v>
      </c>
      <c r="J34">
        <v>1.8586500000000002E-2</v>
      </c>
      <c r="K34">
        <v>2.4782000000000002E-2</v>
      </c>
      <c r="L34">
        <v>3.0977499999999977E-2</v>
      </c>
      <c r="M34">
        <v>3.7173000000000005E-2</v>
      </c>
      <c r="N34">
        <v>4.3368500000000046E-2</v>
      </c>
      <c r="P34">
        <v>1.2391000000000006E-2</v>
      </c>
      <c r="Q34">
        <v>1.8586500000000006E-2</v>
      </c>
      <c r="R34">
        <v>2.4782000000000005E-2</v>
      </c>
      <c r="S34">
        <v>3.0977499999999995E-2</v>
      </c>
      <c r="T34">
        <v>3.7172999999999991E-2</v>
      </c>
      <c r="U34">
        <v>4.3368500000000011E-2</v>
      </c>
      <c r="W34">
        <v>1.2390999999999998E-2</v>
      </c>
      <c r="X34">
        <v>1.8586500000000013E-2</v>
      </c>
      <c r="Y34">
        <v>2.4781999999999995E-2</v>
      </c>
      <c r="Z34">
        <v>3.0977500000000009E-2</v>
      </c>
      <c r="AA34">
        <v>3.7172999999999984E-2</v>
      </c>
      <c r="AB34">
        <v>4.3368500000000018E-2</v>
      </c>
      <c r="AD34" t="s">
        <v>493</v>
      </c>
      <c r="AE34" s="60" t="s">
        <v>1142</v>
      </c>
    </row>
    <row r="35" spans="2:31" x14ac:dyDescent="0.25">
      <c r="B35">
        <v>1.2391000000000001E-2</v>
      </c>
      <c r="C35">
        <v>1.8586499999999999E-2</v>
      </c>
      <c r="D35">
        <v>2.4781999999999998E-2</v>
      </c>
      <c r="E35">
        <v>3.0977499999999998E-2</v>
      </c>
      <c r="F35">
        <v>3.7173000000000005E-2</v>
      </c>
      <c r="G35">
        <v>4.3368500000000011E-2</v>
      </c>
      <c r="I35">
        <v>1.2391000000000003E-2</v>
      </c>
      <c r="J35">
        <v>1.8586499999999999E-2</v>
      </c>
      <c r="K35">
        <v>2.4781999999999998E-2</v>
      </c>
      <c r="L35">
        <v>3.0977499999999977E-2</v>
      </c>
      <c r="M35">
        <v>3.7172999999999998E-2</v>
      </c>
      <c r="N35">
        <v>4.3368500000000053E-2</v>
      </c>
      <c r="P35">
        <v>1.2391000000000004E-2</v>
      </c>
      <c r="Q35">
        <v>1.8586500000000006E-2</v>
      </c>
      <c r="R35">
        <v>2.4782000000000005E-2</v>
      </c>
      <c r="S35">
        <v>3.0977499999999995E-2</v>
      </c>
      <c r="T35">
        <v>3.7172999999999984E-2</v>
      </c>
      <c r="U35">
        <v>4.3368500000000011E-2</v>
      </c>
      <c r="W35">
        <v>1.2390999999999999E-2</v>
      </c>
      <c r="X35">
        <v>1.8586500000000009E-2</v>
      </c>
      <c r="Y35">
        <v>2.4781999999999992E-2</v>
      </c>
      <c r="Z35">
        <v>3.0977500000000009E-2</v>
      </c>
      <c r="AA35">
        <v>3.7172999999999977E-2</v>
      </c>
      <c r="AB35">
        <v>4.3368500000000011E-2</v>
      </c>
      <c r="AD35" t="s">
        <v>497</v>
      </c>
      <c r="AE35" t="s">
        <v>1147</v>
      </c>
    </row>
    <row r="36" spans="2:31" x14ac:dyDescent="0.25">
      <c r="B36">
        <v>1.2391000000000001E-2</v>
      </c>
      <c r="C36">
        <v>1.8586500000000002E-2</v>
      </c>
      <c r="D36">
        <v>2.4781999999999995E-2</v>
      </c>
      <c r="E36">
        <v>3.0977499999999995E-2</v>
      </c>
      <c r="F36">
        <v>3.7172999999999998E-2</v>
      </c>
      <c r="G36">
        <v>4.3368500000000011E-2</v>
      </c>
      <c r="I36">
        <v>1.2391000000000004E-2</v>
      </c>
      <c r="J36">
        <v>1.8586500000000002E-2</v>
      </c>
      <c r="K36">
        <v>2.4781999999999995E-2</v>
      </c>
      <c r="L36">
        <v>3.0977499999999974E-2</v>
      </c>
      <c r="M36">
        <v>3.7172999999999998E-2</v>
      </c>
      <c r="N36">
        <v>4.3368500000000046E-2</v>
      </c>
      <c r="P36">
        <v>1.2391000000000004E-2</v>
      </c>
      <c r="Q36">
        <v>1.8586500000000002E-2</v>
      </c>
      <c r="R36">
        <v>2.4782000000000005E-2</v>
      </c>
      <c r="S36">
        <v>3.0977499999999995E-2</v>
      </c>
      <c r="T36">
        <v>3.7172999999999984E-2</v>
      </c>
      <c r="U36">
        <v>4.3368500000000011E-2</v>
      </c>
      <c r="W36">
        <v>1.2390999999999998E-2</v>
      </c>
      <c r="X36">
        <v>1.8586500000000009E-2</v>
      </c>
      <c r="Y36">
        <v>2.4781999999999992E-2</v>
      </c>
      <c r="Z36">
        <v>3.0977500000000009E-2</v>
      </c>
      <c r="AA36">
        <v>3.7172999999999977E-2</v>
      </c>
      <c r="AB36">
        <v>4.3368500000000011E-2</v>
      </c>
      <c r="AD36" t="s">
        <v>502</v>
      </c>
      <c r="AE36" t="s">
        <v>1152</v>
      </c>
    </row>
    <row r="37" spans="2:31" x14ac:dyDescent="0.25">
      <c r="B37">
        <v>1.2391000000000001E-2</v>
      </c>
      <c r="C37">
        <v>1.8586500000000002E-2</v>
      </c>
      <c r="D37">
        <v>2.4781999999999998E-2</v>
      </c>
      <c r="E37">
        <v>3.0977499999999998E-2</v>
      </c>
      <c r="F37">
        <v>3.7172999999999998E-2</v>
      </c>
      <c r="G37">
        <v>4.3368500000000018E-2</v>
      </c>
      <c r="I37">
        <v>1.2391000000000003E-2</v>
      </c>
      <c r="J37">
        <v>1.8586499999999999E-2</v>
      </c>
      <c r="K37">
        <v>2.4781999999999998E-2</v>
      </c>
      <c r="L37">
        <v>3.0977499999999977E-2</v>
      </c>
      <c r="M37">
        <v>3.7172999999999998E-2</v>
      </c>
      <c r="N37">
        <v>4.3368500000000046E-2</v>
      </c>
      <c r="P37">
        <v>1.2391000000000006E-2</v>
      </c>
      <c r="Q37">
        <v>1.8586500000000006E-2</v>
      </c>
      <c r="R37">
        <v>2.4782000000000005E-2</v>
      </c>
      <c r="S37">
        <v>3.0977499999999995E-2</v>
      </c>
      <c r="T37">
        <v>3.7172999999999991E-2</v>
      </c>
      <c r="U37">
        <v>4.3368500000000018E-2</v>
      </c>
      <c r="W37">
        <v>1.2390999999999999E-2</v>
      </c>
      <c r="X37">
        <v>1.8586500000000013E-2</v>
      </c>
      <c r="Y37">
        <v>2.4781999999999992E-2</v>
      </c>
      <c r="Z37">
        <v>3.0977500000000005E-2</v>
      </c>
      <c r="AA37">
        <v>3.7172999999999977E-2</v>
      </c>
      <c r="AB37">
        <v>4.3368500000000018E-2</v>
      </c>
      <c r="AD37" t="s">
        <v>505</v>
      </c>
      <c r="AE37" t="s">
        <v>1156</v>
      </c>
    </row>
    <row r="38" spans="2:31" x14ac:dyDescent="0.25">
      <c r="B38">
        <v>1.2391000000000001E-2</v>
      </c>
      <c r="C38">
        <v>1.8586500000000002E-2</v>
      </c>
      <c r="D38">
        <v>2.4781999999999998E-2</v>
      </c>
      <c r="E38">
        <v>3.0977500000000002E-2</v>
      </c>
      <c r="F38">
        <v>3.7173000000000005E-2</v>
      </c>
      <c r="G38">
        <v>4.3368500000000018E-2</v>
      </c>
      <c r="I38">
        <v>1.2391000000000003E-2</v>
      </c>
      <c r="J38">
        <v>1.8586500000000002E-2</v>
      </c>
      <c r="K38">
        <v>2.4781999999999995E-2</v>
      </c>
      <c r="L38">
        <v>3.0977499999999977E-2</v>
      </c>
      <c r="M38">
        <v>3.7173000000000005E-2</v>
      </c>
      <c r="N38">
        <v>4.3368500000000046E-2</v>
      </c>
      <c r="P38">
        <v>1.2391000000000006E-2</v>
      </c>
      <c r="Q38">
        <v>1.8586500000000006E-2</v>
      </c>
      <c r="R38">
        <v>2.4782000000000005E-2</v>
      </c>
      <c r="S38">
        <v>3.0977499999999995E-2</v>
      </c>
      <c r="T38">
        <v>3.7172999999999984E-2</v>
      </c>
      <c r="U38">
        <v>4.3368500000000011E-2</v>
      </c>
      <c r="W38">
        <v>1.2390999999999998E-2</v>
      </c>
      <c r="X38">
        <v>1.8586500000000013E-2</v>
      </c>
      <c r="Y38">
        <v>2.4781999999999992E-2</v>
      </c>
      <c r="Z38">
        <v>3.0977500000000002E-2</v>
      </c>
      <c r="AA38">
        <v>3.7172999999999977E-2</v>
      </c>
      <c r="AB38">
        <v>4.3368500000000018E-2</v>
      </c>
      <c r="AD38" t="s">
        <v>510</v>
      </c>
      <c r="AE38" t="s">
        <v>1160</v>
      </c>
    </row>
    <row r="39" spans="2:31" x14ac:dyDescent="0.25">
      <c r="B39">
        <v>1.2390999999999999E-2</v>
      </c>
      <c r="C39">
        <v>1.8586500000000002E-2</v>
      </c>
      <c r="D39">
        <v>2.4781999999999995E-2</v>
      </c>
      <c r="E39">
        <v>3.0977499999999998E-2</v>
      </c>
      <c r="F39">
        <v>3.7172999999999998E-2</v>
      </c>
      <c r="G39">
        <v>4.3368500000000011E-2</v>
      </c>
      <c r="I39">
        <v>1.2391000000000001E-2</v>
      </c>
      <c r="J39">
        <v>1.8586499999999999E-2</v>
      </c>
      <c r="K39">
        <v>2.4781999999999992E-2</v>
      </c>
      <c r="L39">
        <v>3.0977499999999974E-2</v>
      </c>
      <c r="M39">
        <v>3.7172999999999998E-2</v>
      </c>
      <c r="N39">
        <v>4.3368500000000039E-2</v>
      </c>
      <c r="P39">
        <v>1.2391000000000004E-2</v>
      </c>
      <c r="Q39">
        <v>1.8586500000000002E-2</v>
      </c>
      <c r="R39">
        <v>2.4782000000000002E-2</v>
      </c>
      <c r="S39">
        <v>3.0977499999999991E-2</v>
      </c>
      <c r="T39">
        <v>3.7172999999999977E-2</v>
      </c>
      <c r="U39">
        <v>4.3368500000000004E-2</v>
      </c>
      <c r="W39">
        <v>1.2390999999999996E-2</v>
      </c>
      <c r="X39">
        <v>1.8586500000000009E-2</v>
      </c>
      <c r="Y39">
        <v>2.4781999999999988E-2</v>
      </c>
      <c r="Z39">
        <v>3.0977499999999998E-2</v>
      </c>
      <c r="AA39">
        <v>3.717299999999997E-2</v>
      </c>
      <c r="AB39">
        <v>4.3368500000000011E-2</v>
      </c>
      <c r="AD39" t="s">
        <v>514</v>
      </c>
      <c r="AE39" t="s">
        <v>1162</v>
      </c>
    </row>
    <row r="40" spans="2:31" x14ac:dyDescent="0.25">
      <c r="B40">
        <v>0</v>
      </c>
      <c r="C40">
        <v>0</v>
      </c>
      <c r="D40">
        <v>0</v>
      </c>
      <c r="E40">
        <v>0</v>
      </c>
      <c r="F40">
        <v>0</v>
      </c>
      <c r="G40">
        <v>0</v>
      </c>
      <c r="I40">
        <v>0</v>
      </c>
      <c r="J40">
        <v>0</v>
      </c>
      <c r="K40">
        <v>0</v>
      </c>
      <c r="L40">
        <v>0</v>
      </c>
      <c r="M40">
        <v>0</v>
      </c>
      <c r="N40">
        <v>0</v>
      </c>
      <c r="P40">
        <v>0</v>
      </c>
      <c r="Q40">
        <v>0</v>
      </c>
      <c r="R40">
        <v>0</v>
      </c>
      <c r="S40">
        <v>0</v>
      </c>
      <c r="T40">
        <v>0</v>
      </c>
      <c r="U40">
        <v>0</v>
      </c>
      <c r="W40">
        <v>0</v>
      </c>
      <c r="X40">
        <v>0</v>
      </c>
      <c r="Y40">
        <v>0</v>
      </c>
      <c r="Z40">
        <v>0</v>
      </c>
      <c r="AA40">
        <v>0</v>
      </c>
      <c r="AB40">
        <v>0</v>
      </c>
      <c r="AD40" t="s">
        <v>518</v>
      </c>
      <c r="AE40" t="s">
        <v>1167</v>
      </c>
    </row>
    <row r="41" spans="2:31" x14ac:dyDescent="0.25">
      <c r="B41">
        <v>2.8269999999999997E-3</v>
      </c>
      <c r="C41">
        <v>4.2405000000000003E-3</v>
      </c>
      <c r="D41">
        <v>5.6539999999999958E-3</v>
      </c>
      <c r="E41">
        <v>7.0674999999999965E-3</v>
      </c>
      <c r="F41">
        <v>8.4809999999999868E-3</v>
      </c>
      <c r="G41">
        <v>9.8945000000000179E-3</v>
      </c>
      <c r="I41">
        <v>2.8269999999999992E-3</v>
      </c>
      <c r="J41">
        <v>4.2405000000000003E-3</v>
      </c>
      <c r="K41">
        <v>5.653999999999995E-3</v>
      </c>
      <c r="L41">
        <v>7.0674999999999931E-3</v>
      </c>
      <c r="M41">
        <v>8.4809999999999885E-3</v>
      </c>
      <c r="N41">
        <v>9.89450000000003E-3</v>
      </c>
      <c r="P41">
        <v>2.8269999999999992E-3</v>
      </c>
      <c r="Q41">
        <v>4.2405000000000038E-3</v>
      </c>
      <c r="R41">
        <v>5.6539999999999984E-3</v>
      </c>
      <c r="S41">
        <v>7.0674999999999965E-3</v>
      </c>
      <c r="T41">
        <v>8.4809999999999851E-3</v>
      </c>
      <c r="U41">
        <v>9.8945000000000127E-3</v>
      </c>
      <c r="W41">
        <v>2.8269999999999997E-3</v>
      </c>
      <c r="X41">
        <v>4.2405000000000038E-3</v>
      </c>
      <c r="Y41">
        <v>5.6539999999999993E-3</v>
      </c>
      <c r="Z41">
        <v>7.0674999999999913E-3</v>
      </c>
      <c r="AA41">
        <v>8.4809999999999851E-3</v>
      </c>
      <c r="AB41">
        <v>9.8945000000000127E-3</v>
      </c>
      <c r="AD41" t="s">
        <v>521</v>
      </c>
      <c r="AE41" t="s">
        <v>1172</v>
      </c>
    </row>
    <row r="42" spans="2:31" x14ac:dyDescent="0.25">
      <c r="B42">
        <v>2.8269999999999992E-3</v>
      </c>
      <c r="C42">
        <v>4.2405000000000003E-3</v>
      </c>
      <c r="D42">
        <v>5.6539999999999958E-3</v>
      </c>
      <c r="E42">
        <v>7.0674999999999957E-3</v>
      </c>
      <c r="F42">
        <v>8.4809999999999868E-3</v>
      </c>
      <c r="G42">
        <v>9.8945000000000161E-3</v>
      </c>
      <c r="I42">
        <v>2.8269999999999992E-3</v>
      </c>
      <c r="J42">
        <v>4.2405000000000003E-3</v>
      </c>
      <c r="K42">
        <v>5.6539999999999941E-3</v>
      </c>
      <c r="L42">
        <v>7.0674999999999931E-3</v>
      </c>
      <c r="M42">
        <v>8.4809999999999885E-3</v>
      </c>
      <c r="N42">
        <v>9.8945000000000283E-3</v>
      </c>
      <c r="P42">
        <v>2.8269999999999992E-3</v>
      </c>
      <c r="Q42">
        <v>4.2405000000000038E-3</v>
      </c>
      <c r="R42">
        <v>5.6539999999999976E-3</v>
      </c>
      <c r="S42">
        <v>7.0674999999999957E-3</v>
      </c>
      <c r="T42">
        <v>8.4809999999999868E-3</v>
      </c>
      <c r="U42">
        <v>9.8945000000000127E-3</v>
      </c>
      <c r="W42">
        <v>2.8269999999999997E-3</v>
      </c>
      <c r="X42">
        <v>4.2405000000000038E-3</v>
      </c>
      <c r="Y42">
        <v>5.6539999999999993E-3</v>
      </c>
      <c r="Z42">
        <v>7.0674999999999913E-3</v>
      </c>
      <c r="AA42">
        <v>8.4809999999999868E-3</v>
      </c>
      <c r="AB42">
        <v>9.8945000000000127E-3</v>
      </c>
      <c r="AD42" t="s">
        <v>525</v>
      </c>
      <c r="AE42" t="s">
        <v>1176</v>
      </c>
    </row>
    <row r="43" spans="2:31" x14ac:dyDescent="0.25">
      <c r="B43">
        <v>0</v>
      </c>
      <c r="C43">
        <v>0</v>
      </c>
      <c r="D43">
        <v>0</v>
      </c>
      <c r="E43">
        <v>0</v>
      </c>
      <c r="F43">
        <v>0</v>
      </c>
      <c r="G43">
        <v>0</v>
      </c>
      <c r="I43">
        <v>0</v>
      </c>
      <c r="J43">
        <v>0</v>
      </c>
      <c r="K43">
        <v>0</v>
      </c>
      <c r="L43">
        <v>0</v>
      </c>
      <c r="M43">
        <v>0</v>
      </c>
      <c r="N43">
        <v>0</v>
      </c>
      <c r="P43">
        <v>0</v>
      </c>
      <c r="Q43">
        <v>0</v>
      </c>
      <c r="R43">
        <v>0</v>
      </c>
      <c r="S43">
        <v>0</v>
      </c>
      <c r="T43">
        <v>0</v>
      </c>
      <c r="U43">
        <v>0</v>
      </c>
      <c r="W43">
        <v>0</v>
      </c>
      <c r="X43">
        <v>0</v>
      </c>
      <c r="Y43">
        <v>0</v>
      </c>
      <c r="Z43">
        <v>0</v>
      </c>
      <c r="AA43">
        <v>0</v>
      </c>
      <c r="AB43">
        <v>0</v>
      </c>
      <c r="AD43" t="s">
        <v>529</v>
      </c>
      <c r="AE43" t="s">
        <v>1181</v>
      </c>
    </row>
    <row r="44" spans="2:31" x14ac:dyDescent="0.25">
      <c r="B44">
        <v>2.8269999999999992E-3</v>
      </c>
      <c r="C44">
        <v>4.2405000000000003E-3</v>
      </c>
      <c r="D44">
        <v>5.6539999999999958E-3</v>
      </c>
      <c r="E44">
        <v>7.0674999999999957E-3</v>
      </c>
      <c r="F44">
        <v>8.4809999999999868E-3</v>
      </c>
      <c r="G44">
        <v>9.8945000000000161E-3</v>
      </c>
      <c r="I44">
        <v>2.8269999999999992E-3</v>
      </c>
      <c r="J44">
        <v>4.2405000000000003E-3</v>
      </c>
      <c r="K44">
        <v>5.6539999999999941E-3</v>
      </c>
      <c r="L44">
        <v>7.0674999999999931E-3</v>
      </c>
      <c r="M44">
        <v>8.4809999999999885E-3</v>
      </c>
      <c r="N44">
        <v>9.8945000000000283E-3</v>
      </c>
      <c r="P44">
        <v>2.8269999999999992E-3</v>
      </c>
      <c r="Q44">
        <v>4.2405000000000038E-3</v>
      </c>
      <c r="R44">
        <v>5.6539999999999976E-3</v>
      </c>
      <c r="S44">
        <v>7.0674999999999957E-3</v>
      </c>
      <c r="T44">
        <v>8.4809999999999868E-3</v>
      </c>
      <c r="U44">
        <v>9.8945000000000127E-3</v>
      </c>
      <c r="W44">
        <v>2.8269999999999997E-3</v>
      </c>
      <c r="X44">
        <v>4.2405000000000038E-3</v>
      </c>
      <c r="Y44">
        <v>5.6539999999999993E-3</v>
      </c>
      <c r="Z44">
        <v>7.0674999999999913E-3</v>
      </c>
      <c r="AA44">
        <v>8.4809999999999868E-3</v>
      </c>
      <c r="AB44">
        <v>9.8945000000000127E-3</v>
      </c>
      <c r="AD44" t="s">
        <v>533</v>
      </c>
      <c r="AE44" t="s">
        <v>1185</v>
      </c>
    </row>
    <row r="45" spans="2:31" x14ac:dyDescent="0.25">
      <c r="B45">
        <v>0</v>
      </c>
      <c r="C45">
        <v>0</v>
      </c>
      <c r="D45">
        <v>0</v>
      </c>
      <c r="E45">
        <v>0</v>
      </c>
      <c r="F45">
        <v>0</v>
      </c>
      <c r="G45">
        <v>0</v>
      </c>
      <c r="I45">
        <v>0</v>
      </c>
      <c r="J45">
        <v>0</v>
      </c>
      <c r="K45">
        <v>0</v>
      </c>
      <c r="L45">
        <v>0</v>
      </c>
      <c r="M45">
        <v>0</v>
      </c>
      <c r="N45">
        <v>0</v>
      </c>
      <c r="P45">
        <v>0</v>
      </c>
      <c r="Q45">
        <v>0</v>
      </c>
      <c r="R45">
        <v>0</v>
      </c>
      <c r="S45">
        <v>0</v>
      </c>
      <c r="T45">
        <v>0</v>
      </c>
      <c r="U45">
        <v>0</v>
      </c>
      <c r="W45">
        <v>0</v>
      </c>
      <c r="X45">
        <v>0</v>
      </c>
      <c r="Y45">
        <v>0</v>
      </c>
      <c r="Z45">
        <v>0</v>
      </c>
      <c r="AA45">
        <v>0</v>
      </c>
      <c r="AB45">
        <v>0</v>
      </c>
      <c r="AD45" t="s">
        <v>538</v>
      </c>
      <c r="AE45" t="s">
        <v>1189</v>
      </c>
    </row>
    <row r="46" spans="2:31" x14ac:dyDescent="0.25">
      <c r="B46">
        <v>1.2390999999999998E-2</v>
      </c>
      <c r="C46">
        <v>1.8586499999999999E-2</v>
      </c>
      <c r="D46">
        <v>2.4781999999999992E-2</v>
      </c>
      <c r="E46">
        <v>3.0977499999999995E-2</v>
      </c>
      <c r="F46">
        <v>3.7172999999999998E-2</v>
      </c>
      <c r="G46">
        <v>4.3368500000000011E-2</v>
      </c>
      <c r="I46">
        <v>1.2391000000000003E-2</v>
      </c>
      <c r="J46">
        <v>1.8586499999999999E-2</v>
      </c>
      <c r="K46">
        <v>2.4781999999999992E-2</v>
      </c>
      <c r="L46">
        <v>3.0977499999999974E-2</v>
      </c>
      <c r="M46">
        <v>3.7172999999999998E-2</v>
      </c>
      <c r="N46">
        <v>4.3368500000000039E-2</v>
      </c>
      <c r="P46">
        <v>1.2391000000000004E-2</v>
      </c>
      <c r="Q46">
        <v>1.8586500000000006E-2</v>
      </c>
      <c r="R46">
        <v>2.4782000000000005E-2</v>
      </c>
      <c r="S46">
        <v>3.0977499999999991E-2</v>
      </c>
      <c r="T46">
        <v>3.7172999999999984E-2</v>
      </c>
      <c r="U46">
        <v>4.3368500000000004E-2</v>
      </c>
      <c r="W46">
        <v>1.2390999999999996E-2</v>
      </c>
      <c r="X46">
        <v>1.8586500000000009E-2</v>
      </c>
      <c r="Y46">
        <v>2.4781999999999988E-2</v>
      </c>
      <c r="Z46">
        <v>3.0977499999999998E-2</v>
      </c>
      <c r="AA46">
        <v>3.717299999999997E-2</v>
      </c>
      <c r="AB46">
        <v>4.3368500000000011E-2</v>
      </c>
      <c r="AD46" t="s">
        <v>543</v>
      </c>
      <c r="AE46" t="s">
        <v>1193</v>
      </c>
    </row>
    <row r="47" spans="2:31" x14ac:dyDescent="0.25">
      <c r="B47">
        <v>1.2390999999999999E-2</v>
      </c>
      <c r="C47">
        <v>1.8586500000000002E-2</v>
      </c>
      <c r="D47">
        <v>2.4781999999999995E-2</v>
      </c>
      <c r="E47">
        <v>3.0977499999999991E-2</v>
      </c>
      <c r="F47">
        <v>3.7172999999999998E-2</v>
      </c>
      <c r="G47">
        <v>4.3368500000000011E-2</v>
      </c>
      <c r="I47">
        <v>1.2391000000000001E-2</v>
      </c>
      <c r="J47">
        <v>1.8586499999999999E-2</v>
      </c>
      <c r="K47">
        <v>2.4781999999999995E-2</v>
      </c>
      <c r="L47">
        <v>3.0977499999999977E-2</v>
      </c>
      <c r="M47">
        <v>3.7172999999999998E-2</v>
      </c>
      <c r="N47">
        <v>4.3368500000000032E-2</v>
      </c>
      <c r="P47">
        <v>1.2391000000000004E-2</v>
      </c>
      <c r="Q47">
        <v>1.8586500000000002E-2</v>
      </c>
      <c r="R47">
        <v>2.4782000000000005E-2</v>
      </c>
      <c r="S47">
        <v>3.0977499999999991E-2</v>
      </c>
      <c r="T47">
        <v>3.7172999999999984E-2</v>
      </c>
      <c r="U47">
        <v>4.3368499999999997E-2</v>
      </c>
      <c r="W47">
        <v>1.2390999999999999E-2</v>
      </c>
      <c r="X47">
        <v>1.8586500000000006E-2</v>
      </c>
      <c r="Y47">
        <v>2.4781999999999988E-2</v>
      </c>
      <c r="Z47">
        <v>3.0977499999999998E-2</v>
      </c>
      <c r="AA47">
        <v>3.7172999999999963E-2</v>
      </c>
      <c r="AB47">
        <v>4.3368500000000018E-2</v>
      </c>
      <c r="AD47" t="s">
        <v>546</v>
      </c>
      <c r="AE47" t="s">
        <v>1198</v>
      </c>
    </row>
    <row r="48" spans="2:31" x14ac:dyDescent="0.25">
      <c r="B48">
        <v>1.2390999999999998E-2</v>
      </c>
      <c r="C48">
        <v>1.8586499999999999E-2</v>
      </c>
      <c r="D48">
        <v>2.4781999999999992E-2</v>
      </c>
      <c r="E48">
        <v>3.0977499999999991E-2</v>
      </c>
      <c r="F48">
        <v>3.7172999999999991E-2</v>
      </c>
      <c r="G48">
        <v>4.3368500000000011E-2</v>
      </c>
      <c r="I48">
        <v>1.2391000000000001E-2</v>
      </c>
      <c r="J48">
        <v>1.8586499999999999E-2</v>
      </c>
      <c r="K48">
        <v>2.4781999999999992E-2</v>
      </c>
      <c r="L48">
        <v>3.0977499999999974E-2</v>
      </c>
      <c r="M48">
        <v>3.7172999999999991E-2</v>
      </c>
      <c r="N48">
        <v>4.3368500000000025E-2</v>
      </c>
      <c r="P48">
        <v>1.2391000000000003E-2</v>
      </c>
      <c r="Q48">
        <v>1.8586500000000006E-2</v>
      </c>
      <c r="R48">
        <v>2.4782000000000005E-2</v>
      </c>
      <c r="S48">
        <v>3.0977499999999988E-2</v>
      </c>
      <c r="T48">
        <v>3.7172999999999977E-2</v>
      </c>
      <c r="U48">
        <v>4.3368500000000011E-2</v>
      </c>
      <c r="W48">
        <v>1.2390999999999998E-2</v>
      </c>
      <c r="X48">
        <v>1.8586500000000006E-2</v>
      </c>
      <c r="Y48">
        <v>2.4781999999999981E-2</v>
      </c>
      <c r="Z48">
        <v>3.0977499999999995E-2</v>
      </c>
      <c r="AA48">
        <v>3.7172999999999963E-2</v>
      </c>
      <c r="AB48">
        <v>4.3368500000000018E-2</v>
      </c>
      <c r="AD48" t="s">
        <v>549</v>
      </c>
      <c r="AE48" t="s">
        <v>1202</v>
      </c>
    </row>
    <row r="49" spans="2:31" x14ac:dyDescent="0.25">
      <c r="B49">
        <v>0</v>
      </c>
      <c r="C49">
        <v>0</v>
      </c>
      <c r="D49">
        <v>0</v>
      </c>
      <c r="E49">
        <v>0</v>
      </c>
      <c r="F49">
        <v>0</v>
      </c>
      <c r="G49">
        <v>0</v>
      </c>
      <c r="I49">
        <v>0</v>
      </c>
      <c r="J49">
        <v>0</v>
      </c>
      <c r="K49">
        <v>0</v>
      </c>
      <c r="L49">
        <v>0</v>
      </c>
      <c r="M49">
        <v>0</v>
      </c>
      <c r="N49">
        <v>0</v>
      </c>
      <c r="P49">
        <v>0</v>
      </c>
      <c r="Q49">
        <v>0</v>
      </c>
      <c r="R49">
        <v>0</v>
      </c>
      <c r="S49">
        <v>0</v>
      </c>
      <c r="T49">
        <v>0</v>
      </c>
      <c r="U49">
        <v>0</v>
      </c>
      <c r="W49">
        <v>0</v>
      </c>
      <c r="X49">
        <v>0</v>
      </c>
      <c r="Y49">
        <v>0</v>
      </c>
      <c r="Z49">
        <v>0</v>
      </c>
      <c r="AA49">
        <v>0</v>
      </c>
      <c r="AB49">
        <v>0</v>
      </c>
      <c r="AD49" t="s">
        <v>553</v>
      </c>
      <c r="AE49" t="s">
        <v>1208</v>
      </c>
    </row>
    <row r="50" spans="2:31" x14ac:dyDescent="0.25">
      <c r="B50">
        <v>7.3649999999999992E-3</v>
      </c>
      <c r="C50">
        <v>1.1047500000000002E-2</v>
      </c>
      <c r="D50">
        <v>1.4729999999999998E-2</v>
      </c>
      <c r="E50">
        <v>1.8412499999999998E-2</v>
      </c>
      <c r="F50">
        <v>2.2095E-2</v>
      </c>
      <c r="G50">
        <v>2.5777500000000009E-2</v>
      </c>
      <c r="I50">
        <v>7.365E-3</v>
      </c>
      <c r="J50">
        <v>1.1047500000000002E-2</v>
      </c>
      <c r="K50">
        <v>1.4729999999999998E-2</v>
      </c>
      <c r="L50">
        <v>1.8412499999999998E-2</v>
      </c>
      <c r="M50">
        <v>2.2094999999999993E-2</v>
      </c>
      <c r="N50">
        <v>0</v>
      </c>
      <c r="P50">
        <v>7.3649999999999992E-3</v>
      </c>
      <c r="Q50">
        <v>1.10475E-2</v>
      </c>
      <c r="R50">
        <v>1.4730000000000004E-2</v>
      </c>
      <c r="S50">
        <v>0</v>
      </c>
      <c r="T50">
        <v>0</v>
      </c>
      <c r="U50">
        <v>0</v>
      </c>
      <c r="W50">
        <v>7.3649999999999983E-3</v>
      </c>
      <c r="X50">
        <v>1.1047500000000002E-2</v>
      </c>
      <c r="Y50">
        <v>0</v>
      </c>
      <c r="Z50">
        <v>0</v>
      </c>
      <c r="AA50">
        <v>0</v>
      </c>
      <c r="AB50">
        <v>0</v>
      </c>
      <c r="AD50" t="s">
        <v>558</v>
      </c>
      <c r="AE50" t="s">
        <v>1212</v>
      </c>
    </row>
    <row r="51" spans="2:31" x14ac:dyDescent="0.25">
      <c r="B51">
        <v>0</v>
      </c>
      <c r="C51">
        <v>0</v>
      </c>
      <c r="D51">
        <v>0</v>
      </c>
      <c r="E51">
        <v>0</v>
      </c>
      <c r="F51">
        <v>0</v>
      </c>
      <c r="G51">
        <v>0</v>
      </c>
      <c r="I51">
        <v>0</v>
      </c>
      <c r="J51">
        <v>0</v>
      </c>
      <c r="K51">
        <v>0</v>
      </c>
      <c r="L51">
        <v>0</v>
      </c>
      <c r="M51">
        <v>0</v>
      </c>
      <c r="N51">
        <v>0</v>
      </c>
      <c r="P51">
        <v>0</v>
      </c>
      <c r="Q51">
        <v>0</v>
      </c>
      <c r="R51">
        <v>0</v>
      </c>
      <c r="S51">
        <v>0</v>
      </c>
      <c r="T51">
        <v>0</v>
      </c>
      <c r="U51">
        <v>0</v>
      </c>
      <c r="W51">
        <v>0</v>
      </c>
      <c r="X51">
        <v>0</v>
      </c>
      <c r="Y51">
        <v>0</v>
      </c>
      <c r="Z51">
        <v>0</v>
      </c>
      <c r="AA51">
        <v>0</v>
      </c>
      <c r="AB51">
        <v>0</v>
      </c>
      <c r="AD51" t="s">
        <v>561</v>
      </c>
      <c r="AE51" t="s">
        <v>1217</v>
      </c>
    </row>
    <row r="52" spans="2:31" x14ac:dyDescent="0.25">
      <c r="B52">
        <v>2.2900000000000001E-4</v>
      </c>
      <c r="C52">
        <v>3.4350000000000006E-4</v>
      </c>
      <c r="D52">
        <v>4.5800000000000002E-4</v>
      </c>
      <c r="E52">
        <v>5.7249999999999998E-4</v>
      </c>
      <c r="F52">
        <v>6.87E-4</v>
      </c>
      <c r="G52">
        <v>8.0150000000000002E-4</v>
      </c>
      <c r="I52">
        <v>2.2900000000000001E-4</v>
      </c>
      <c r="J52">
        <v>3.4350000000000006E-4</v>
      </c>
      <c r="K52">
        <v>4.5800000000000002E-4</v>
      </c>
      <c r="L52">
        <v>5.7249999999999998E-4</v>
      </c>
      <c r="M52">
        <v>6.87E-4</v>
      </c>
      <c r="N52">
        <v>8.0150000000000002E-4</v>
      </c>
      <c r="P52">
        <v>2.2900000000000001E-4</v>
      </c>
      <c r="Q52">
        <v>3.4350000000000006E-4</v>
      </c>
      <c r="R52">
        <v>4.5800000000000002E-4</v>
      </c>
      <c r="S52">
        <v>5.7249999999999998E-4</v>
      </c>
      <c r="T52">
        <v>6.87E-4</v>
      </c>
      <c r="U52">
        <v>8.0150000000000002E-4</v>
      </c>
      <c r="W52">
        <v>2.2900000000000001E-4</v>
      </c>
      <c r="X52">
        <v>3.4350000000000006E-4</v>
      </c>
      <c r="Y52">
        <v>4.5800000000000002E-4</v>
      </c>
      <c r="Z52">
        <v>5.7249999999999998E-4</v>
      </c>
      <c r="AA52">
        <v>6.87E-4</v>
      </c>
      <c r="AB52">
        <v>8.0150000000000002E-4</v>
      </c>
      <c r="AD52" t="s">
        <v>564</v>
      </c>
      <c r="AE52" t="s">
        <v>1569</v>
      </c>
    </row>
    <row r="53" spans="2:31" x14ac:dyDescent="0.25">
      <c r="B53">
        <v>1.8310000000000004E-3</v>
      </c>
      <c r="C53">
        <v>2.7465000000000007E-3</v>
      </c>
      <c r="D53">
        <v>3.6620000000000008E-3</v>
      </c>
      <c r="E53">
        <v>4.5775000000000008E-3</v>
      </c>
      <c r="F53">
        <v>5.4929999999999996E-3</v>
      </c>
      <c r="G53">
        <v>6.408500000000001E-3</v>
      </c>
      <c r="I53">
        <v>1.8310000000000004E-3</v>
      </c>
      <c r="J53">
        <v>2.7465000000000011E-3</v>
      </c>
      <c r="K53">
        <v>3.6620000000000008E-3</v>
      </c>
      <c r="L53">
        <v>4.5775E-3</v>
      </c>
      <c r="M53">
        <v>5.4930000000000014E-3</v>
      </c>
      <c r="N53">
        <v>6.408500000000001E-3</v>
      </c>
      <c r="P53">
        <v>1.8309999999999999E-3</v>
      </c>
      <c r="Q53">
        <v>2.7465000000000007E-3</v>
      </c>
      <c r="R53">
        <v>3.6620000000000008E-3</v>
      </c>
      <c r="S53">
        <v>4.5775000000000008E-3</v>
      </c>
      <c r="T53">
        <v>5.4929999999999996E-3</v>
      </c>
      <c r="U53">
        <v>6.408500000000001E-3</v>
      </c>
      <c r="W53">
        <v>1.8309999999999999E-3</v>
      </c>
      <c r="X53">
        <v>2.7465000000000007E-3</v>
      </c>
      <c r="Y53">
        <v>3.6619999999999999E-3</v>
      </c>
      <c r="Z53">
        <v>4.5775000000000008E-3</v>
      </c>
      <c r="AA53">
        <v>5.4929999999999996E-3</v>
      </c>
      <c r="AB53">
        <v>6.408500000000001E-3</v>
      </c>
      <c r="AD53" t="s">
        <v>567</v>
      </c>
      <c r="AE53" t="s">
        <v>1570</v>
      </c>
    </row>
    <row r="54" spans="2:31" x14ac:dyDescent="0.25">
      <c r="B54">
        <v>1.8309999999999999E-3</v>
      </c>
      <c r="C54">
        <v>2.7465000000000002E-3</v>
      </c>
      <c r="D54">
        <v>3.6619999999999999E-3</v>
      </c>
      <c r="E54">
        <v>4.5775E-3</v>
      </c>
      <c r="F54">
        <v>5.4929999999999988E-3</v>
      </c>
      <c r="G54">
        <v>6.4084999999999993E-3</v>
      </c>
      <c r="I54">
        <v>1.8309999999999997E-3</v>
      </c>
      <c r="J54">
        <v>2.7465000000000002E-3</v>
      </c>
      <c r="K54">
        <v>3.6619999999999999E-3</v>
      </c>
      <c r="L54">
        <v>4.5774999999999991E-3</v>
      </c>
      <c r="M54">
        <v>5.4929999999999996E-3</v>
      </c>
      <c r="N54">
        <v>6.4084999999999993E-3</v>
      </c>
      <c r="P54">
        <v>1.8309999999999999E-3</v>
      </c>
      <c r="Q54">
        <v>2.7465000000000002E-3</v>
      </c>
      <c r="R54">
        <v>3.6619999999999999E-3</v>
      </c>
      <c r="S54">
        <v>4.5775E-3</v>
      </c>
      <c r="T54">
        <v>5.4929999999999988E-3</v>
      </c>
      <c r="U54">
        <v>6.408500000000001E-3</v>
      </c>
      <c r="W54">
        <v>1.8309999999999997E-3</v>
      </c>
      <c r="X54">
        <v>2.7465000000000002E-3</v>
      </c>
      <c r="Y54">
        <v>3.6619999999999995E-3</v>
      </c>
      <c r="Z54">
        <v>4.5775000000000008E-3</v>
      </c>
      <c r="AA54">
        <v>5.4929999999999988E-3</v>
      </c>
      <c r="AB54">
        <v>6.408500000000001E-3</v>
      </c>
      <c r="AD54" t="s">
        <v>570</v>
      </c>
      <c r="AE54" t="s">
        <v>1571</v>
      </c>
    </row>
    <row r="55" spans="2:31" x14ac:dyDescent="0.25">
      <c r="B55">
        <v>1.8309999999999999E-3</v>
      </c>
      <c r="C55">
        <v>2.7465000000000002E-3</v>
      </c>
      <c r="D55">
        <v>3.6619999999999999E-3</v>
      </c>
      <c r="E55">
        <v>4.5775E-3</v>
      </c>
      <c r="F55">
        <v>5.4929999999999988E-3</v>
      </c>
      <c r="G55">
        <v>6.4084999999999993E-3</v>
      </c>
      <c r="I55">
        <v>1.8309999999999997E-3</v>
      </c>
      <c r="J55">
        <v>2.7465000000000002E-3</v>
      </c>
      <c r="K55">
        <v>3.6619999999999999E-3</v>
      </c>
      <c r="L55">
        <v>4.5774999999999991E-3</v>
      </c>
      <c r="M55">
        <v>5.4929999999999996E-3</v>
      </c>
      <c r="N55">
        <v>6.4084999999999993E-3</v>
      </c>
      <c r="P55">
        <v>1.8309999999999999E-3</v>
      </c>
      <c r="Q55">
        <v>2.7465000000000002E-3</v>
      </c>
      <c r="R55">
        <v>3.6619999999999999E-3</v>
      </c>
      <c r="S55">
        <v>4.5775E-3</v>
      </c>
      <c r="T55">
        <v>5.4929999999999988E-3</v>
      </c>
      <c r="U55">
        <v>6.408500000000001E-3</v>
      </c>
      <c r="W55">
        <v>1.8309999999999997E-3</v>
      </c>
      <c r="X55">
        <v>2.7465000000000002E-3</v>
      </c>
      <c r="Y55">
        <v>3.6619999999999995E-3</v>
      </c>
      <c r="Z55">
        <v>4.5775000000000008E-3</v>
      </c>
      <c r="AA55">
        <v>5.4929999999999988E-3</v>
      </c>
      <c r="AB55">
        <v>6.408500000000001E-3</v>
      </c>
      <c r="AD55" t="s">
        <v>575</v>
      </c>
      <c r="AE55" t="s">
        <v>1572</v>
      </c>
    </row>
    <row r="56" spans="2:31" x14ac:dyDescent="0.25">
      <c r="B56">
        <v>4.9789999999999999E-3</v>
      </c>
      <c r="C56">
        <v>7.4685000000000012E-3</v>
      </c>
      <c r="D56">
        <v>9.9580000000000033E-3</v>
      </c>
      <c r="E56">
        <v>1.24475E-2</v>
      </c>
      <c r="F56">
        <v>1.4936999999999997E-2</v>
      </c>
      <c r="G56">
        <v>1.7426499999999998E-2</v>
      </c>
      <c r="I56">
        <v>4.9789999999999999E-3</v>
      </c>
      <c r="J56">
        <v>7.4685000000000003E-3</v>
      </c>
      <c r="K56">
        <v>9.9579999999999998E-3</v>
      </c>
      <c r="L56">
        <v>1.24475E-2</v>
      </c>
      <c r="M56">
        <v>1.4936999999999999E-2</v>
      </c>
      <c r="N56">
        <v>1.7426499999999998E-2</v>
      </c>
      <c r="P56">
        <v>4.9789999999999991E-3</v>
      </c>
      <c r="Q56">
        <v>7.4685000000000003E-3</v>
      </c>
      <c r="R56">
        <v>9.9579999999999998E-3</v>
      </c>
      <c r="S56">
        <v>1.24475E-2</v>
      </c>
      <c r="T56">
        <v>1.4936999999999995E-2</v>
      </c>
      <c r="U56">
        <v>1.7426500000000001E-2</v>
      </c>
      <c r="W56">
        <v>4.9789999999999999E-3</v>
      </c>
      <c r="X56">
        <v>7.4685000000000003E-3</v>
      </c>
      <c r="Y56">
        <v>9.9579999999999998E-3</v>
      </c>
      <c r="Z56">
        <v>1.24475E-2</v>
      </c>
      <c r="AA56">
        <v>1.4936999999999997E-2</v>
      </c>
      <c r="AB56">
        <v>1.7426500000000001E-2</v>
      </c>
      <c r="AD56" t="s">
        <v>578</v>
      </c>
      <c r="AE56" t="s">
        <v>1573</v>
      </c>
    </row>
    <row r="57" spans="2:31" x14ac:dyDescent="0.25">
      <c r="B57">
        <v>4.9790000000000008E-3</v>
      </c>
      <c r="C57">
        <v>7.4685000000000012E-3</v>
      </c>
      <c r="D57">
        <v>9.9580000000000033E-3</v>
      </c>
      <c r="E57">
        <v>1.2447500000000004E-2</v>
      </c>
      <c r="F57">
        <v>1.4937000000000001E-2</v>
      </c>
      <c r="G57">
        <v>1.7426500000000001E-2</v>
      </c>
      <c r="I57">
        <v>4.9790000000000008E-3</v>
      </c>
      <c r="J57">
        <v>7.4685000000000012E-3</v>
      </c>
      <c r="K57">
        <v>9.9580000000000016E-3</v>
      </c>
      <c r="L57">
        <v>1.24475E-2</v>
      </c>
      <c r="M57">
        <v>1.4937000000000001E-2</v>
      </c>
      <c r="N57">
        <v>1.7426500000000001E-2</v>
      </c>
      <c r="P57">
        <v>4.9789999999999999E-3</v>
      </c>
      <c r="Q57">
        <v>7.4685000000000012E-3</v>
      </c>
      <c r="R57">
        <v>9.9579999999999998E-3</v>
      </c>
      <c r="S57">
        <v>1.24475E-2</v>
      </c>
      <c r="T57">
        <v>1.4936999999999995E-2</v>
      </c>
      <c r="U57">
        <v>1.7426500000000001E-2</v>
      </c>
      <c r="W57">
        <v>4.9790000000000008E-3</v>
      </c>
      <c r="X57">
        <v>7.4685000000000012E-3</v>
      </c>
      <c r="Y57">
        <v>9.9580000000000016E-3</v>
      </c>
      <c r="Z57">
        <v>1.2447500000000004E-2</v>
      </c>
      <c r="AA57">
        <v>1.4936999999999997E-2</v>
      </c>
      <c r="AB57">
        <v>1.7426500000000004E-2</v>
      </c>
      <c r="AD57" t="s">
        <v>581</v>
      </c>
      <c r="AE57" t="s">
        <v>1574</v>
      </c>
    </row>
    <row r="58" spans="2:31" x14ac:dyDescent="0.25">
      <c r="B58">
        <v>-2.9964513982119212E-31</v>
      </c>
      <c r="C58">
        <v>1.494005345023972E-30</v>
      </c>
      <c r="D58">
        <v>4.1865912493327126E-30</v>
      </c>
      <c r="E58">
        <v>-1.4855646368599948E-30</v>
      </c>
      <c r="F58">
        <v>-3.9434988542101678E-29</v>
      </c>
      <c r="G58">
        <v>-6.5499895352463405E-30</v>
      </c>
      <c r="I58">
        <v>1.7219044654513577E-30</v>
      </c>
      <c r="J58">
        <v>1.0466478123331781E-30</v>
      </c>
      <c r="K58">
        <v>2.7010266124727176E-30</v>
      </c>
      <c r="L58">
        <v>6.0097842127517972E-30</v>
      </c>
      <c r="M58">
        <v>-2.0257699593545384E-30</v>
      </c>
      <c r="N58">
        <v>2.5777500000000005E-2</v>
      </c>
      <c r="P58">
        <v>5.9929027964238423E-31</v>
      </c>
      <c r="Q58">
        <v>1.6881416327954485E-31</v>
      </c>
      <c r="R58">
        <v>1.2154619756127229E-30</v>
      </c>
      <c r="S58">
        <v>1.8412499999999998E-2</v>
      </c>
      <c r="T58">
        <v>2.2094999999999997E-2</v>
      </c>
      <c r="U58">
        <v>2.5777500000000005E-2</v>
      </c>
      <c r="W58">
        <v>1.3505133062363588E-30</v>
      </c>
      <c r="X58">
        <v>-5.9084957147840699E-31</v>
      </c>
      <c r="Y58">
        <v>1.4729999999999998E-2</v>
      </c>
      <c r="Z58">
        <v>1.8412499999999998E-2</v>
      </c>
      <c r="AA58">
        <v>2.2094999999999997E-2</v>
      </c>
      <c r="AB58">
        <v>2.5777500000000005E-2</v>
      </c>
      <c r="AD58" t="s">
        <v>585</v>
      </c>
      <c r="AE58" t="s">
        <v>1248</v>
      </c>
    </row>
    <row r="59" spans="2:31" x14ac:dyDescent="0.25">
      <c r="B59">
        <v>-2.8500000000000004E-4</v>
      </c>
      <c r="C59">
        <v>-4.2750000000000015E-4</v>
      </c>
      <c r="D59">
        <v>-5.7000000000000019E-4</v>
      </c>
      <c r="E59">
        <v>-7.1250000000000013E-4</v>
      </c>
      <c r="F59">
        <v>-8.5499999999999997E-4</v>
      </c>
      <c r="G59">
        <v>-9.9749999999999991E-4</v>
      </c>
      <c r="I59">
        <v>-2.8499999999999999E-4</v>
      </c>
      <c r="J59">
        <v>-4.2750000000000031E-4</v>
      </c>
      <c r="K59">
        <v>-5.6999999999999998E-4</v>
      </c>
      <c r="L59">
        <v>-7.1250000000000013E-4</v>
      </c>
      <c r="M59">
        <v>-8.5500000000000018E-4</v>
      </c>
      <c r="N59">
        <v>-9.9749999999999969E-4</v>
      </c>
      <c r="P59">
        <v>-2.8500000000000004E-4</v>
      </c>
      <c r="Q59">
        <v>-4.275000000000002E-4</v>
      </c>
      <c r="R59">
        <v>-5.7000000000000019E-4</v>
      </c>
      <c r="S59">
        <v>-7.1250000000000024E-4</v>
      </c>
      <c r="T59">
        <v>-8.5500000000000018E-4</v>
      </c>
      <c r="U59">
        <v>-9.9750000000000012E-4</v>
      </c>
      <c r="W59">
        <v>-2.8499999999999999E-4</v>
      </c>
      <c r="X59">
        <v>-4.2750000000000031E-4</v>
      </c>
      <c r="Y59">
        <v>-5.6999999999999998E-4</v>
      </c>
      <c r="Z59">
        <v>-7.1250000000000013E-4</v>
      </c>
      <c r="AA59">
        <v>-8.5499999999999997E-4</v>
      </c>
      <c r="AB59">
        <v>-9.9749999999999991E-4</v>
      </c>
      <c r="AD59" t="s">
        <v>590</v>
      </c>
      <c r="AE59" t="s">
        <v>1297</v>
      </c>
    </row>
    <row r="60" spans="2:31" x14ac:dyDescent="0.25">
      <c r="B60">
        <v>-1.317E-3</v>
      </c>
      <c r="C60">
        <v>-1.9755000000000003E-3</v>
      </c>
      <c r="D60">
        <v>-2.6340000000000001E-3</v>
      </c>
      <c r="E60">
        <v>-3.2924999999999999E-3</v>
      </c>
      <c r="F60">
        <v>-3.9509999999999997E-3</v>
      </c>
      <c r="G60">
        <v>-4.6094999999999999E-3</v>
      </c>
      <c r="I60">
        <v>-1.317E-3</v>
      </c>
      <c r="J60">
        <v>-1.9755000000000003E-3</v>
      </c>
      <c r="K60">
        <v>-2.6340000000000001E-3</v>
      </c>
      <c r="L60">
        <v>-3.2924999999999999E-3</v>
      </c>
      <c r="M60">
        <v>-3.9510000000000005E-3</v>
      </c>
      <c r="N60">
        <v>-4.6094999999999999E-3</v>
      </c>
      <c r="P60">
        <v>-1.3169999999999998E-3</v>
      </c>
      <c r="Q60">
        <v>-1.9755000000000003E-3</v>
      </c>
      <c r="R60">
        <v>-2.6340000000000001E-3</v>
      </c>
      <c r="S60">
        <v>-3.2925000000000007E-3</v>
      </c>
      <c r="T60">
        <v>-3.9509999999999997E-3</v>
      </c>
      <c r="U60">
        <v>-4.6095000000000007E-3</v>
      </c>
      <c r="W60">
        <v>-1.3169999999999998E-3</v>
      </c>
      <c r="X60">
        <v>-1.9755000000000003E-3</v>
      </c>
      <c r="Y60">
        <v>-2.6339999999999996E-3</v>
      </c>
      <c r="Z60">
        <v>-3.2924999999999999E-3</v>
      </c>
      <c r="AA60">
        <v>-3.9509999999999997E-3</v>
      </c>
      <c r="AB60">
        <v>-4.6095000000000007E-3</v>
      </c>
      <c r="AD60" t="s">
        <v>593</v>
      </c>
      <c r="AE60" t="s">
        <v>1301</v>
      </c>
    </row>
    <row r="61" spans="2:31" x14ac:dyDescent="0.25">
      <c r="B61">
        <v>-1.6020000000000001E-3</v>
      </c>
      <c r="C61">
        <v>-2.4030000000000006E-3</v>
      </c>
      <c r="D61">
        <v>-3.2040000000000003E-3</v>
      </c>
      <c r="E61">
        <v>-4.0049999999999999E-3</v>
      </c>
      <c r="F61">
        <v>-4.8060000000000004E-3</v>
      </c>
      <c r="G61">
        <v>-5.6070000000000017E-3</v>
      </c>
      <c r="I61">
        <v>-1.6020000000000001E-3</v>
      </c>
      <c r="J61">
        <v>-2.4030000000000006E-3</v>
      </c>
      <c r="K61">
        <v>-3.2040000000000003E-3</v>
      </c>
      <c r="L61">
        <v>-4.0049999999999999E-3</v>
      </c>
      <c r="M61">
        <v>-4.8060000000000004E-3</v>
      </c>
      <c r="N61">
        <v>-5.6070000000000009E-3</v>
      </c>
      <c r="P61">
        <v>-1.6020000000000001E-3</v>
      </c>
      <c r="Q61">
        <v>-2.4030000000000006E-3</v>
      </c>
      <c r="R61">
        <v>-3.2040000000000007E-3</v>
      </c>
      <c r="S61">
        <v>-4.0050000000000007E-3</v>
      </c>
      <c r="T61">
        <v>-4.8060000000000004E-3</v>
      </c>
      <c r="U61">
        <v>-5.6070000000000017E-3</v>
      </c>
      <c r="W61">
        <v>-1.6019999999999999E-3</v>
      </c>
      <c r="X61">
        <v>-2.4030000000000006E-3</v>
      </c>
      <c r="Y61">
        <v>-3.2040000000000003E-3</v>
      </c>
      <c r="Z61">
        <v>-4.0050000000000007E-3</v>
      </c>
      <c r="AA61">
        <v>-4.8060000000000004E-3</v>
      </c>
      <c r="AB61">
        <v>-5.6070000000000017E-3</v>
      </c>
      <c r="AD61" t="s">
        <v>598</v>
      </c>
      <c r="AE61" t="s">
        <v>1303</v>
      </c>
    </row>
    <row r="62" spans="2:31" x14ac:dyDescent="0.25">
      <c r="B62">
        <v>-1.6020000000000001E-3</v>
      </c>
      <c r="C62">
        <v>-2.4030000000000006E-3</v>
      </c>
      <c r="D62">
        <v>-3.2040000000000003E-3</v>
      </c>
      <c r="E62">
        <v>-4.0049999999999999E-3</v>
      </c>
      <c r="F62">
        <v>-4.8060000000000004E-3</v>
      </c>
      <c r="G62">
        <v>-5.6070000000000017E-3</v>
      </c>
      <c r="I62">
        <v>-1.6020000000000001E-3</v>
      </c>
      <c r="J62">
        <v>-2.4030000000000006E-3</v>
      </c>
      <c r="K62">
        <v>-3.2040000000000003E-3</v>
      </c>
      <c r="L62">
        <v>-4.0049999999999999E-3</v>
      </c>
      <c r="M62">
        <v>-4.8060000000000004E-3</v>
      </c>
      <c r="N62">
        <v>-5.6070000000000009E-3</v>
      </c>
      <c r="P62">
        <v>-1.6020000000000001E-3</v>
      </c>
      <c r="Q62">
        <v>-2.4030000000000006E-3</v>
      </c>
      <c r="R62">
        <v>-3.2040000000000007E-3</v>
      </c>
      <c r="S62">
        <v>-4.0050000000000007E-3</v>
      </c>
      <c r="T62">
        <v>-4.8060000000000004E-3</v>
      </c>
      <c r="U62">
        <v>-5.6070000000000017E-3</v>
      </c>
      <c r="W62">
        <v>-1.6019999999999999E-3</v>
      </c>
      <c r="X62">
        <v>-2.4030000000000006E-3</v>
      </c>
      <c r="Y62">
        <v>-3.2040000000000003E-3</v>
      </c>
      <c r="Z62">
        <v>-4.0050000000000007E-3</v>
      </c>
      <c r="AA62">
        <v>-4.8060000000000004E-3</v>
      </c>
      <c r="AB62">
        <v>-5.6070000000000017E-3</v>
      </c>
      <c r="AD62" t="s">
        <v>603</v>
      </c>
      <c r="AE62" t="s">
        <v>1307</v>
      </c>
    </row>
    <row r="63" spans="2:31" x14ac:dyDescent="0.25">
      <c r="B63">
        <v>-2.8500000000000004E-4</v>
      </c>
      <c r="C63">
        <v>-4.2750000000000015E-4</v>
      </c>
      <c r="D63">
        <v>-5.7000000000000009E-4</v>
      </c>
      <c r="E63">
        <v>-7.1250000000000024E-4</v>
      </c>
      <c r="F63">
        <v>-8.5499999999999997E-4</v>
      </c>
      <c r="G63">
        <v>-9.9749999999999991E-4</v>
      </c>
      <c r="I63">
        <v>-2.8499999999999999E-4</v>
      </c>
      <c r="J63">
        <v>-4.2750000000000036E-4</v>
      </c>
      <c r="K63">
        <v>-5.7000000000000009E-4</v>
      </c>
      <c r="L63">
        <v>-7.1250000000000013E-4</v>
      </c>
      <c r="M63">
        <v>-8.5500000000000018E-4</v>
      </c>
      <c r="N63">
        <v>-9.9749999999999969E-4</v>
      </c>
      <c r="P63">
        <v>-2.8500000000000004E-4</v>
      </c>
      <c r="Q63">
        <v>-4.2750000000000025E-4</v>
      </c>
      <c r="R63">
        <v>-5.7000000000000019E-4</v>
      </c>
      <c r="S63">
        <v>-7.1250000000000024E-4</v>
      </c>
      <c r="T63">
        <v>-8.5500000000000029E-4</v>
      </c>
      <c r="U63">
        <v>-9.9750000000000012E-4</v>
      </c>
      <c r="W63">
        <v>-2.8499999999999999E-4</v>
      </c>
      <c r="X63">
        <v>-4.2750000000000036E-4</v>
      </c>
      <c r="Y63">
        <v>-5.6999999999999998E-4</v>
      </c>
      <c r="Z63">
        <v>-7.1250000000000013E-4</v>
      </c>
      <c r="AA63">
        <v>-8.5499999999999997E-4</v>
      </c>
      <c r="AB63">
        <v>-9.9749999999999991E-4</v>
      </c>
      <c r="AD63" t="s">
        <v>607</v>
      </c>
      <c r="AE63" t="s">
        <v>1311</v>
      </c>
    </row>
    <row r="64" spans="2:31" x14ac:dyDescent="0.25">
      <c r="B64">
        <v>0</v>
      </c>
      <c r="C64">
        <v>0</v>
      </c>
      <c r="D64">
        <v>0</v>
      </c>
      <c r="E64">
        <v>0</v>
      </c>
      <c r="F64">
        <v>1.194E-3</v>
      </c>
      <c r="G64">
        <v>1.3930000000000001E-3</v>
      </c>
      <c r="I64">
        <v>0</v>
      </c>
      <c r="J64">
        <v>0</v>
      </c>
      <c r="K64">
        <v>0</v>
      </c>
      <c r="L64">
        <v>0</v>
      </c>
      <c r="M64">
        <v>1.194E-3</v>
      </c>
      <c r="N64">
        <v>1.3930000000000001E-3</v>
      </c>
      <c r="P64">
        <v>0</v>
      </c>
      <c r="Q64">
        <v>0</v>
      </c>
      <c r="R64">
        <v>0</v>
      </c>
      <c r="S64">
        <v>0</v>
      </c>
      <c r="T64">
        <v>1.194E-3</v>
      </c>
      <c r="U64">
        <v>1.3930000000000001E-3</v>
      </c>
      <c r="W64">
        <v>0</v>
      </c>
      <c r="X64">
        <v>0</v>
      </c>
      <c r="Y64">
        <v>0</v>
      </c>
      <c r="Z64">
        <v>0</v>
      </c>
      <c r="AA64">
        <v>1.194E-3</v>
      </c>
      <c r="AB64">
        <v>1.3930000000000001E-3</v>
      </c>
      <c r="AD64" t="s">
        <v>611</v>
      </c>
      <c r="AE64" t="s">
        <v>1316</v>
      </c>
    </row>
    <row r="65" spans="2:31" x14ac:dyDescent="0.25">
      <c r="B65">
        <v>0</v>
      </c>
      <c r="C65">
        <v>0</v>
      </c>
      <c r="D65">
        <v>0</v>
      </c>
      <c r="E65">
        <v>0</v>
      </c>
      <c r="F65">
        <v>0</v>
      </c>
      <c r="G65">
        <v>0</v>
      </c>
      <c r="I65">
        <v>0</v>
      </c>
      <c r="J65">
        <v>0</v>
      </c>
      <c r="K65">
        <v>0</v>
      </c>
      <c r="L65">
        <v>0</v>
      </c>
      <c r="M65">
        <v>0</v>
      </c>
      <c r="N65">
        <v>0</v>
      </c>
      <c r="P65">
        <v>0</v>
      </c>
      <c r="Q65">
        <v>0</v>
      </c>
      <c r="R65">
        <v>0</v>
      </c>
      <c r="S65">
        <v>0</v>
      </c>
      <c r="T65">
        <v>0</v>
      </c>
      <c r="U65">
        <v>0</v>
      </c>
      <c r="W65">
        <v>0</v>
      </c>
      <c r="X65">
        <v>0</v>
      </c>
      <c r="Y65">
        <v>0</v>
      </c>
      <c r="Z65">
        <v>0</v>
      </c>
      <c r="AA65">
        <v>0</v>
      </c>
      <c r="AB65">
        <v>0</v>
      </c>
      <c r="AD65" t="s">
        <v>615</v>
      </c>
      <c r="AE65" t="s">
        <v>1321</v>
      </c>
    </row>
    <row r="66" spans="2:31" x14ac:dyDescent="0.25">
      <c r="B66">
        <v>0</v>
      </c>
      <c r="C66">
        <v>0</v>
      </c>
      <c r="D66">
        <v>0</v>
      </c>
      <c r="E66">
        <v>0</v>
      </c>
      <c r="F66">
        <v>0</v>
      </c>
      <c r="G66">
        <v>0</v>
      </c>
      <c r="I66">
        <v>0</v>
      </c>
      <c r="J66">
        <v>0</v>
      </c>
      <c r="K66">
        <v>0</v>
      </c>
      <c r="L66">
        <v>0</v>
      </c>
      <c r="M66">
        <v>0</v>
      </c>
      <c r="N66">
        <v>0</v>
      </c>
      <c r="P66">
        <v>0</v>
      </c>
      <c r="Q66">
        <v>0</v>
      </c>
      <c r="R66">
        <v>0</v>
      </c>
      <c r="S66">
        <v>0</v>
      </c>
      <c r="T66">
        <v>0</v>
      </c>
      <c r="U66">
        <v>0</v>
      </c>
      <c r="W66">
        <v>0</v>
      </c>
      <c r="X66">
        <v>0</v>
      </c>
      <c r="Y66">
        <v>0</v>
      </c>
      <c r="Z66">
        <v>0</v>
      </c>
      <c r="AA66">
        <v>0</v>
      </c>
      <c r="AB66">
        <v>0</v>
      </c>
      <c r="AD66" t="s">
        <v>620</v>
      </c>
      <c r="AE66" t="s">
        <v>1325</v>
      </c>
    </row>
    <row r="67" spans="2:31" x14ac:dyDescent="0.25">
      <c r="B67">
        <v>0</v>
      </c>
      <c r="C67">
        <v>0</v>
      </c>
      <c r="D67">
        <v>0</v>
      </c>
      <c r="E67">
        <v>0</v>
      </c>
      <c r="F67">
        <v>0</v>
      </c>
      <c r="G67">
        <v>0</v>
      </c>
      <c r="I67">
        <v>0</v>
      </c>
      <c r="J67">
        <v>0</v>
      </c>
      <c r="K67">
        <v>0</v>
      </c>
      <c r="L67">
        <v>0</v>
      </c>
      <c r="M67">
        <v>0</v>
      </c>
      <c r="N67">
        <v>0</v>
      </c>
      <c r="P67">
        <v>0</v>
      </c>
      <c r="Q67">
        <v>0</v>
      </c>
      <c r="R67">
        <v>0</v>
      </c>
      <c r="S67">
        <v>0</v>
      </c>
      <c r="T67">
        <v>0</v>
      </c>
      <c r="U67">
        <v>0</v>
      </c>
      <c r="W67">
        <v>0</v>
      </c>
      <c r="X67">
        <v>0</v>
      </c>
      <c r="Y67">
        <v>0</v>
      </c>
      <c r="Z67">
        <v>0</v>
      </c>
      <c r="AA67">
        <v>0</v>
      </c>
      <c r="AB67">
        <v>0</v>
      </c>
      <c r="AD67" t="s">
        <v>625</v>
      </c>
      <c r="AE67" t="s">
        <v>1329</v>
      </c>
    </row>
    <row r="68" spans="2:31" x14ac:dyDescent="0.25">
      <c r="B68">
        <v>0</v>
      </c>
      <c r="C68">
        <v>0</v>
      </c>
      <c r="D68">
        <v>0</v>
      </c>
      <c r="E68">
        <v>0</v>
      </c>
      <c r="F68">
        <v>0</v>
      </c>
      <c r="G68">
        <v>0</v>
      </c>
      <c r="I68">
        <v>0</v>
      </c>
      <c r="J68">
        <v>0</v>
      </c>
      <c r="K68">
        <v>0</v>
      </c>
      <c r="L68">
        <v>0</v>
      </c>
      <c r="M68">
        <v>0</v>
      </c>
      <c r="N68">
        <v>0</v>
      </c>
      <c r="P68">
        <v>0</v>
      </c>
      <c r="Q68">
        <v>0</v>
      </c>
      <c r="R68">
        <v>0</v>
      </c>
      <c r="S68">
        <v>0</v>
      </c>
      <c r="T68">
        <v>0</v>
      </c>
      <c r="U68">
        <v>0</v>
      </c>
      <c r="W68">
        <v>0</v>
      </c>
      <c r="X68">
        <v>0</v>
      </c>
      <c r="Y68">
        <v>0</v>
      </c>
      <c r="Z68">
        <v>0</v>
      </c>
      <c r="AA68">
        <v>0</v>
      </c>
      <c r="AB68">
        <v>0</v>
      </c>
      <c r="AD68" t="s">
        <v>629</v>
      </c>
      <c r="AE68" t="s">
        <v>1335</v>
      </c>
    </row>
    <row r="69" spans="2:31" x14ac:dyDescent="0.25">
      <c r="B69">
        <v>-4.9318000000000008E-2</v>
      </c>
      <c r="C69">
        <v>-7.3977000000000001E-2</v>
      </c>
      <c r="D69">
        <v>-9.8635999999999988E-2</v>
      </c>
      <c r="E69">
        <v>-0.12329500000000002</v>
      </c>
      <c r="F69">
        <v>-0.150342</v>
      </c>
      <c r="G69">
        <v>-0.17539900000000008</v>
      </c>
      <c r="I69">
        <v>-4.9318000000000015E-2</v>
      </c>
      <c r="J69">
        <v>-7.3977000000000015E-2</v>
      </c>
      <c r="K69">
        <v>-9.8635999999999974E-2</v>
      </c>
      <c r="L69">
        <v>-0.12329499999999993</v>
      </c>
      <c r="M69">
        <v>-0.15034199999999998</v>
      </c>
      <c r="N69">
        <v>-0.14962150000000016</v>
      </c>
      <c r="P69">
        <v>-4.9318000000000015E-2</v>
      </c>
      <c r="Q69">
        <v>-7.3977000000000029E-2</v>
      </c>
      <c r="R69">
        <v>-9.8636000000000015E-2</v>
      </c>
      <c r="S69">
        <v>-0.1048825</v>
      </c>
      <c r="T69">
        <v>-0.12824699999999994</v>
      </c>
      <c r="U69">
        <v>-0.14962150000000007</v>
      </c>
      <c r="W69">
        <v>-4.9317999999999994E-2</v>
      </c>
      <c r="X69">
        <v>-7.3977000000000057E-2</v>
      </c>
      <c r="Y69">
        <v>-8.3905999999999981E-2</v>
      </c>
      <c r="Z69">
        <v>-0.1048825</v>
      </c>
      <c r="AA69">
        <v>-0.12824699999999992</v>
      </c>
      <c r="AB69">
        <v>-0.14962150000000007</v>
      </c>
      <c r="AD69" t="s">
        <v>633</v>
      </c>
      <c r="AE69" t="s">
        <v>1337</v>
      </c>
    </row>
    <row r="70" spans="2:31" x14ac:dyDescent="0.25">
      <c r="B70">
        <v>0</v>
      </c>
      <c r="C70">
        <v>0</v>
      </c>
      <c r="D70">
        <v>0</v>
      </c>
      <c r="E70">
        <v>0</v>
      </c>
      <c r="F70">
        <v>0</v>
      </c>
      <c r="G70">
        <v>0</v>
      </c>
      <c r="I70">
        <v>0</v>
      </c>
      <c r="J70">
        <v>0</v>
      </c>
      <c r="K70">
        <v>0</v>
      </c>
      <c r="L70">
        <v>0</v>
      </c>
      <c r="M70">
        <v>0</v>
      </c>
      <c r="N70">
        <v>0</v>
      </c>
      <c r="P70">
        <v>0</v>
      </c>
      <c r="Q70">
        <v>0</v>
      </c>
      <c r="R70">
        <v>0</v>
      </c>
      <c r="S70">
        <v>0</v>
      </c>
      <c r="T70">
        <v>0</v>
      </c>
      <c r="U70">
        <v>0</v>
      </c>
      <c r="W70">
        <v>0</v>
      </c>
      <c r="X70">
        <v>0</v>
      </c>
      <c r="Y70">
        <v>0</v>
      </c>
      <c r="Z70">
        <v>0</v>
      </c>
      <c r="AA70">
        <v>0</v>
      </c>
      <c r="AB70">
        <v>0</v>
      </c>
      <c r="AD70" t="s">
        <v>636</v>
      </c>
      <c r="AE70" t="s">
        <v>1341</v>
      </c>
    </row>
    <row r="71" spans="2:31" x14ac:dyDescent="0.25">
      <c r="B71">
        <v>2.3933999999999997E-2</v>
      </c>
      <c r="C71">
        <v>3.5901000000000009E-2</v>
      </c>
      <c r="D71">
        <v>4.7867999999999994E-2</v>
      </c>
      <c r="E71">
        <v>5.9834999999999992E-2</v>
      </c>
      <c r="F71">
        <v>7.1801999999999991E-2</v>
      </c>
      <c r="G71">
        <v>8.3769000000000024E-2</v>
      </c>
      <c r="I71">
        <v>2.3933999999999997E-2</v>
      </c>
      <c r="J71">
        <v>3.5901000000000009E-2</v>
      </c>
      <c r="K71">
        <v>4.7867999999999994E-2</v>
      </c>
      <c r="L71">
        <v>5.9834999999999992E-2</v>
      </c>
      <c r="M71">
        <v>7.1801999999999991E-2</v>
      </c>
      <c r="N71">
        <v>8.3769000000000038E-2</v>
      </c>
      <c r="P71">
        <v>2.3933999999999997E-2</v>
      </c>
      <c r="Q71">
        <v>3.5901000000000009E-2</v>
      </c>
      <c r="R71">
        <v>4.7867999999999994E-2</v>
      </c>
      <c r="S71">
        <v>5.9834999999999992E-2</v>
      </c>
      <c r="T71">
        <v>7.1801999999999991E-2</v>
      </c>
      <c r="U71">
        <v>8.376900000000001E-2</v>
      </c>
      <c r="W71">
        <v>2.3933999999999997E-2</v>
      </c>
      <c r="X71">
        <v>3.5901000000000002E-2</v>
      </c>
      <c r="Y71">
        <v>4.7867999999999994E-2</v>
      </c>
      <c r="Z71">
        <v>5.9834999999999992E-2</v>
      </c>
      <c r="AA71">
        <v>7.1801999999999991E-2</v>
      </c>
      <c r="AB71">
        <v>8.376900000000001E-2</v>
      </c>
      <c r="AD71" t="s">
        <v>639</v>
      </c>
      <c r="AE71" s="60" t="s">
        <v>1342</v>
      </c>
    </row>
    <row r="72" spans="2:31" x14ac:dyDescent="0.25">
      <c r="B72">
        <v>1.7207E-2</v>
      </c>
      <c r="C72">
        <v>2.5810500000000004E-2</v>
      </c>
      <c r="D72">
        <v>3.4414E-2</v>
      </c>
      <c r="E72">
        <v>4.30175E-2</v>
      </c>
      <c r="F72">
        <v>5.1620999999999993E-2</v>
      </c>
      <c r="G72">
        <v>6.0224500000000028E-2</v>
      </c>
      <c r="I72">
        <v>1.7207E-2</v>
      </c>
      <c r="J72">
        <v>2.5810500000000004E-2</v>
      </c>
      <c r="K72">
        <v>3.4414E-2</v>
      </c>
      <c r="L72">
        <v>4.30175E-2</v>
      </c>
      <c r="M72">
        <v>5.1620999999999993E-2</v>
      </c>
      <c r="N72">
        <v>6.0224500000000035E-2</v>
      </c>
      <c r="P72">
        <v>1.7207E-2</v>
      </c>
      <c r="Q72">
        <v>2.5810500000000004E-2</v>
      </c>
      <c r="R72">
        <v>3.4414E-2</v>
      </c>
      <c r="S72">
        <v>4.30175E-2</v>
      </c>
      <c r="T72">
        <v>5.1620999999999993E-2</v>
      </c>
      <c r="U72">
        <v>6.0224500000000014E-2</v>
      </c>
      <c r="W72">
        <v>1.7207E-2</v>
      </c>
      <c r="X72">
        <v>2.5810500000000004E-2</v>
      </c>
      <c r="Y72">
        <v>3.4414E-2</v>
      </c>
      <c r="Z72">
        <v>4.30175E-2</v>
      </c>
      <c r="AA72">
        <v>5.1620999999999993E-2</v>
      </c>
      <c r="AB72">
        <v>6.0224500000000014E-2</v>
      </c>
      <c r="AD72" t="s">
        <v>642</v>
      </c>
      <c r="AE72" s="60" t="s">
        <v>1348</v>
      </c>
    </row>
    <row r="73" spans="2:31" x14ac:dyDescent="0.25">
      <c r="B73">
        <v>1.1966999999999997E-2</v>
      </c>
      <c r="C73">
        <v>1.7950500000000001E-2</v>
      </c>
      <c r="D73">
        <v>2.3933999999999993E-2</v>
      </c>
      <c r="E73">
        <v>2.9917499999999989E-2</v>
      </c>
      <c r="F73">
        <v>3.5900999999999995E-2</v>
      </c>
      <c r="G73">
        <v>4.1884500000000005E-2</v>
      </c>
      <c r="I73">
        <v>1.1966999999999997E-2</v>
      </c>
      <c r="J73">
        <v>1.7950500000000001E-2</v>
      </c>
      <c r="K73">
        <v>2.3933999999999993E-2</v>
      </c>
      <c r="L73">
        <v>2.9917499999999989E-2</v>
      </c>
      <c r="M73">
        <v>3.5900999999999995E-2</v>
      </c>
      <c r="N73">
        <v>4.1884500000000012E-2</v>
      </c>
      <c r="P73">
        <v>1.1966999999999997E-2</v>
      </c>
      <c r="Q73">
        <v>1.7950500000000001E-2</v>
      </c>
      <c r="R73">
        <v>2.3933999999999993E-2</v>
      </c>
      <c r="S73">
        <v>2.9917499999999989E-2</v>
      </c>
      <c r="T73">
        <v>3.5900999999999988E-2</v>
      </c>
      <c r="U73">
        <v>4.1884499999999998E-2</v>
      </c>
      <c r="W73">
        <v>1.1966999999999997E-2</v>
      </c>
      <c r="X73">
        <v>1.7950499999999998E-2</v>
      </c>
      <c r="Y73">
        <v>2.3933999999999997E-2</v>
      </c>
      <c r="Z73">
        <v>2.9917499999999989E-2</v>
      </c>
      <c r="AA73">
        <v>3.5900999999999995E-2</v>
      </c>
      <c r="AB73">
        <v>4.1884500000000005E-2</v>
      </c>
      <c r="AD73" t="s">
        <v>646</v>
      </c>
      <c r="AE73" s="60" t="s">
        <v>1353</v>
      </c>
    </row>
    <row r="74" spans="2:31" x14ac:dyDescent="0.25">
      <c r="B74">
        <v>4.7867999999999994E-2</v>
      </c>
      <c r="C74">
        <v>7.1802000000000005E-2</v>
      </c>
      <c r="D74">
        <v>9.5735999999999974E-2</v>
      </c>
      <c r="E74">
        <v>0.11966999999999996</v>
      </c>
      <c r="F74">
        <v>0.14360399999999995</v>
      </c>
      <c r="G74">
        <v>0.16753800000000005</v>
      </c>
      <c r="I74">
        <v>4.7867999999999987E-2</v>
      </c>
      <c r="J74">
        <v>7.1802000000000005E-2</v>
      </c>
      <c r="K74">
        <v>9.5735999999999974E-2</v>
      </c>
      <c r="L74">
        <v>0.11966999999999996</v>
      </c>
      <c r="M74">
        <v>0.14360399999999995</v>
      </c>
      <c r="N74">
        <v>0.16753800000000008</v>
      </c>
      <c r="P74">
        <v>4.7867999999999987E-2</v>
      </c>
      <c r="Q74">
        <v>7.1802000000000005E-2</v>
      </c>
      <c r="R74">
        <v>9.5735999999999974E-2</v>
      </c>
      <c r="S74">
        <v>0.11966999999999996</v>
      </c>
      <c r="T74">
        <v>0.14360399999999995</v>
      </c>
      <c r="U74">
        <v>0.16753799999999996</v>
      </c>
      <c r="W74">
        <v>4.7867999999999994E-2</v>
      </c>
      <c r="X74">
        <v>7.1801999999999991E-2</v>
      </c>
      <c r="Y74">
        <v>9.5735999999999988E-2</v>
      </c>
      <c r="Z74">
        <v>0.11966999999999996</v>
      </c>
      <c r="AA74">
        <v>0.14360399999999995</v>
      </c>
      <c r="AB74">
        <v>0.16753800000000002</v>
      </c>
      <c r="AD74" t="s">
        <v>649</v>
      </c>
      <c r="AE74" s="60" t="s">
        <v>1357</v>
      </c>
    </row>
    <row r="75" spans="2:31" x14ac:dyDescent="0.25">
      <c r="B75">
        <v>0</v>
      </c>
      <c r="C75">
        <v>0</v>
      </c>
      <c r="D75">
        <v>0</v>
      </c>
      <c r="E75">
        <v>0</v>
      </c>
      <c r="F75">
        <v>0</v>
      </c>
      <c r="G75">
        <v>0</v>
      </c>
      <c r="I75">
        <v>0</v>
      </c>
      <c r="J75">
        <v>0</v>
      </c>
      <c r="K75">
        <v>0</v>
      </c>
      <c r="L75">
        <v>0</v>
      </c>
      <c r="M75">
        <v>0</v>
      </c>
      <c r="N75">
        <v>0</v>
      </c>
      <c r="P75">
        <v>0</v>
      </c>
      <c r="Q75">
        <v>0</v>
      </c>
      <c r="R75">
        <v>0</v>
      </c>
      <c r="S75">
        <v>0</v>
      </c>
      <c r="T75">
        <v>0</v>
      </c>
      <c r="U75">
        <v>0</v>
      </c>
      <c r="W75">
        <v>0</v>
      </c>
      <c r="X75">
        <v>0</v>
      </c>
      <c r="Y75">
        <v>0</v>
      </c>
      <c r="Z75">
        <v>0</v>
      </c>
      <c r="AA75">
        <v>0</v>
      </c>
      <c r="AB75">
        <v>0</v>
      </c>
      <c r="AD75" t="s">
        <v>653</v>
      </c>
      <c r="AE75" s="60" t="s">
        <v>1362</v>
      </c>
    </row>
    <row r="76" spans="2:31" x14ac:dyDescent="0.25">
      <c r="B76">
        <v>0</v>
      </c>
      <c r="C76">
        <v>0</v>
      </c>
      <c r="D76">
        <v>0</v>
      </c>
      <c r="E76">
        <v>0</v>
      </c>
      <c r="F76">
        <v>0</v>
      </c>
      <c r="G76">
        <v>0</v>
      </c>
      <c r="I76">
        <v>0</v>
      </c>
      <c r="J76">
        <v>0</v>
      </c>
      <c r="K76">
        <v>0</v>
      </c>
      <c r="L76">
        <v>0</v>
      </c>
      <c r="M76">
        <v>0</v>
      </c>
      <c r="N76">
        <v>0</v>
      </c>
      <c r="P76">
        <v>0</v>
      </c>
      <c r="Q76">
        <v>0</v>
      </c>
      <c r="R76">
        <v>0</v>
      </c>
      <c r="S76">
        <v>0</v>
      </c>
      <c r="T76">
        <v>0</v>
      </c>
      <c r="U76">
        <v>0</v>
      </c>
      <c r="W76">
        <v>0</v>
      </c>
      <c r="X76">
        <v>0</v>
      </c>
      <c r="Y76">
        <v>0</v>
      </c>
      <c r="Z76">
        <v>0</v>
      </c>
      <c r="AA76">
        <v>0</v>
      </c>
      <c r="AB76">
        <v>0</v>
      </c>
      <c r="AD76" t="s">
        <v>656</v>
      </c>
      <c r="AE76" s="60" t="s">
        <v>1365</v>
      </c>
    </row>
    <row r="77" spans="2:31" x14ac:dyDescent="0.25">
      <c r="B77">
        <v>0</v>
      </c>
      <c r="C77">
        <v>0</v>
      </c>
      <c r="D77">
        <v>0</v>
      </c>
      <c r="E77">
        <v>0</v>
      </c>
      <c r="F77">
        <v>0</v>
      </c>
      <c r="G77">
        <v>0</v>
      </c>
      <c r="I77">
        <v>0</v>
      </c>
      <c r="J77">
        <v>0</v>
      </c>
      <c r="K77">
        <v>0</v>
      </c>
      <c r="L77">
        <v>0</v>
      </c>
      <c r="M77">
        <v>0</v>
      </c>
      <c r="N77">
        <v>0</v>
      </c>
      <c r="P77">
        <v>0</v>
      </c>
      <c r="Q77">
        <v>0</v>
      </c>
      <c r="R77">
        <v>0</v>
      </c>
      <c r="S77">
        <v>0</v>
      </c>
      <c r="T77">
        <v>0</v>
      </c>
      <c r="U77">
        <v>0</v>
      </c>
      <c r="W77">
        <v>0</v>
      </c>
      <c r="X77">
        <v>0</v>
      </c>
      <c r="Y77">
        <v>0</v>
      </c>
      <c r="Z77">
        <v>0</v>
      </c>
      <c r="AA77">
        <v>0</v>
      </c>
      <c r="AB77">
        <v>0</v>
      </c>
      <c r="AD77" t="s">
        <v>660</v>
      </c>
      <c r="AE77" s="60" t="s">
        <v>1374</v>
      </c>
    </row>
    <row r="78" spans="2:31" x14ac:dyDescent="0.25">
      <c r="B78">
        <v>0</v>
      </c>
      <c r="C78">
        <v>0</v>
      </c>
      <c r="D78">
        <v>0</v>
      </c>
      <c r="E78">
        <v>0</v>
      </c>
      <c r="F78">
        <v>0</v>
      </c>
      <c r="G78">
        <v>0</v>
      </c>
      <c r="I78">
        <v>0</v>
      </c>
      <c r="J78">
        <v>0</v>
      </c>
      <c r="K78">
        <v>0</v>
      </c>
      <c r="L78">
        <v>0</v>
      </c>
      <c r="M78">
        <v>0</v>
      </c>
      <c r="N78">
        <v>0</v>
      </c>
      <c r="P78">
        <v>0</v>
      </c>
      <c r="Q78">
        <v>0</v>
      </c>
      <c r="R78">
        <v>0</v>
      </c>
      <c r="S78">
        <v>0</v>
      </c>
      <c r="T78">
        <v>0</v>
      </c>
      <c r="U78">
        <v>0</v>
      </c>
      <c r="W78">
        <v>0</v>
      </c>
      <c r="X78">
        <v>0</v>
      </c>
      <c r="Y78">
        <v>0</v>
      </c>
      <c r="Z78">
        <v>0</v>
      </c>
      <c r="AA78">
        <v>0</v>
      </c>
      <c r="AB78">
        <v>0</v>
      </c>
      <c r="AD78" t="s">
        <v>665</v>
      </c>
      <c r="AE78" s="60" t="s">
        <v>1378</v>
      </c>
    </row>
    <row r="79" spans="2:31" x14ac:dyDescent="0.25">
      <c r="B79">
        <v>0</v>
      </c>
      <c r="C79">
        <v>0</v>
      </c>
      <c r="D79">
        <v>0</v>
      </c>
      <c r="E79">
        <v>0</v>
      </c>
      <c r="F79">
        <v>0</v>
      </c>
      <c r="G79">
        <v>0</v>
      </c>
      <c r="I79">
        <v>0</v>
      </c>
      <c r="J79">
        <v>0</v>
      </c>
      <c r="K79">
        <v>0</v>
      </c>
      <c r="L79">
        <v>0</v>
      </c>
      <c r="M79">
        <v>0</v>
      </c>
      <c r="N79">
        <v>0</v>
      </c>
      <c r="P79">
        <v>0</v>
      </c>
      <c r="Q79">
        <v>0</v>
      </c>
      <c r="R79">
        <v>0</v>
      </c>
      <c r="S79">
        <v>0</v>
      </c>
      <c r="T79">
        <v>0</v>
      </c>
      <c r="U79">
        <v>0</v>
      </c>
      <c r="W79">
        <v>0</v>
      </c>
      <c r="X79">
        <v>0</v>
      </c>
      <c r="Y79">
        <v>0</v>
      </c>
      <c r="Z79">
        <v>0</v>
      </c>
      <c r="AA79">
        <v>0</v>
      </c>
      <c r="AB79">
        <v>0</v>
      </c>
      <c r="AD79" t="s">
        <v>668</v>
      </c>
      <c r="AE79" s="60" t="s">
        <v>1384</v>
      </c>
    </row>
    <row r="80" spans="2:31" x14ac:dyDescent="0.25">
      <c r="B80">
        <v>9.0000000000000006E-5</v>
      </c>
      <c r="C80">
        <v>1.3500000000000003E-4</v>
      </c>
      <c r="D80">
        <v>1.8000000000000001E-4</v>
      </c>
      <c r="E80">
        <v>2.2499999999999999E-4</v>
      </c>
      <c r="F80">
        <v>2.7E-4</v>
      </c>
      <c r="G80">
        <v>3.1500000000000001E-4</v>
      </c>
      <c r="I80">
        <v>9.0000000000000006E-5</v>
      </c>
      <c r="J80">
        <v>1.3500000000000003E-4</v>
      </c>
      <c r="K80">
        <v>1.8000000000000001E-4</v>
      </c>
      <c r="L80">
        <v>2.2499999999999999E-4</v>
      </c>
      <c r="M80">
        <v>2.7E-4</v>
      </c>
      <c r="N80">
        <v>3.1500000000000001E-4</v>
      </c>
      <c r="P80">
        <v>9.0000000000000006E-5</v>
      </c>
      <c r="Q80">
        <v>1.3500000000000003E-4</v>
      </c>
      <c r="R80">
        <v>1.8000000000000001E-4</v>
      </c>
      <c r="S80">
        <v>2.2499999999999999E-4</v>
      </c>
      <c r="T80">
        <v>2.7E-4</v>
      </c>
      <c r="U80">
        <v>3.1500000000000001E-4</v>
      </c>
      <c r="W80">
        <v>9.0000000000000006E-5</v>
      </c>
      <c r="X80">
        <v>1.3500000000000003E-4</v>
      </c>
      <c r="Y80">
        <v>1.8000000000000001E-4</v>
      </c>
      <c r="Z80">
        <v>2.2499999999999999E-4</v>
      </c>
      <c r="AA80">
        <v>2.7E-4</v>
      </c>
      <c r="AB80">
        <v>3.1500000000000001E-4</v>
      </c>
      <c r="AD80" t="s">
        <v>672</v>
      </c>
      <c r="AE80" t="s">
        <v>1389</v>
      </c>
    </row>
    <row r="81" spans="2:31" x14ac:dyDescent="0.25">
      <c r="B81">
        <v>9.0000000000000006E-5</v>
      </c>
      <c r="C81">
        <v>1.3500000000000003E-4</v>
      </c>
      <c r="D81">
        <v>1.8000000000000001E-4</v>
      </c>
      <c r="E81">
        <v>2.2499999999999999E-4</v>
      </c>
      <c r="F81">
        <v>2.7E-4</v>
      </c>
      <c r="G81">
        <v>3.1500000000000001E-4</v>
      </c>
      <c r="I81">
        <v>9.0000000000000006E-5</v>
      </c>
      <c r="J81">
        <v>1.3500000000000003E-4</v>
      </c>
      <c r="K81">
        <v>1.8000000000000001E-4</v>
      </c>
      <c r="L81">
        <v>2.2499999999999999E-4</v>
      </c>
      <c r="M81">
        <v>2.7E-4</v>
      </c>
      <c r="N81">
        <v>3.1500000000000001E-4</v>
      </c>
      <c r="P81">
        <v>9.0000000000000006E-5</v>
      </c>
      <c r="Q81">
        <v>1.3500000000000003E-4</v>
      </c>
      <c r="R81">
        <v>1.8000000000000001E-4</v>
      </c>
      <c r="S81">
        <v>2.2499999999999999E-4</v>
      </c>
      <c r="T81">
        <v>2.7E-4</v>
      </c>
      <c r="U81">
        <v>3.1500000000000001E-4</v>
      </c>
      <c r="W81">
        <v>9.0000000000000006E-5</v>
      </c>
      <c r="X81">
        <v>1.3500000000000003E-4</v>
      </c>
      <c r="Y81">
        <v>1.8000000000000001E-4</v>
      </c>
      <c r="Z81">
        <v>2.2499999999999999E-4</v>
      </c>
      <c r="AA81">
        <v>2.7E-4</v>
      </c>
      <c r="AB81">
        <v>3.1500000000000001E-4</v>
      </c>
      <c r="AD81" t="s">
        <v>676</v>
      </c>
      <c r="AE81" t="s">
        <v>1393</v>
      </c>
    </row>
    <row r="82" spans="2:31" x14ac:dyDescent="0.25">
      <c r="B82">
        <v>9.0000000000000006E-5</v>
      </c>
      <c r="C82">
        <v>1.3500000000000003E-4</v>
      </c>
      <c r="D82">
        <v>1.8000000000000001E-4</v>
      </c>
      <c r="E82">
        <v>2.2499999999999999E-4</v>
      </c>
      <c r="F82">
        <v>2.7E-4</v>
      </c>
      <c r="G82">
        <v>3.1500000000000001E-4</v>
      </c>
      <c r="I82">
        <v>9.0000000000000006E-5</v>
      </c>
      <c r="J82">
        <v>1.3500000000000003E-4</v>
      </c>
      <c r="K82">
        <v>1.8000000000000001E-4</v>
      </c>
      <c r="L82">
        <v>2.2499999999999999E-4</v>
      </c>
      <c r="M82">
        <v>2.7E-4</v>
      </c>
      <c r="N82">
        <v>3.1500000000000001E-4</v>
      </c>
      <c r="P82">
        <v>9.0000000000000006E-5</v>
      </c>
      <c r="Q82">
        <v>1.3500000000000003E-4</v>
      </c>
      <c r="R82">
        <v>1.8000000000000001E-4</v>
      </c>
      <c r="S82">
        <v>2.2499999999999999E-4</v>
      </c>
      <c r="T82">
        <v>2.7E-4</v>
      </c>
      <c r="U82">
        <v>3.1500000000000001E-4</v>
      </c>
      <c r="W82">
        <v>9.0000000000000006E-5</v>
      </c>
      <c r="X82">
        <v>1.3500000000000003E-4</v>
      </c>
      <c r="Y82">
        <v>1.8000000000000001E-4</v>
      </c>
      <c r="Z82">
        <v>2.2499999999999999E-4</v>
      </c>
      <c r="AA82">
        <v>2.7E-4</v>
      </c>
      <c r="AB82">
        <v>3.1500000000000001E-4</v>
      </c>
      <c r="AD82" t="s">
        <v>679</v>
      </c>
      <c r="AE82" s="69" t="s">
        <v>1397</v>
      </c>
    </row>
    <row r="83" spans="2:31" x14ac:dyDescent="0.25">
      <c r="B83">
        <v>0</v>
      </c>
      <c r="C83">
        <v>0</v>
      </c>
      <c r="D83">
        <v>0</v>
      </c>
      <c r="E83">
        <v>0</v>
      </c>
      <c r="F83">
        <v>0</v>
      </c>
      <c r="G83">
        <v>0</v>
      </c>
      <c r="I83">
        <v>0</v>
      </c>
      <c r="J83">
        <v>0</v>
      </c>
      <c r="K83">
        <v>0</v>
      </c>
      <c r="L83">
        <v>0</v>
      </c>
      <c r="M83">
        <v>0</v>
      </c>
      <c r="N83">
        <v>0</v>
      </c>
      <c r="P83">
        <v>0</v>
      </c>
      <c r="Q83">
        <v>0</v>
      </c>
      <c r="R83">
        <v>0</v>
      </c>
      <c r="S83">
        <v>0</v>
      </c>
      <c r="T83">
        <v>0</v>
      </c>
      <c r="U83">
        <v>0</v>
      </c>
      <c r="W83">
        <v>0</v>
      </c>
      <c r="X83">
        <v>0</v>
      </c>
      <c r="Y83">
        <v>0</v>
      </c>
      <c r="Z83">
        <v>0</v>
      </c>
      <c r="AA83">
        <v>0</v>
      </c>
      <c r="AB83">
        <v>0</v>
      </c>
      <c r="AD83" t="s">
        <v>682</v>
      </c>
      <c r="AE83" t="s">
        <v>1401</v>
      </c>
    </row>
    <row r="84" spans="2:31" x14ac:dyDescent="0.25">
      <c r="B84">
        <v>0.25314424999999996</v>
      </c>
      <c r="C84">
        <v>0.30971637500000004</v>
      </c>
      <c r="D84">
        <v>0.36628850000000002</v>
      </c>
      <c r="E84">
        <v>0.42286062499999993</v>
      </c>
      <c r="F84">
        <v>0.48002974999999992</v>
      </c>
      <c r="G84">
        <v>0.53670137500000026</v>
      </c>
      <c r="I84">
        <v>0.25149541666666664</v>
      </c>
      <c r="J84">
        <v>0.30724312500000006</v>
      </c>
      <c r="K84">
        <v>0.36299083333333326</v>
      </c>
      <c r="L84">
        <v>0.41873854166666657</v>
      </c>
      <c r="M84">
        <v>0.4750832499999999</v>
      </c>
      <c r="N84">
        <v>0.53093045833333341</v>
      </c>
      <c r="P84">
        <v>0.24983341666666661</v>
      </c>
      <c r="Q84">
        <v>0.30475012499999998</v>
      </c>
      <c r="R84">
        <v>0.35966683333333338</v>
      </c>
      <c r="S84">
        <v>0.41458354166666656</v>
      </c>
      <c r="T84">
        <v>0.47009724999999991</v>
      </c>
      <c r="U84">
        <v>0.52511345833333334</v>
      </c>
      <c r="W84">
        <v>0.24816024999999992</v>
      </c>
      <c r="X84">
        <v>0.30224037499999995</v>
      </c>
      <c r="Y84">
        <v>0.35632049999999998</v>
      </c>
      <c r="Z84">
        <v>0.41040062499999985</v>
      </c>
      <c r="AA84">
        <v>0.46507774999999985</v>
      </c>
      <c r="AB84">
        <v>0.51925737500000002</v>
      </c>
      <c r="AD84" t="s">
        <v>685</v>
      </c>
      <c r="AE84" t="s">
        <v>1407</v>
      </c>
    </row>
    <row r="85" spans="2:31" x14ac:dyDescent="0.25">
      <c r="B85">
        <v>0.27792624999999987</v>
      </c>
      <c r="C85">
        <v>0.34688937500000006</v>
      </c>
      <c r="D85">
        <v>0.41585249999999996</v>
      </c>
      <c r="E85">
        <v>0.48481562499999997</v>
      </c>
      <c r="F85">
        <v>0.55437574999999994</v>
      </c>
      <c r="G85">
        <v>0.62343837500000021</v>
      </c>
      <c r="I85">
        <v>0.27627741666666672</v>
      </c>
      <c r="J85">
        <v>0.34441612500000002</v>
      </c>
      <c r="K85">
        <v>0.41255483333333326</v>
      </c>
      <c r="L85">
        <v>0.48069354166666656</v>
      </c>
      <c r="M85">
        <v>0.54942924999999987</v>
      </c>
      <c r="N85">
        <v>0.61766745833333347</v>
      </c>
      <c r="P85">
        <v>0.27461541666666661</v>
      </c>
      <c r="Q85">
        <v>0.34192312499999999</v>
      </c>
      <c r="R85">
        <v>0.40923083333333338</v>
      </c>
      <c r="S85">
        <v>0.47653854166666654</v>
      </c>
      <c r="T85">
        <v>0.54444324999999982</v>
      </c>
      <c r="U85">
        <v>0.61185045833333329</v>
      </c>
      <c r="W85">
        <v>0.27294224999999994</v>
      </c>
      <c r="X85">
        <v>0.33941337499999991</v>
      </c>
      <c r="Y85">
        <v>0.40588449999999998</v>
      </c>
      <c r="Z85">
        <v>0.47235562499999983</v>
      </c>
      <c r="AA85">
        <v>0.53942374999999976</v>
      </c>
      <c r="AB85">
        <v>0.60599437499999986</v>
      </c>
      <c r="AD85" t="s">
        <v>689</v>
      </c>
      <c r="AE85" t="s">
        <v>1412</v>
      </c>
    </row>
    <row r="86" spans="2:31" x14ac:dyDescent="0.25">
      <c r="B86">
        <v>0.13896312499999997</v>
      </c>
      <c r="C86">
        <v>0.17344468750000006</v>
      </c>
      <c r="D86">
        <v>0.20792625000000001</v>
      </c>
      <c r="E86">
        <v>0.24240781250000004</v>
      </c>
      <c r="F86">
        <v>0.27718787499999997</v>
      </c>
      <c r="G86">
        <v>0.31171918750000011</v>
      </c>
      <c r="I86">
        <v>0.13813870833333336</v>
      </c>
      <c r="J86">
        <v>0.17220806249999998</v>
      </c>
      <c r="K86">
        <v>0.20627741666666663</v>
      </c>
      <c r="L86">
        <v>0.24034677083333325</v>
      </c>
      <c r="M86">
        <v>0.27471462499999993</v>
      </c>
      <c r="N86">
        <v>0.30883372916666668</v>
      </c>
      <c r="P86">
        <v>0.13730770833333331</v>
      </c>
      <c r="Q86">
        <v>0.1709615625</v>
      </c>
      <c r="R86">
        <v>0.20461541666666669</v>
      </c>
      <c r="S86">
        <v>0.23826927083333324</v>
      </c>
      <c r="T86">
        <v>0.27222162499999991</v>
      </c>
      <c r="U86">
        <v>0.30592522916666665</v>
      </c>
      <c r="W86">
        <v>0.13647112499999997</v>
      </c>
      <c r="X86">
        <v>0.16970668749999995</v>
      </c>
      <c r="Y86">
        <v>0.20294224999999996</v>
      </c>
      <c r="Z86">
        <v>0.23617781249999992</v>
      </c>
      <c r="AA86">
        <v>0.26971187499999993</v>
      </c>
      <c r="AB86">
        <v>0.30299718749999999</v>
      </c>
      <c r="AD86" t="s">
        <v>692</v>
      </c>
      <c r="AE86" t="s">
        <v>1417</v>
      </c>
    </row>
    <row r="87" spans="2:31" x14ac:dyDescent="0.25">
      <c r="B87">
        <v>0</v>
      </c>
      <c r="C87">
        <v>0</v>
      </c>
      <c r="D87">
        <v>0</v>
      </c>
      <c r="E87">
        <v>0</v>
      </c>
      <c r="F87">
        <v>0</v>
      </c>
      <c r="G87">
        <v>0</v>
      </c>
      <c r="I87">
        <v>0</v>
      </c>
      <c r="J87">
        <v>0</v>
      </c>
      <c r="K87">
        <v>0</v>
      </c>
      <c r="L87">
        <v>0</v>
      </c>
      <c r="M87">
        <v>0</v>
      </c>
      <c r="N87">
        <v>0</v>
      </c>
      <c r="P87">
        <v>0</v>
      </c>
      <c r="Q87">
        <v>0</v>
      </c>
      <c r="R87">
        <v>0</v>
      </c>
      <c r="S87">
        <v>0</v>
      </c>
      <c r="T87">
        <v>0</v>
      </c>
      <c r="U87">
        <v>0</v>
      </c>
      <c r="W87">
        <v>0</v>
      </c>
      <c r="X87">
        <v>0</v>
      </c>
      <c r="Y87">
        <v>0</v>
      </c>
      <c r="Z87">
        <v>0</v>
      </c>
      <c r="AA87">
        <v>0</v>
      </c>
      <c r="AB87">
        <v>0</v>
      </c>
      <c r="AD87" t="s">
        <v>695</v>
      </c>
      <c r="AE87" t="s">
        <v>1424</v>
      </c>
    </row>
    <row r="88" spans="2:31" x14ac:dyDescent="0.25">
      <c r="B88">
        <v>0</v>
      </c>
      <c r="C88">
        <v>0</v>
      </c>
      <c r="D88">
        <v>0</v>
      </c>
      <c r="E88">
        <v>0</v>
      </c>
      <c r="F88">
        <v>0</v>
      </c>
      <c r="G88">
        <v>0</v>
      </c>
      <c r="I88">
        <v>0</v>
      </c>
      <c r="J88">
        <v>0</v>
      </c>
      <c r="K88">
        <v>0</v>
      </c>
      <c r="L88">
        <v>0</v>
      </c>
      <c r="M88">
        <v>0</v>
      </c>
      <c r="N88">
        <v>0</v>
      </c>
      <c r="P88">
        <v>0</v>
      </c>
      <c r="Q88">
        <v>0</v>
      </c>
      <c r="R88">
        <v>0</v>
      </c>
      <c r="S88">
        <v>0</v>
      </c>
      <c r="T88">
        <v>0</v>
      </c>
      <c r="U88">
        <v>0</v>
      </c>
      <c r="W88">
        <v>0</v>
      </c>
      <c r="X88">
        <v>0</v>
      </c>
      <c r="Y88">
        <v>0</v>
      </c>
      <c r="Z88">
        <v>0</v>
      </c>
      <c r="AA88">
        <v>0</v>
      </c>
      <c r="AB88">
        <v>0</v>
      </c>
      <c r="AD88" t="s">
        <v>698</v>
      </c>
      <c r="AE88" t="s">
        <v>1429</v>
      </c>
    </row>
    <row r="89" spans="2:31" x14ac:dyDescent="0.25">
      <c r="B89">
        <v>1.8310000000000004E-3</v>
      </c>
      <c r="C89">
        <v>2.7465000000000011E-3</v>
      </c>
      <c r="D89">
        <v>3.6620000000000008E-3</v>
      </c>
      <c r="E89">
        <v>4.5775000000000008E-3</v>
      </c>
      <c r="F89">
        <v>5.4930000000000005E-3</v>
      </c>
      <c r="G89">
        <v>6.408500000000001E-3</v>
      </c>
      <c r="I89">
        <v>1.8310000000000002E-3</v>
      </c>
      <c r="J89">
        <v>2.7465000000000015E-3</v>
      </c>
      <c r="K89">
        <v>3.6620000000000008E-3</v>
      </c>
      <c r="L89">
        <v>4.5775E-3</v>
      </c>
      <c r="M89">
        <v>5.4930000000000014E-3</v>
      </c>
      <c r="N89">
        <v>6.408500000000001E-3</v>
      </c>
      <c r="P89">
        <v>1.8310000000000002E-3</v>
      </c>
      <c r="Q89">
        <v>2.7465000000000011E-3</v>
      </c>
      <c r="R89">
        <v>3.6620000000000008E-3</v>
      </c>
      <c r="S89">
        <v>4.5775000000000017E-3</v>
      </c>
      <c r="T89">
        <v>5.4930000000000005E-3</v>
      </c>
      <c r="U89">
        <v>6.4085000000000027E-3</v>
      </c>
      <c r="W89">
        <v>1.8310000000000002E-3</v>
      </c>
      <c r="X89">
        <v>2.7465000000000007E-3</v>
      </c>
      <c r="Y89">
        <v>3.6620000000000003E-3</v>
      </c>
      <c r="Z89">
        <v>4.5775000000000008E-3</v>
      </c>
      <c r="AA89">
        <v>5.4930000000000005E-3</v>
      </c>
      <c r="AB89">
        <v>6.4085000000000027E-3</v>
      </c>
      <c r="AD89" t="s">
        <v>701</v>
      </c>
      <c r="AE89" t="s">
        <v>1435</v>
      </c>
    </row>
    <row r="90" spans="2:31" x14ac:dyDescent="0.25">
      <c r="B90">
        <v>0</v>
      </c>
      <c r="C90">
        <v>0</v>
      </c>
      <c r="D90">
        <v>0</v>
      </c>
      <c r="E90">
        <v>0</v>
      </c>
      <c r="F90">
        <v>0</v>
      </c>
      <c r="G90">
        <v>0</v>
      </c>
      <c r="I90">
        <v>0</v>
      </c>
      <c r="J90">
        <v>0</v>
      </c>
      <c r="K90">
        <v>0</v>
      </c>
      <c r="L90">
        <v>0</v>
      </c>
      <c r="M90">
        <v>0</v>
      </c>
      <c r="N90">
        <v>2.5777500000000002E-2</v>
      </c>
      <c r="P90">
        <v>0</v>
      </c>
      <c r="Q90">
        <v>0</v>
      </c>
      <c r="R90">
        <v>0</v>
      </c>
      <c r="S90">
        <v>1.8412499999999995E-2</v>
      </c>
      <c r="T90">
        <v>2.2094999999999997E-2</v>
      </c>
      <c r="U90">
        <v>2.5777500000000002E-2</v>
      </c>
      <c r="W90">
        <v>0</v>
      </c>
      <c r="X90">
        <v>0</v>
      </c>
      <c r="Y90">
        <v>1.4729999999999997E-2</v>
      </c>
      <c r="Z90">
        <v>1.8412499999999995E-2</v>
      </c>
      <c r="AA90">
        <v>2.2094999999999997E-2</v>
      </c>
      <c r="AB90">
        <v>2.5777500000000002E-2</v>
      </c>
      <c r="AD90" t="s">
        <v>705</v>
      </c>
      <c r="AE90" t="s">
        <v>1440</v>
      </c>
    </row>
    <row r="91" spans="2:31" x14ac:dyDescent="0.25">
      <c r="B91">
        <v>0.67049137499999989</v>
      </c>
      <c r="C91">
        <v>0.83073706250000035</v>
      </c>
      <c r="D91">
        <v>0.99098275000000002</v>
      </c>
      <c r="E91">
        <v>1.1512284375000001</v>
      </c>
      <c r="F91">
        <v>1.3129666249999998</v>
      </c>
      <c r="G91">
        <v>1.4734610625000004</v>
      </c>
      <c r="I91">
        <v>0.66636929166666681</v>
      </c>
      <c r="J91">
        <v>0.82455393749999994</v>
      </c>
      <c r="K91">
        <v>0.98273858333333319</v>
      </c>
      <c r="L91">
        <v>1.1409232291666664</v>
      </c>
      <c r="M91">
        <v>1.3006003749999999</v>
      </c>
      <c r="N91">
        <v>1.4590337708333336</v>
      </c>
      <c r="P91">
        <v>0.66221429166666645</v>
      </c>
      <c r="Q91">
        <v>0.81832143749999997</v>
      </c>
      <c r="R91">
        <v>0.97442858333333338</v>
      </c>
      <c r="S91">
        <v>1.1305357291666664</v>
      </c>
      <c r="T91">
        <v>1.2881353749999997</v>
      </c>
      <c r="U91">
        <v>1.4444912708333335</v>
      </c>
      <c r="W91">
        <v>0.65803137499999997</v>
      </c>
      <c r="X91">
        <v>0.81204706249999992</v>
      </c>
      <c r="Y91">
        <v>0.96606274999999997</v>
      </c>
      <c r="Z91">
        <v>1.1200784374999997</v>
      </c>
      <c r="AA91">
        <v>1.2755866249999996</v>
      </c>
      <c r="AB91">
        <v>1.4298510625</v>
      </c>
      <c r="AD91" t="s">
        <v>709</v>
      </c>
      <c r="AE91" t="s">
        <v>1444</v>
      </c>
    </row>
    <row r="92" spans="2:31" x14ac:dyDescent="0.25">
      <c r="B92">
        <v>0</v>
      </c>
      <c r="C92">
        <v>0</v>
      </c>
      <c r="D92">
        <v>0</v>
      </c>
      <c r="E92">
        <v>0</v>
      </c>
      <c r="F92">
        <v>0</v>
      </c>
      <c r="G92">
        <v>0</v>
      </c>
      <c r="I92">
        <v>0</v>
      </c>
      <c r="J92">
        <v>0</v>
      </c>
      <c r="K92">
        <v>0</v>
      </c>
      <c r="L92">
        <v>0</v>
      </c>
      <c r="M92">
        <v>0</v>
      </c>
      <c r="N92">
        <v>0</v>
      </c>
      <c r="P92">
        <v>0</v>
      </c>
      <c r="Q92">
        <v>0</v>
      </c>
      <c r="R92">
        <v>0</v>
      </c>
      <c r="S92">
        <v>0</v>
      </c>
      <c r="T92">
        <v>0</v>
      </c>
      <c r="U92">
        <v>0</v>
      </c>
      <c r="W92">
        <v>0</v>
      </c>
      <c r="X92">
        <v>0</v>
      </c>
      <c r="Y92">
        <v>0</v>
      </c>
      <c r="Z92">
        <v>0</v>
      </c>
      <c r="AA92">
        <v>0</v>
      </c>
      <c r="AB92">
        <v>0</v>
      </c>
      <c r="AD92" t="s">
        <v>712</v>
      </c>
      <c r="AE92" t="s">
        <v>1446</v>
      </c>
    </row>
    <row r="93" spans="2:31" x14ac:dyDescent="0.25">
      <c r="B93">
        <v>0.42</v>
      </c>
      <c r="C93">
        <v>0.42</v>
      </c>
      <c r="D93">
        <v>0.42</v>
      </c>
      <c r="E93">
        <v>0.42</v>
      </c>
      <c r="F93">
        <v>0.42</v>
      </c>
      <c r="G93">
        <v>0.42</v>
      </c>
      <c r="I93">
        <v>0.42</v>
      </c>
      <c r="J93">
        <v>0.42</v>
      </c>
      <c r="K93">
        <v>0.42</v>
      </c>
      <c r="L93">
        <v>0.42</v>
      </c>
      <c r="M93">
        <v>0.42</v>
      </c>
      <c r="N93">
        <v>0.42</v>
      </c>
      <c r="P93">
        <v>0.42</v>
      </c>
      <c r="Q93">
        <v>0.42</v>
      </c>
      <c r="R93">
        <v>0.42</v>
      </c>
      <c r="S93">
        <v>0.42</v>
      </c>
      <c r="T93">
        <v>0.42</v>
      </c>
      <c r="U93">
        <v>0.42</v>
      </c>
      <c r="W93">
        <v>0.42</v>
      </c>
      <c r="X93">
        <v>0.42</v>
      </c>
      <c r="Y93">
        <v>0.42</v>
      </c>
      <c r="Z93">
        <v>0.42</v>
      </c>
      <c r="AA93">
        <v>0.42</v>
      </c>
      <c r="AB93">
        <v>0.42</v>
      </c>
      <c r="AD93" t="s">
        <v>254</v>
      </c>
      <c r="AE93" s="60" t="s">
        <v>1450</v>
      </c>
    </row>
    <row r="94" spans="2:31" x14ac:dyDescent="0.25">
      <c r="B94">
        <v>9.2998625000000001E-2</v>
      </c>
      <c r="C94">
        <v>0.10449793750000005</v>
      </c>
      <c r="D94">
        <v>0.11599725000000004</v>
      </c>
      <c r="E94">
        <v>0.12749656250000005</v>
      </c>
      <c r="F94">
        <v>0.13869737499999996</v>
      </c>
      <c r="G94">
        <v>0.1501469375000001</v>
      </c>
      <c r="I94">
        <v>8.7222708333333343E-2</v>
      </c>
      <c r="J94">
        <v>9.5834062499999997E-2</v>
      </c>
      <c r="K94">
        <v>0.10444541666666671</v>
      </c>
      <c r="L94">
        <v>0.11305677083333342</v>
      </c>
      <c r="M94">
        <v>0.12136962500000005</v>
      </c>
      <c r="N94">
        <v>0.29897072916666678</v>
      </c>
      <c r="P94">
        <v>8.1405708333333354E-2</v>
      </c>
      <c r="Q94">
        <v>8.7108562499999972E-2</v>
      </c>
      <c r="R94">
        <v>9.281141666666673E-2</v>
      </c>
      <c r="S94">
        <v>0.21726677083333326</v>
      </c>
      <c r="T94">
        <v>0.24880962499999992</v>
      </c>
      <c r="U94">
        <v>0.27861122916666664</v>
      </c>
      <c r="W94">
        <v>7.5549625000000037E-2</v>
      </c>
      <c r="X94">
        <v>7.8324437499999983E-2</v>
      </c>
      <c r="Y94">
        <v>0.17610124999999996</v>
      </c>
      <c r="Z94">
        <v>0.20262656249999997</v>
      </c>
      <c r="AA94">
        <v>0.23124137499999994</v>
      </c>
      <c r="AB94">
        <v>0.25811493749999997</v>
      </c>
      <c r="AD94" t="s">
        <v>718</v>
      </c>
      <c r="AE94" s="73" t="s">
        <v>1453</v>
      </c>
    </row>
    <row r="95" spans="2:31" x14ac:dyDescent="0.25">
      <c r="B95">
        <v>1.1966999999999997E-2</v>
      </c>
      <c r="C95">
        <v>1.7950500000000005E-2</v>
      </c>
      <c r="D95">
        <v>2.3933999999999993E-2</v>
      </c>
      <c r="E95">
        <v>2.9917499999999989E-2</v>
      </c>
      <c r="F95">
        <v>3.5900999999999995E-2</v>
      </c>
      <c r="G95">
        <v>4.1884500000000012E-2</v>
      </c>
      <c r="I95">
        <v>1.1966999999999997E-2</v>
      </c>
      <c r="J95">
        <v>1.7950500000000005E-2</v>
      </c>
      <c r="K95">
        <v>2.3933999999999993E-2</v>
      </c>
      <c r="L95">
        <v>2.9917499999999989E-2</v>
      </c>
      <c r="M95">
        <v>3.5900999999999995E-2</v>
      </c>
      <c r="N95">
        <v>4.1884500000000012E-2</v>
      </c>
      <c r="P95">
        <v>1.1966999999999997E-2</v>
      </c>
      <c r="Q95">
        <v>1.7950500000000005E-2</v>
      </c>
      <c r="R95">
        <v>2.3933999999999993E-2</v>
      </c>
      <c r="S95">
        <v>2.9917499999999989E-2</v>
      </c>
      <c r="T95">
        <v>3.5900999999999988E-2</v>
      </c>
      <c r="U95">
        <v>4.1884499999999998E-2</v>
      </c>
      <c r="W95">
        <v>1.1966999999999997E-2</v>
      </c>
      <c r="X95">
        <v>1.7950500000000001E-2</v>
      </c>
      <c r="Y95">
        <v>2.3933999999999997E-2</v>
      </c>
      <c r="Z95">
        <v>2.9917499999999989E-2</v>
      </c>
      <c r="AA95">
        <v>3.5900999999999995E-2</v>
      </c>
      <c r="AB95">
        <v>4.1884500000000005E-2</v>
      </c>
      <c r="AD95" t="s">
        <v>722</v>
      </c>
      <c r="AE95" s="60" t="s">
        <v>1456</v>
      </c>
    </row>
    <row r="96" spans="2:31" x14ac:dyDescent="0.25">
      <c r="B96">
        <v>-1.9718922434607445E-30</v>
      </c>
      <c r="C96">
        <v>6.5729741448691481E-31</v>
      </c>
      <c r="D96">
        <v>-3.943784486921489E-30</v>
      </c>
      <c r="E96">
        <v>-1.3145948289738296E-30</v>
      </c>
      <c r="F96">
        <v>1.1472827598317058E-29</v>
      </c>
      <c r="G96">
        <v>8.3656034571061892E-31</v>
      </c>
      <c r="I96">
        <v>-3.286487072434574E-31</v>
      </c>
      <c r="J96">
        <v>-6.5729741448691481E-31</v>
      </c>
      <c r="K96">
        <v>-1.3145948289738296E-30</v>
      </c>
      <c r="L96">
        <v>0</v>
      </c>
      <c r="M96">
        <v>-1.4341034497896322E-30</v>
      </c>
      <c r="N96">
        <v>-1.3384965531369903E-29</v>
      </c>
      <c r="P96">
        <v>0</v>
      </c>
      <c r="Q96">
        <v>0</v>
      </c>
      <c r="R96">
        <v>-2.6291896579476592E-30</v>
      </c>
      <c r="S96">
        <v>-2.8682068995792645E-29</v>
      </c>
      <c r="T96">
        <v>-9.5606896652642159E-30</v>
      </c>
      <c r="U96">
        <v>-7.6485517322113724E-30</v>
      </c>
      <c r="W96">
        <v>-3.286487072434574E-31</v>
      </c>
      <c r="X96">
        <v>0</v>
      </c>
      <c r="Y96">
        <v>-2.2945655196634116E-29</v>
      </c>
      <c r="Z96">
        <v>-3.1311258653740304E-29</v>
      </c>
      <c r="AA96">
        <v>-7.6485517322113724E-30</v>
      </c>
      <c r="AB96">
        <v>-1.5297103464422745E-29</v>
      </c>
      <c r="AD96" t="s">
        <v>726</v>
      </c>
      <c r="AE96" t="s">
        <v>1461</v>
      </c>
    </row>
    <row r="97" spans="2:31" x14ac:dyDescent="0.25">
      <c r="B97">
        <v>0</v>
      </c>
      <c r="C97">
        <v>0</v>
      </c>
      <c r="D97">
        <v>0</v>
      </c>
      <c r="E97">
        <v>0</v>
      </c>
      <c r="F97">
        <v>0</v>
      </c>
      <c r="G97">
        <v>0</v>
      </c>
      <c r="I97">
        <v>0</v>
      </c>
      <c r="J97">
        <v>0</v>
      </c>
      <c r="K97">
        <v>0</v>
      </c>
      <c r="L97">
        <v>0</v>
      </c>
      <c r="M97">
        <v>0</v>
      </c>
      <c r="N97">
        <v>0</v>
      </c>
      <c r="P97">
        <v>0</v>
      </c>
      <c r="Q97">
        <v>0</v>
      </c>
      <c r="R97">
        <v>0</v>
      </c>
      <c r="S97">
        <v>0</v>
      </c>
      <c r="T97">
        <v>0</v>
      </c>
      <c r="U97">
        <v>0</v>
      </c>
      <c r="W97">
        <v>0</v>
      </c>
      <c r="X97">
        <v>0</v>
      </c>
      <c r="Y97">
        <v>0</v>
      </c>
      <c r="Z97">
        <v>0</v>
      </c>
      <c r="AA97">
        <v>0</v>
      </c>
      <c r="AB97">
        <v>0</v>
      </c>
      <c r="AD97" t="s">
        <v>729</v>
      </c>
      <c r="AE97" t="s">
        <v>1465</v>
      </c>
    </row>
    <row r="98" spans="2:31" x14ac:dyDescent="0.25">
      <c r="B98">
        <v>0</v>
      </c>
      <c r="C98">
        <v>0</v>
      </c>
      <c r="D98">
        <v>0</v>
      </c>
      <c r="E98">
        <v>0</v>
      </c>
      <c r="F98">
        <v>0</v>
      </c>
      <c r="G98">
        <v>0</v>
      </c>
      <c r="I98">
        <v>0</v>
      </c>
      <c r="J98">
        <v>0</v>
      </c>
      <c r="K98">
        <v>0</v>
      </c>
      <c r="L98">
        <v>0</v>
      </c>
      <c r="M98">
        <v>0</v>
      </c>
      <c r="N98">
        <v>0</v>
      </c>
      <c r="P98">
        <v>0</v>
      </c>
      <c r="Q98">
        <v>0</v>
      </c>
      <c r="R98">
        <v>0</v>
      </c>
      <c r="S98">
        <v>0</v>
      </c>
      <c r="T98">
        <v>0</v>
      </c>
      <c r="U98">
        <v>0</v>
      </c>
      <c r="W98">
        <v>0</v>
      </c>
      <c r="X98">
        <v>0</v>
      </c>
      <c r="Y98">
        <v>0</v>
      </c>
      <c r="Z98">
        <v>0</v>
      </c>
      <c r="AA98">
        <v>0</v>
      </c>
      <c r="AB98">
        <v>0</v>
      </c>
      <c r="AD98" t="s">
        <v>733</v>
      </c>
      <c r="AE98" t="s">
        <v>1469</v>
      </c>
    </row>
    <row r="99" spans="2:31" x14ac:dyDescent="0.25">
      <c r="B99">
        <v>0</v>
      </c>
      <c r="C99">
        <v>0</v>
      </c>
      <c r="D99">
        <v>0</v>
      </c>
      <c r="E99">
        <v>0</v>
      </c>
      <c r="F99">
        <v>0</v>
      </c>
      <c r="G99">
        <v>0</v>
      </c>
      <c r="I99">
        <v>0</v>
      </c>
      <c r="J99">
        <v>0</v>
      </c>
      <c r="K99">
        <v>0</v>
      </c>
      <c r="L99">
        <v>0</v>
      </c>
      <c r="M99">
        <v>0</v>
      </c>
      <c r="N99">
        <v>0</v>
      </c>
      <c r="P99">
        <v>0</v>
      </c>
      <c r="Q99">
        <v>0</v>
      </c>
      <c r="R99">
        <v>0</v>
      </c>
      <c r="S99">
        <v>0</v>
      </c>
      <c r="T99">
        <v>0</v>
      </c>
      <c r="U99">
        <v>0</v>
      </c>
      <c r="W99">
        <v>0</v>
      </c>
      <c r="X99">
        <v>0</v>
      </c>
      <c r="Y99">
        <v>0</v>
      </c>
      <c r="Z99">
        <v>0</v>
      </c>
      <c r="AA99">
        <v>0</v>
      </c>
      <c r="AB99">
        <v>0</v>
      </c>
      <c r="AD99" t="s">
        <v>737</v>
      </c>
      <c r="AE99" t="s">
        <v>1473</v>
      </c>
    </row>
    <row r="100" spans="2:31" x14ac:dyDescent="0.25">
      <c r="B100">
        <v>0</v>
      </c>
      <c r="C100">
        <v>0</v>
      </c>
      <c r="D100">
        <v>0</v>
      </c>
      <c r="E100">
        <v>0</v>
      </c>
      <c r="F100">
        <v>0</v>
      </c>
      <c r="G100">
        <v>0</v>
      </c>
      <c r="I100">
        <v>0</v>
      </c>
      <c r="J100">
        <v>0</v>
      </c>
      <c r="K100">
        <v>0</v>
      </c>
      <c r="L100">
        <v>0</v>
      </c>
      <c r="M100">
        <v>0</v>
      </c>
      <c r="N100">
        <v>0</v>
      </c>
      <c r="P100">
        <v>0</v>
      </c>
      <c r="Q100">
        <v>0</v>
      </c>
      <c r="R100">
        <v>0</v>
      </c>
      <c r="S100">
        <v>0</v>
      </c>
      <c r="T100">
        <v>0</v>
      </c>
      <c r="U100">
        <v>0</v>
      </c>
      <c r="W100">
        <v>0</v>
      </c>
      <c r="X100">
        <v>0</v>
      </c>
      <c r="Y100">
        <v>0</v>
      </c>
      <c r="Z100">
        <v>0</v>
      </c>
      <c r="AA100">
        <v>0</v>
      </c>
      <c r="AB100">
        <v>0</v>
      </c>
      <c r="AD100" t="s">
        <v>741</v>
      </c>
      <c r="AE100" t="s">
        <v>1476</v>
      </c>
    </row>
    <row r="101" spans="2:31" x14ac:dyDescent="0.25">
      <c r="B101">
        <v>0</v>
      </c>
      <c r="C101">
        <v>0</v>
      </c>
      <c r="D101">
        <v>0</v>
      </c>
      <c r="E101">
        <v>0</v>
      </c>
      <c r="F101">
        <v>0</v>
      </c>
      <c r="G101">
        <v>0</v>
      </c>
      <c r="I101">
        <v>0</v>
      </c>
      <c r="J101">
        <v>0</v>
      </c>
      <c r="K101">
        <v>0</v>
      </c>
      <c r="L101">
        <v>0</v>
      </c>
      <c r="M101">
        <v>0</v>
      </c>
      <c r="N101">
        <v>0</v>
      </c>
      <c r="P101">
        <v>0</v>
      </c>
      <c r="Q101">
        <v>0</v>
      </c>
      <c r="R101">
        <v>0</v>
      </c>
      <c r="S101">
        <v>0</v>
      </c>
      <c r="T101">
        <v>0</v>
      </c>
      <c r="U101">
        <v>0</v>
      </c>
      <c r="W101">
        <v>0</v>
      </c>
      <c r="X101">
        <v>0</v>
      </c>
      <c r="Y101">
        <v>0</v>
      </c>
      <c r="Z101">
        <v>0</v>
      </c>
      <c r="AA101">
        <v>0</v>
      </c>
      <c r="AB101">
        <v>0</v>
      </c>
      <c r="AD101" t="s">
        <v>746</v>
      </c>
      <c r="AE101" t="s">
        <v>1480</v>
      </c>
    </row>
    <row r="102" spans="2:31" x14ac:dyDescent="0.25">
      <c r="B102">
        <v>0.260178625</v>
      </c>
      <c r="C102">
        <v>0.35526793750000007</v>
      </c>
      <c r="D102">
        <v>0.45035724999999999</v>
      </c>
      <c r="E102">
        <v>0.5454465624999999</v>
      </c>
      <c r="F102">
        <v>0.64620737500000003</v>
      </c>
      <c r="G102">
        <v>0.74224193750000012</v>
      </c>
      <c r="I102">
        <v>0.26430570833333333</v>
      </c>
      <c r="J102">
        <v>0.36145856250000002</v>
      </c>
      <c r="K102">
        <v>0.45861141666666644</v>
      </c>
      <c r="L102">
        <v>0.55576427083333313</v>
      </c>
      <c r="M102">
        <v>0.65858862500000004</v>
      </c>
      <c r="N102">
        <v>0.75668672916666724</v>
      </c>
      <c r="P102">
        <v>0.26846070833333341</v>
      </c>
      <c r="Q102">
        <v>0.36769106250000005</v>
      </c>
      <c r="R102">
        <v>0.4669214166666667</v>
      </c>
      <c r="S102">
        <v>0.56615177083333312</v>
      </c>
      <c r="T102">
        <v>0.67105362499999988</v>
      </c>
      <c r="U102">
        <v>0.77122922916666681</v>
      </c>
      <c r="W102">
        <v>0.272643625</v>
      </c>
      <c r="X102">
        <v>0.37396543750000005</v>
      </c>
      <c r="Y102">
        <v>0.47528724999999988</v>
      </c>
      <c r="Z102">
        <v>0.57660906249999999</v>
      </c>
      <c r="AA102">
        <v>0.68360237499999965</v>
      </c>
      <c r="AB102">
        <v>0.78586943750000005</v>
      </c>
      <c r="AD102" t="s">
        <v>751</v>
      </c>
      <c r="AE102" t="s">
        <v>1507</v>
      </c>
    </row>
    <row r="103" spans="2:31" x14ac:dyDescent="0.25">
      <c r="B103">
        <v>-0.38944224999999982</v>
      </c>
      <c r="C103">
        <v>-0.51416337500000031</v>
      </c>
      <c r="D103">
        <v>-0.63888449999999986</v>
      </c>
      <c r="E103">
        <v>-0.76360562500000029</v>
      </c>
      <c r="F103">
        <v>-0.89489374999999993</v>
      </c>
      <c r="G103">
        <v>-1.0207093750000007</v>
      </c>
      <c r="I103">
        <v>-0.38779341666666683</v>
      </c>
      <c r="J103">
        <v>-0.51169012499999988</v>
      </c>
      <c r="K103">
        <v>-0.63558683333333299</v>
      </c>
      <c r="L103">
        <v>-0.75948354166666621</v>
      </c>
      <c r="M103">
        <v>-0.88994724999999986</v>
      </c>
      <c r="N103">
        <v>-1.0149384583333341</v>
      </c>
      <c r="P103">
        <v>-0.3861314166666665</v>
      </c>
      <c r="Q103">
        <v>-0.50919712499999992</v>
      </c>
      <c r="R103">
        <v>-0.63226283333333333</v>
      </c>
      <c r="S103">
        <v>-0.75532854166666641</v>
      </c>
      <c r="T103">
        <v>-0.88496124999999981</v>
      </c>
      <c r="U103">
        <v>-1.0091214583333334</v>
      </c>
      <c r="W103">
        <v>-0.38445824999999995</v>
      </c>
      <c r="X103">
        <v>-0.50668737499999983</v>
      </c>
      <c r="Y103">
        <v>-0.62891649999999988</v>
      </c>
      <c r="Z103">
        <v>-0.75114562499999982</v>
      </c>
      <c r="AA103">
        <v>-0.87994174999999941</v>
      </c>
      <c r="AB103">
        <v>-1.003265375</v>
      </c>
      <c r="AD103" t="s">
        <v>756</v>
      </c>
      <c r="AE103" t="s">
        <v>1508</v>
      </c>
    </row>
    <row r="104" spans="2:31" x14ac:dyDescent="0.25">
      <c r="B104">
        <v>-7.2898000000000129E-2</v>
      </c>
      <c r="C104">
        <v>-0.10934700000000042</v>
      </c>
      <c r="D104">
        <v>-0.14579599999999951</v>
      </c>
      <c r="E104">
        <v>-0.18224499999999996</v>
      </c>
      <c r="F104">
        <v>-0.21988800000000031</v>
      </c>
      <c r="G104">
        <v>-0.25653599999999949</v>
      </c>
      <c r="I104">
        <v>-8.2797000000000107E-2</v>
      </c>
      <c r="J104">
        <v>-0.12419549999999956</v>
      </c>
      <c r="K104">
        <v>-0.16559400000000041</v>
      </c>
      <c r="L104">
        <v>-0.20699250000000052</v>
      </c>
      <c r="M104">
        <v>-0.24958500000000094</v>
      </c>
      <c r="N104">
        <v>-0.29118250000000023</v>
      </c>
      <c r="P104">
        <v>-9.2769000000000351E-2</v>
      </c>
      <c r="Q104">
        <v>-0.13915350000000012</v>
      </c>
      <c r="R104">
        <v>-0.18553800000000029</v>
      </c>
      <c r="S104">
        <v>-0.23192250000000028</v>
      </c>
      <c r="T104">
        <v>-0.27950100000000094</v>
      </c>
      <c r="U104">
        <v>-0.32608450000000105</v>
      </c>
      <c r="W104">
        <v>-0.10280800000000052</v>
      </c>
      <c r="X104">
        <v>-0.15421200000000035</v>
      </c>
      <c r="Y104">
        <v>-0.20561600000000002</v>
      </c>
      <c r="Z104">
        <v>-0.25702000000000097</v>
      </c>
      <c r="AA104">
        <v>-0.30961800000000061</v>
      </c>
      <c r="AB104">
        <v>-0.36122100000000107</v>
      </c>
      <c r="AD104" t="s">
        <v>760</v>
      </c>
      <c r="AE104" t="s">
        <v>1509</v>
      </c>
    </row>
    <row r="105" spans="2:31" x14ac:dyDescent="0.25">
      <c r="B105">
        <v>0.39914174999999996</v>
      </c>
      <c r="C105">
        <v>0.52871262500000016</v>
      </c>
      <c r="D105">
        <v>0.65828349999999991</v>
      </c>
      <c r="E105">
        <v>0.787854375</v>
      </c>
      <c r="F105">
        <v>0.92339524999999989</v>
      </c>
      <c r="G105">
        <v>1.0539611250000003</v>
      </c>
      <c r="I105">
        <v>0.40244441666666669</v>
      </c>
      <c r="J105">
        <v>0.53366662499999995</v>
      </c>
      <c r="K105">
        <v>0.66488883333333315</v>
      </c>
      <c r="L105">
        <v>0.79611104166666624</v>
      </c>
      <c r="M105">
        <v>0.93330324999999981</v>
      </c>
      <c r="N105">
        <v>1.065520458333334</v>
      </c>
      <c r="P105">
        <v>0.40576841666666663</v>
      </c>
      <c r="Q105">
        <v>0.53865262500000011</v>
      </c>
      <c r="R105">
        <v>0.67153683333333336</v>
      </c>
      <c r="S105">
        <v>0.80442104166666639</v>
      </c>
      <c r="T105">
        <v>0.94327524999999979</v>
      </c>
      <c r="U105">
        <v>1.0771544583333332</v>
      </c>
      <c r="W105">
        <v>0.40911474999999997</v>
      </c>
      <c r="X105">
        <v>0.54367212500000006</v>
      </c>
      <c r="Y105">
        <v>0.67822949999999982</v>
      </c>
      <c r="Z105">
        <v>0.8127868749999998</v>
      </c>
      <c r="AA105">
        <v>0.95331424999999959</v>
      </c>
      <c r="AB105">
        <v>1.0888666250000001</v>
      </c>
      <c r="AD105" t="s">
        <v>765</v>
      </c>
      <c r="AE105" t="s">
        <v>1510</v>
      </c>
    </row>
    <row r="106" spans="2:31" x14ac:dyDescent="0.25">
      <c r="B106">
        <v>0</v>
      </c>
      <c r="C106">
        <v>0</v>
      </c>
      <c r="D106">
        <v>0</v>
      </c>
      <c r="E106">
        <v>0</v>
      </c>
      <c r="F106">
        <v>0</v>
      </c>
      <c r="G106">
        <v>0</v>
      </c>
      <c r="I106">
        <v>0</v>
      </c>
      <c r="J106">
        <v>0</v>
      </c>
      <c r="K106">
        <v>0</v>
      </c>
      <c r="L106">
        <v>0</v>
      </c>
      <c r="M106">
        <v>0</v>
      </c>
      <c r="N106">
        <v>0</v>
      </c>
      <c r="P106">
        <v>0</v>
      </c>
      <c r="Q106">
        <v>0</v>
      </c>
      <c r="R106">
        <v>0</v>
      </c>
      <c r="S106">
        <v>0</v>
      </c>
      <c r="T106">
        <v>0</v>
      </c>
      <c r="U106">
        <v>0</v>
      </c>
      <c r="W106">
        <v>0</v>
      </c>
      <c r="X106">
        <v>0</v>
      </c>
      <c r="Y106">
        <v>0</v>
      </c>
      <c r="Z106">
        <v>0</v>
      </c>
      <c r="AA106">
        <v>0</v>
      </c>
      <c r="AB106">
        <v>0</v>
      </c>
      <c r="AD106" t="s">
        <v>770</v>
      </c>
      <c r="AE106" t="s">
        <v>1511</v>
      </c>
    </row>
    <row r="107" spans="2:31" x14ac:dyDescent="0.25">
      <c r="B107">
        <v>0</v>
      </c>
      <c r="C107">
        <v>0</v>
      </c>
      <c r="D107">
        <v>0</v>
      </c>
      <c r="E107">
        <v>0</v>
      </c>
      <c r="F107">
        <v>0</v>
      </c>
      <c r="G107">
        <v>0</v>
      </c>
      <c r="I107">
        <v>0</v>
      </c>
      <c r="J107">
        <v>0</v>
      </c>
      <c r="K107">
        <v>0</v>
      </c>
      <c r="L107">
        <v>0</v>
      </c>
      <c r="M107">
        <v>0</v>
      </c>
      <c r="N107">
        <v>0</v>
      </c>
      <c r="P107">
        <v>0</v>
      </c>
      <c r="Q107">
        <v>0</v>
      </c>
      <c r="R107">
        <v>0</v>
      </c>
      <c r="S107">
        <v>0</v>
      </c>
      <c r="T107">
        <v>0</v>
      </c>
      <c r="U107">
        <v>0</v>
      </c>
      <c r="W107">
        <v>0</v>
      </c>
      <c r="X107">
        <v>0</v>
      </c>
      <c r="Y107">
        <v>0</v>
      </c>
      <c r="Z107">
        <v>0</v>
      </c>
      <c r="AA107">
        <v>0</v>
      </c>
      <c r="AB107">
        <v>0</v>
      </c>
      <c r="AD107" t="s">
        <v>774</v>
      </c>
      <c r="AE107" t="s">
        <v>1512</v>
      </c>
    </row>
    <row r="108" spans="2:31" x14ac:dyDescent="0.25">
      <c r="B108">
        <v>8.7429999999999643E-3</v>
      </c>
      <c r="C108">
        <v>1.3114500000000168E-2</v>
      </c>
      <c r="D108">
        <v>1.7486000000000116E-2</v>
      </c>
      <c r="E108">
        <v>2.1857500000000068E-2</v>
      </c>
      <c r="F108">
        <v>2.6228999999999975E-2</v>
      </c>
      <c r="G108">
        <v>3.0600500000000117E-2</v>
      </c>
      <c r="I108">
        <v>8.743000000000058E-3</v>
      </c>
      <c r="J108">
        <v>1.3114499999999934E-2</v>
      </c>
      <c r="K108">
        <v>1.7485999999999918E-2</v>
      </c>
      <c r="L108">
        <v>2.1857500000000026E-2</v>
      </c>
      <c r="M108">
        <v>2.6229000000000075E-2</v>
      </c>
      <c r="N108">
        <v>3.0600499999999989E-2</v>
      </c>
      <c r="P108">
        <v>8.7429999999999904E-3</v>
      </c>
      <c r="Q108">
        <v>1.3114500000000031E-2</v>
      </c>
      <c r="R108">
        <v>1.7486000000000064E-2</v>
      </c>
      <c r="S108">
        <v>2.1857499999999887E-2</v>
      </c>
      <c r="T108">
        <v>2.6228999999999992E-2</v>
      </c>
      <c r="U108">
        <v>3.0600500000000121E-2</v>
      </c>
      <c r="W108">
        <v>8.7430000000000337E-3</v>
      </c>
      <c r="X108">
        <v>1.311449999999996E-2</v>
      </c>
      <c r="Y108">
        <v>1.7485999999999946E-2</v>
      </c>
      <c r="Z108">
        <v>2.1857499999999926E-2</v>
      </c>
      <c r="AA108">
        <v>2.6228999999999926E-2</v>
      </c>
      <c r="AB108">
        <v>3.060050000000003E-2</v>
      </c>
      <c r="AD108" t="s">
        <v>778</v>
      </c>
      <c r="AE108" t="s">
        <v>1513</v>
      </c>
    </row>
    <row r="109" spans="2:31" x14ac:dyDescent="0.25">
      <c r="B109">
        <v>0</v>
      </c>
      <c r="C109">
        <v>0</v>
      </c>
      <c r="D109">
        <v>0</v>
      </c>
      <c r="E109">
        <v>0</v>
      </c>
      <c r="F109">
        <v>0</v>
      </c>
      <c r="G109">
        <v>0</v>
      </c>
      <c r="I109">
        <v>0</v>
      </c>
      <c r="J109">
        <v>0</v>
      </c>
      <c r="K109">
        <v>0</v>
      </c>
      <c r="L109">
        <v>0</v>
      </c>
      <c r="M109">
        <v>0</v>
      </c>
      <c r="N109">
        <v>0</v>
      </c>
      <c r="P109">
        <v>0</v>
      </c>
      <c r="Q109">
        <v>0</v>
      </c>
      <c r="R109">
        <v>0</v>
      </c>
      <c r="S109">
        <v>0</v>
      </c>
      <c r="T109">
        <v>0</v>
      </c>
      <c r="U109">
        <v>0</v>
      </c>
      <c r="W109">
        <v>0</v>
      </c>
      <c r="X109">
        <v>0</v>
      </c>
      <c r="Y109">
        <v>0</v>
      </c>
      <c r="Z109">
        <v>0</v>
      </c>
      <c r="AA109">
        <v>0</v>
      </c>
      <c r="AB109">
        <v>0</v>
      </c>
      <c r="AD109" t="s">
        <v>781</v>
      </c>
      <c r="AE109" t="s">
        <v>1514</v>
      </c>
    </row>
    <row r="110" spans="2:31" x14ac:dyDescent="0.25">
      <c r="B110">
        <v>0</v>
      </c>
      <c r="C110">
        <v>0</v>
      </c>
      <c r="D110">
        <v>0</v>
      </c>
      <c r="E110">
        <v>0</v>
      </c>
      <c r="F110">
        <v>0</v>
      </c>
      <c r="G110">
        <v>0</v>
      </c>
      <c r="I110">
        <v>0</v>
      </c>
      <c r="J110">
        <v>0</v>
      </c>
      <c r="K110">
        <v>0</v>
      </c>
      <c r="L110">
        <v>0</v>
      </c>
      <c r="M110">
        <v>0</v>
      </c>
      <c r="N110">
        <v>0</v>
      </c>
      <c r="P110">
        <v>0</v>
      </c>
      <c r="Q110">
        <v>0</v>
      </c>
      <c r="R110">
        <v>0</v>
      </c>
      <c r="S110">
        <v>0</v>
      </c>
      <c r="T110">
        <v>0</v>
      </c>
      <c r="U110">
        <v>0</v>
      </c>
      <c r="W110">
        <v>0</v>
      </c>
      <c r="X110">
        <v>0</v>
      </c>
      <c r="Y110">
        <v>0</v>
      </c>
      <c r="Z110">
        <v>0</v>
      </c>
      <c r="AA110">
        <v>0</v>
      </c>
      <c r="AB110">
        <v>0</v>
      </c>
      <c r="AD110" t="s">
        <v>785</v>
      </c>
      <c r="AE110" t="s">
        <v>1515</v>
      </c>
    </row>
    <row r="111" spans="2:31" x14ac:dyDescent="0.25">
      <c r="B111">
        <v>0</v>
      </c>
      <c r="C111">
        <v>0</v>
      </c>
      <c r="D111">
        <v>0</v>
      </c>
      <c r="E111">
        <v>0</v>
      </c>
      <c r="F111">
        <v>0</v>
      </c>
      <c r="G111">
        <v>0</v>
      </c>
      <c r="I111">
        <v>0</v>
      </c>
      <c r="J111">
        <v>0</v>
      </c>
      <c r="K111">
        <v>0</v>
      </c>
      <c r="L111">
        <v>0</v>
      </c>
      <c r="M111">
        <v>0</v>
      </c>
      <c r="N111">
        <v>0</v>
      </c>
      <c r="P111">
        <v>0</v>
      </c>
      <c r="Q111">
        <v>0</v>
      </c>
      <c r="R111">
        <v>0</v>
      </c>
      <c r="S111">
        <v>0</v>
      </c>
      <c r="T111">
        <v>0</v>
      </c>
      <c r="U111">
        <v>0</v>
      </c>
      <c r="W111">
        <v>0</v>
      </c>
      <c r="X111">
        <v>0</v>
      </c>
      <c r="Y111">
        <v>0</v>
      </c>
      <c r="Z111">
        <v>0</v>
      </c>
      <c r="AA111">
        <v>0</v>
      </c>
      <c r="AB111">
        <v>0</v>
      </c>
      <c r="AD111" t="s">
        <v>788</v>
      </c>
      <c r="AE111" s="60" t="s">
        <v>1516</v>
      </c>
    </row>
    <row r="112" spans="2:31" x14ac:dyDescent="0.25">
      <c r="B112">
        <v>1.1966999999999997E-2</v>
      </c>
      <c r="C112">
        <v>1.7950500000000001E-2</v>
      </c>
      <c r="D112">
        <v>2.3933999999999993E-2</v>
      </c>
      <c r="E112">
        <v>2.9917499999999989E-2</v>
      </c>
      <c r="F112">
        <v>3.5900999999999995E-2</v>
      </c>
      <c r="G112">
        <v>4.1884500000000005E-2</v>
      </c>
      <c r="I112">
        <v>1.1966999999999997E-2</v>
      </c>
      <c r="J112">
        <v>1.7950500000000001E-2</v>
      </c>
      <c r="K112">
        <v>2.3933999999999993E-2</v>
      </c>
      <c r="L112">
        <v>2.9917499999999989E-2</v>
      </c>
      <c r="M112">
        <v>3.5900999999999995E-2</v>
      </c>
      <c r="N112">
        <v>4.1884500000000012E-2</v>
      </c>
      <c r="P112">
        <v>1.1966999999999997E-2</v>
      </c>
      <c r="Q112">
        <v>1.7950500000000001E-2</v>
      </c>
      <c r="R112">
        <v>2.3933999999999993E-2</v>
      </c>
      <c r="S112">
        <v>2.9917499999999989E-2</v>
      </c>
      <c r="T112">
        <v>3.5900999999999988E-2</v>
      </c>
      <c r="U112">
        <v>4.1884499999999998E-2</v>
      </c>
      <c r="W112">
        <v>1.1966999999999997E-2</v>
      </c>
      <c r="X112">
        <v>1.7950499999999998E-2</v>
      </c>
      <c r="Y112">
        <v>2.3933999999999997E-2</v>
      </c>
      <c r="Z112">
        <v>2.9917499999999989E-2</v>
      </c>
      <c r="AA112">
        <v>3.5900999999999995E-2</v>
      </c>
      <c r="AB112">
        <v>4.1884500000000005E-2</v>
      </c>
      <c r="AD112" t="s">
        <v>792</v>
      </c>
      <c r="AE112" t="s">
        <v>1519</v>
      </c>
    </row>
    <row r="113" spans="2:31" x14ac:dyDescent="0.25">
      <c r="B113">
        <v>0</v>
      </c>
      <c r="C113">
        <v>0</v>
      </c>
      <c r="D113">
        <v>0</v>
      </c>
      <c r="E113">
        <v>0</v>
      </c>
      <c r="F113">
        <v>0</v>
      </c>
      <c r="G113">
        <v>0</v>
      </c>
      <c r="I113">
        <v>0</v>
      </c>
      <c r="J113">
        <v>0</v>
      </c>
      <c r="K113">
        <v>0</v>
      </c>
      <c r="L113">
        <v>0</v>
      </c>
      <c r="M113">
        <v>0</v>
      </c>
      <c r="N113">
        <v>0</v>
      </c>
      <c r="P113">
        <v>0</v>
      </c>
      <c r="Q113">
        <v>0</v>
      </c>
      <c r="R113">
        <v>0</v>
      </c>
      <c r="S113">
        <v>0</v>
      </c>
      <c r="T113">
        <v>0</v>
      </c>
      <c r="U113">
        <v>0</v>
      </c>
      <c r="W113">
        <v>0</v>
      </c>
      <c r="X113">
        <v>0</v>
      </c>
      <c r="Y113">
        <v>0</v>
      </c>
      <c r="Z113">
        <v>0</v>
      </c>
      <c r="AA113">
        <v>0</v>
      </c>
      <c r="AB113">
        <v>0</v>
      </c>
      <c r="AD113" t="s">
        <v>795</v>
      </c>
      <c r="AE113" t="s">
        <v>1520</v>
      </c>
    </row>
    <row r="114" spans="2:31" x14ac:dyDescent="0.25">
      <c r="B114">
        <v>0</v>
      </c>
      <c r="C114">
        <v>0</v>
      </c>
      <c r="D114">
        <v>0</v>
      </c>
      <c r="E114">
        <v>0</v>
      </c>
      <c r="F114">
        <v>0</v>
      </c>
      <c r="G114">
        <v>0</v>
      </c>
      <c r="I114">
        <v>0</v>
      </c>
      <c r="J114">
        <v>0</v>
      </c>
      <c r="K114">
        <v>0</v>
      </c>
      <c r="L114">
        <v>0</v>
      </c>
      <c r="M114">
        <v>0</v>
      </c>
      <c r="N114">
        <v>0</v>
      </c>
      <c r="P114">
        <v>0</v>
      </c>
      <c r="Q114">
        <v>0</v>
      </c>
      <c r="R114">
        <v>0</v>
      </c>
      <c r="S114">
        <v>0</v>
      </c>
      <c r="T114">
        <v>0</v>
      </c>
      <c r="U114">
        <v>0</v>
      </c>
      <c r="W114">
        <v>0</v>
      </c>
      <c r="X114">
        <v>0</v>
      </c>
      <c r="Y114">
        <v>0</v>
      </c>
      <c r="Z114">
        <v>0</v>
      </c>
      <c r="AA114">
        <v>0</v>
      </c>
      <c r="AB114">
        <v>0</v>
      </c>
      <c r="AD114" t="s">
        <v>798</v>
      </c>
      <c r="AE114" t="s">
        <v>1521</v>
      </c>
    </row>
    <row r="115" spans="2:31" x14ac:dyDescent="0.25">
      <c r="B115">
        <v>0</v>
      </c>
      <c r="C115">
        <v>0</v>
      </c>
      <c r="D115">
        <v>0</v>
      </c>
      <c r="E115">
        <v>0</v>
      </c>
      <c r="F115">
        <v>0</v>
      </c>
      <c r="G115">
        <v>0</v>
      </c>
      <c r="I115">
        <v>0</v>
      </c>
      <c r="J115">
        <v>0</v>
      </c>
      <c r="K115">
        <v>0</v>
      </c>
      <c r="L115">
        <v>0</v>
      </c>
      <c r="M115">
        <v>0</v>
      </c>
      <c r="N115">
        <v>0</v>
      </c>
      <c r="P115">
        <v>0</v>
      </c>
      <c r="Q115">
        <v>0</v>
      </c>
      <c r="R115">
        <v>0</v>
      </c>
      <c r="S115">
        <v>0</v>
      </c>
      <c r="T115">
        <v>0</v>
      </c>
      <c r="U115">
        <v>0</v>
      </c>
      <c r="W115">
        <v>0</v>
      </c>
      <c r="X115">
        <v>0</v>
      </c>
      <c r="Y115">
        <v>0</v>
      </c>
      <c r="Z115">
        <v>0</v>
      </c>
      <c r="AA115">
        <v>0</v>
      </c>
      <c r="AB115">
        <v>0</v>
      </c>
      <c r="AD115" t="s">
        <v>802</v>
      </c>
      <c r="AE115" t="s">
        <v>1523</v>
      </c>
    </row>
    <row r="116" spans="2:31" x14ac:dyDescent="0.25">
      <c r="B116">
        <v>-2.7185354590876298E-30</v>
      </c>
      <c r="C116">
        <v>-8.9849900766455557E-31</v>
      </c>
      <c r="D116">
        <v>-9.0428958054522959E-30</v>
      </c>
      <c r="E116">
        <v>-3.6170344667521857E-30</v>
      </c>
      <c r="F116">
        <v>-1.8430748875170372E-31</v>
      </c>
      <c r="G116">
        <v>0</v>
      </c>
      <c r="I116">
        <v>-2.2577667372083705E-30</v>
      </c>
      <c r="J116">
        <v>-2.2577667372083705E-30</v>
      </c>
      <c r="K116">
        <v>-7.2340689335043714E-30</v>
      </c>
      <c r="L116">
        <v>-3.6170344667521857E-30</v>
      </c>
      <c r="M116">
        <v>0</v>
      </c>
      <c r="N116">
        <v>-7.1879920613164446E-30</v>
      </c>
      <c r="P116">
        <v>9.2153744375851864E-31</v>
      </c>
      <c r="Q116">
        <v>-8.9849900766455557E-31</v>
      </c>
      <c r="R116">
        <v>-1.7969980153291111E-30</v>
      </c>
      <c r="S116">
        <v>-2.5250125958983411E-29</v>
      </c>
      <c r="T116">
        <v>-1.8430748875170373E-30</v>
      </c>
      <c r="U116">
        <v>1.6587673987653334E-30</v>
      </c>
      <c r="W116">
        <v>-1.3592677295438149E-30</v>
      </c>
      <c r="X116">
        <v>0</v>
      </c>
      <c r="Y116">
        <v>-1.9905208785184001E-29</v>
      </c>
      <c r="Z116">
        <v>-2.5434433447735113E-29</v>
      </c>
      <c r="AA116">
        <v>0</v>
      </c>
      <c r="AB116">
        <v>-3.6861497750340746E-30</v>
      </c>
      <c r="AD116" t="s">
        <v>805</v>
      </c>
      <c r="AE116" t="s">
        <v>1524</v>
      </c>
    </row>
    <row r="117" spans="2:31" x14ac:dyDescent="0.25">
      <c r="B117">
        <v>0</v>
      </c>
      <c r="C117">
        <v>0</v>
      </c>
      <c r="D117">
        <v>0</v>
      </c>
      <c r="E117">
        <v>0</v>
      </c>
      <c r="F117">
        <v>0</v>
      </c>
      <c r="G117">
        <v>0</v>
      </c>
      <c r="I117">
        <v>0</v>
      </c>
      <c r="J117">
        <v>0</v>
      </c>
      <c r="K117">
        <v>0</v>
      </c>
      <c r="L117">
        <v>0</v>
      </c>
      <c r="M117">
        <v>0</v>
      </c>
      <c r="N117">
        <v>0</v>
      </c>
      <c r="P117">
        <v>0</v>
      </c>
      <c r="Q117">
        <v>0</v>
      </c>
      <c r="R117">
        <v>0</v>
      </c>
      <c r="S117">
        <v>0</v>
      </c>
      <c r="T117">
        <v>0</v>
      </c>
      <c r="U117">
        <v>0</v>
      </c>
      <c r="W117">
        <v>0</v>
      </c>
      <c r="X117">
        <v>0</v>
      </c>
      <c r="Y117">
        <v>0</v>
      </c>
      <c r="Z117">
        <v>0</v>
      </c>
      <c r="AA117">
        <v>0</v>
      </c>
      <c r="AB117">
        <v>0</v>
      </c>
      <c r="AD117" t="s">
        <v>809</v>
      </c>
      <c r="AE117" t="s">
        <v>1526</v>
      </c>
    </row>
    <row r="118" spans="2:31" x14ac:dyDescent="0.25">
      <c r="B118">
        <v>0</v>
      </c>
      <c r="C118">
        <v>0</v>
      </c>
      <c r="D118">
        <v>0</v>
      </c>
      <c r="E118">
        <v>0</v>
      </c>
      <c r="F118">
        <v>0</v>
      </c>
      <c r="G118">
        <v>0</v>
      </c>
      <c r="I118">
        <v>0</v>
      </c>
      <c r="J118">
        <v>0</v>
      </c>
      <c r="K118">
        <v>0</v>
      </c>
      <c r="L118">
        <v>0</v>
      </c>
      <c r="M118">
        <v>0</v>
      </c>
      <c r="N118">
        <v>0</v>
      </c>
      <c r="P118">
        <v>0</v>
      </c>
      <c r="Q118">
        <v>0</v>
      </c>
      <c r="R118">
        <v>0</v>
      </c>
      <c r="S118">
        <v>0</v>
      </c>
      <c r="T118">
        <v>0</v>
      </c>
      <c r="U118">
        <v>0</v>
      </c>
      <c r="W118">
        <v>0</v>
      </c>
      <c r="X118">
        <v>0</v>
      </c>
      <c r="Y118">
        <v>0</v>
      </c>
      <c r="Z118">
        <v>0</v>
      </c>
      <c r="AA118">
        <v>0</v>
      </c>
      <c r="AB118">
        <v>0</v>
      </c>
      <c r="AD118" t="s">
        <v>813</v>
      </c>
      <c r="AE118" t="s">
        <v>1528</v>
      </c>
    </row>
    <row r="119" spans="2:31" x14ac:dyDescent="0.25">
      <c r="B119">
        <v>0</v>
      </c>
      <c r="C119">
        <v>0</v>
      </c>
      <c r="D119">
        <v>0</v>
      </c>
      <c r="E119">
        <v>0</v>
      </c>
      <c r="F119">
        <v>0</v>
      </c>
      <c r="G119">
        <v>0</v>
      </c>
      <c r="I119">
        <v>0</v>
      </c>
      <c r="J119">
        <v>0</v>
      </c>
      <c r="K119">
        <v>0</v>
      </c>
      <c r="L119">
        <v>0</v>
      </c>
      <c r="M119">
        <v>0</v>
      </c>
      <c r="N119">
        <v>0</v>
      </c>
      <c r="P119">
        <v>0</v>
      </c>
      <c r="Q119">
        <v>0</v>
      </c>
      <c r="R119">
        <v>0</v>
      </c>
      <c r="S119">
        <v>0</v>
      </c>
      <c r="T119">
        <v>0</v>
      </c>
      <c r="U119">
        <v>0</v>
      </c>
      <c r="W119">
        <v>0</v>
      </c>
      <c r="X119">
        <v>0</v>
      </c>
      <c r="Y119">
        <v>0</v>
      </c>
      <c r="Z119">
        <v>0</v>
      </c>
      <c r="AA119">
        <v>0</v>
      </c>
      <c r="AB119">
        <v>0</v>
      </c>
      <c r="AD119" t="s">
        <v>816</v>
      </c>
      <c r="AE119" t="s">
        <v>1529</v>
      </c>
    </row>
    <row r="120" spans="2:31" x14ac:dyDescent="0.25">
      <c r="B120">
        <v>0</v>
      </c>
      <c r="C120">
        <v>0</v>
      </c>
      <c r="D120">
        <v>0</v>
      </c>
      <c r="E120">
        <v>0</v>
      </c>
      <c r="F120">
        <v>0</v>
      </c>
      <c r="G120">
        <v>0</v>
      </c>
      <c r="I120">
        <v>0</v>
      </c>
      <c r="J120">
        <v>0</v>
      </c>
      <c r="K120">
        <v>0</v>
      </c>
      <c r="L120">
        <v>0</v>
      </c>
      <c r="M120">
        <v>0</v>
      </c>
      <c r="N120">
        <v>0</v>
      </c>
      <c r="P120">
        <v>0</v>
      </c>
      <c r="Q120">
        <v>0</v>
      </c>
      <c r="R120">
        <v>0</v>
      </c>
      <c r="S120">
        <v>0</v>
      </c>
      <c r="T120">
        <v>0</v>
      </c>
      <c r="U120">
        <v>0</v>
      </c>
      <c r="W120">
        <v>0</v>
      </c>
      <c r="X120">
        <v>0</v>
      </c>
      <c r="Y120">
        <v>0</v>
      </c>
      <c r="Z120">
        <v>0</v>
      </c>
      <c r="AA120">
        <v>0</v>
      </c>
      <c r="AB120">
        <v>0</v>
      </c>
      <c r="AD120" t="s">
        <v>820</v>
      </c>
      <c r="AE120" t="s">
        <v>1530</v>
      </c>
    </row>
    <row r="121" spans="2:31" x14ac:dyDescent="0.25">
      <c r="B121">
        <v>0</v>
      </c>
      <c r="C121">
        <v>0</v>
      </c>
      <c r="D121">
        <v>0</v>
      </c>
      <c r="E121">
        <v>0</v>
      </c>
      <c r="F121">
        <v>0</v>
      </c>
      <c r="G121">
        <v>0</v>
      </c>
      <c r="I121">
        <v>0</v>
      </c>
      <c r="J121">
        <v>0</v>
      </c>
      <c r="K121">
        <v>0</v>
      </c>
      <c r="L121">
        <v>0</v>
      </c>
      <c r="M121">
        <v>0</v>
      </c>
      <c r="N121">
        <v>0</v>
      </c>
      <c r="P121">
        <v>0</v>
      </c>
      <c r="Q121">
        <v>0</v>
      </c>
      <c r="R121">
        <v>0</v>
      </c>
      <c r="S121">
        <v>0</v>
      </c>
      <c r="T121">
        <v>0</v>
      </c>
      <c r="U121">
        <v>0</v>
      </c>
      <c r="W121">
        <v>0</v>
      </c>
      <c r="X121">
        <v>0</v>
      </c>
      <c r="Y121">
        <v>0</v>
      </c>
      <c r="Z121">
        <v>0</v>
      </c>
      <c r="AA121">
        <v>0</v>
      </c>
      <c r="AB121">
        <v>0</v>
      </c>
      <c r="AD121" t="s">
        <v>825</v>
      </c>
      <c r="AE121" t="s">
        <v>1531</v>
      </c>
    </row>
    <row r="122" spans="2:31" x14ac:dyDescent="0.25">
      <c r="B122">
        <v>-3.9800000000000002E-4</v>
      </c>
      <c r="C122">
        <v>-5.9700000000000009E-4</v>
      </c>
      <c r="D122">
        <v>-7.9600000000000005E-4</v>
      </c>
      <c r="E122">
        <v>-9.9500000000000001E-4</v>
      </c>
      <c r="F122">
        <v>0</v>
      </c>
      <c r="G122">
        <v>0</v>
      </c>
      <c r="I122">
        <v>-3.9800000000000002E-4</v>
      </c>
      <c r="J122">
        <v>-5.9700000000000009E-4</v>
      </c>
      <c r="K122">
        <v>-7.9600000000000005E-4</v>
      </c>
      <c r="L122">
        <v>-9.9500000000000001E-4</v>
      </c>
      <c r="M122">
        <v>0</v>
      </c>
      <c r="N122">
        <v>0</v>
      </c>
      <c r="P122">
        <v>-3.9800000000000002E-4</v>
      </c>
      <c r="Q122">
        <v>-5.9700000000000009E-4</v>
      </c>
      <c r="R122">
        <v>-7.9600000000000005E-4</v>
      </c>
      <c r="S122">
        <v>-9.9500000000000001E-4</v>
      </c>
      <c r="T122">
        <v>0</v>
      </c>
      <c r="U122">
        <v>0</v>
      </c>
      <c r="W122">
        <v>-3.9800000000000002E-4</v>
      </c>
      <c r="X122">
        <v>-5.9700000000000009E-4</v>
      </c>
      <c r="Y122">
        <v>-7.9600000000000005E-4</v>
      </c>
      <c r="Z122">
        <v>-9.9500000000000001E-4</v>
      </c>
      <c r="AA122">
        <v>0</v>
      </c>
      <c r="AB122">
        <v>0</v>
      </c>
      <c r="AD122" t="s">
        <v>829</v>
      </c>
      <c r="AE122" t="s">
        <v>1537</v>
      </c>
    </row>
    <row r="123" spans="2:31" x14ac:dyDescent="0.25">
      <c r="B123">
        <v>0</v>
      </c>
      <c r="C123">
        <v>0</v>
      </c>
      <c r="D123">
        <v>0</v>
      </c>
      <c r="E123">
        <v>0</v>
      </c>
      <c r="F123">
        <v>0</v>
      </c>
      <c r="G123">
        <v>0</v>
      </c>
      <c r="I123">
        <v>0</v>
      </c>
      <c r="J123">
        <v>0</v>
      </c>
      <c r="K123">
        <v>0</v>
      </c>
      <c r="L123">
        <v>0</v>
      </c>
      <c r="M123">
        <v>0</v>
      </c>
      <c r="N123">
        <v>0</v>
      </c>
      <c r="P123">
        <v>0</v>
      </c>
      <c r="Q123">
        <v>0</v>
      </c>
      <c r="R123">
        <v>0</v>
      </c>
      <c r="S123">
        <v>0</v>
      </c>
      <c r="T123">
        <v>0</v>
      </c>
      <c r="U123">
        <v>0</v>
      </c>
      <c r="W123">
        <v>0</v>
      </c>
      <c r="X123">
        <v>0</v>
      </c>
      <c r="Y123">
        <v>0</v>
      </c>
      <c r="Z123">
        <v>0</v>
      </c>
      <c r="AA123">
        <v>0</v>
      </c>
      <c r="AB123">
        <v>0</v>
      </c>
      <c r="AD123" t="s">
        <v>832</v>
      </c>
      <c r="AE123" t="s">
        <v>1538</v>
      </c>
    </row>
    <row r="124" spans="2:31" x14ac:dyDescent="0.25">
      <c r="B124">
        <v>0</v>
      </c>
      <c r="C124">
        <v>0</v>
      </c>
      <c r="D124">
        <v>0</v>
      </c>
      <c r="E124">
        <v>0</v>
      </c>
      <c r="F124">
        <v>0</v>
      </c>
      <c r="G124">
        <v>0</v>
      </c>
      <c r="I124">
        <v>0</v>
      </c>
      <c r="J124">
        <v>0</v>
      </c>
      <c r="K124">
        <v>0</v>
      </c>
      <c r="L124">
        <v>0</v>
      </c>
      <c r="M124">
        <v>0</v>
      </c>
      <c r="N124">
        <v>0</v>
      </c>
      <c r="P124">
        <v>0</v>
      </c>
      <c r="Q124">
        <v>0</v>
      </c>
      <c r="R124">
        <v>0</v>
      </c>
      <c r="S124">
        <v>0</v>
      </c>
      <c r="T124">
        <v>0</v>
      </c>
      <c r="U124">
        <v>0</v>
      </c>
      <c r="W124">
        <v>0</v>
      </c>
      <c r="X124">
        <v>0</v>
      </c>
      <c r="Y124">
        <v>0</v>
      </c>
      <c r="Z124">
        <v>0</v>
      </c>
      <c r="AA124">
        <v>0</v>
      </c>
      <c r="AB124">
        <v>0</v>
      </c>
      <c r="AD124" t="s">
        <v>837</v>
      </c>
      <c r="AE124" t="s">
        <v>1539</v>
      </c>
    </row>
    <row r="125" spans="2:31" x14ac:dyDescent="0.25">
      <c r="B125">
        <v>0.161771625</v>
      </c>
      <c r="C125">
        <v>0.20765743750000004</v>
      </c>
      <c r="D125">
        <v>0.25354325</v>
      </c>
      <c r="E125">
        <v>0.29942906249999995</v>
      </c>
      <c r="F125">
        <v>0.34621037500000001</v>
      </c>
      <c r="G125">
        <v>0.39224543750000024</v>
      </c>
      <c r="I125">
        <v>0.16589870833333334</v>
      </c>
      <c r="J125">
        <v>0.21384806249999999</v>
      </c>
      <c r="K125">
        <v>0.26179741666666667</v>
      </c>
      <c r="L125">
        <v>0.30974677083333335</v>
      </c>
      <c r="M125">
        <v>0.35859162500000002</v>
      </c>
      <c r="N125">
        <v>0.40669022916666686</v>
      </c>
      <c r="P125">
        <v>0.1700537083333333</v>
      </c>
      <c r="Q125">
        <v>0.22008056249999991</v>
      </c>
      <c r="R125">
        <v>0.27010741666666671</v>
      </c>
      <c r="S125">
        <v>0.32013427083333323</v>
      </c>
      <c r="T125">
        <v>0.37105662499999997</v>
      </c>
      <c r="U125">
        <v>0.42123272916666665</v>
      </c>
      <c r="W125">
        <v>0.17423662499999998</v>
      </c>
      <c r="X125">
        <v>0.22635493749999996</v>
      </c>
      <c r="Y125">
        <v>0.27847324999999995</v>
      </c>
      <c r="Z125">
        <v>0.33059156249999994</v>
      </c>
      <c r="AA125">
        <v>0.38360537500000008</v>
      </c>
      <c r="AB125">
        <v>0.43587293750000006</v>
      </c>
      <c r="AD125" t="s">
        <v>840</v>
      </c>
      <c r="AE125" t="s">
        <v>1540</v>
      </c>
    </row>
    <row r="126" spans="2:31" x14ac:dyDescent="0.25">
      <c r="B126">
        <v>6.7270000000000003E-3</v>
      </c>
      <c r="C126">
        <v>1.0090500000000001E-2</v>
      </c>
      <c r="D126">
        <v>1.3454000000000001E-2</v>
      </c>
      <c r="E126">
        <v>1.6817499999999999E-2</v>
      </c>
      <c r="F126">
        <v>2.0180999999999998E-2</v>
      </c>
      <c r="G126">
        <v>2.3544499999999999E-2</v>
      </c>
      <c r="I126">
        <v>6.7270000000000003E-3</v>
      </c>
      <c r="J126">
        <v>1.0090500000000001E-2</v>
      </c>
      <c r="K126">
        <v>1.3454000000000001E-2</v>
      </c>
      <c r="L126">
        <v>1.6817499999999999E-2</v>
      </c>
      <c r="M126">
        <v>2.0180999999999998E-2</v>
      </c>
      <c r="N126">
        <v>2.3544499999999999E-2</v>
      </c>
      <c r="P126">
        <v>6.7270000000000003E-3</v>
      </c>
      <c r="Q126">
        <v>1.0090500000000001E-2</v>
      </c>
      <c r="R126">
        <v>1.3454000000000001E-2</v>
      </c>
      <c r="S126">
        <v>1.6817499999999999E-2</v>
      </c>
      <c r="T126">
        <v>2.0180999999999998E-2</v>
      </c>
      <c r="U126">
        <v>2.3544499999999999E-2</v>
      </c>
      <c r="W126">
        <v>6.7270000000000003E-3</v>
      </c>
      <c r="X126">
        <v>1.0090500000000001E-2</v>
      </c>
      <c r="Y126">
        <v>1.3454000000000001E-2</v>
      </c>
      <c r="Z126">
        <v>1.6817499999999999E-2</v>
      </c>
      <c r="AA126">
        <v>2.0180999999999998E-2</v>
      </c>
      <c r="AB126">
        <v>2.3544499999999999E-2</v>
      </c>
      <c r="AD126" t="s">
        <v>844</v>
      </c>
      <c r="AE126" t="s">
        <v>1542</v>
      </c>
    </row>
    <row r="127" spans="2:31" x14ac:dyDescent="0.25">
      <c r="B127">
        <v>1.7027E-2</v>
      </c>
      <c r="C127">
        <v>2.5540500000000004E-2</v>
      </c>
      <c r="D127">
        <v>3.4054000000000001E-2</v>
      </c>
      <c r="E127">
        <v>4.2567500000000001E-2</v>
      </c>
      <c r="F127">
        <v>5.1081000000000001E-2</v>
      </c>
      <c r="G127">
        <v>5.9594500000000009E-2</v>
      </c>
      <c r="I127">
        <v>1.7027E-2</v>
      </c>
      <c r="J127">
        <v>2.5540500000000004E-2</v>
      </c>
      <c r="K127">
        <v>3.4054000000000001E-2</v>
      </c>
      <c r="L127">
        <v>4.2567500000000001E-2</v>
      </c>
      <c r="M127">
        <v>5.1081000000000001E-2</v>
      </c>
      <c r="N127">
        <v>5.9594500000000009E-2</v>
      </c>
      <c r="P127">
        <v>1.7027E-2</v>
      </c>
      <c r="Q127">
        <v>2.5540500000000004E-2</v>
      </c>
      <c r="R127">
        <v>3.4054000000000001E-2</v>
      </c>
      <c r="S127">
        <v>4.2567500000000001E-2</v>
      </c>
      <c r="T127">
        <v>5.1081000000000001E-2</v>
      </c>
      <c r="U127">
        <v>5.9594500000000009E-2</v>
      </c>
      <c r="W127">
        <v>1.7027E-2</v>
      </c>
      <c r="X127">
        <v>2.5540500000000004E-2</v>
      </c>
      <c r="Y127">
        <v>3.4054000000000001E-2</v>
      </c>
      <c r="Z127">
        <v>4.2567500000000001E-2</v>
      </c>
      <c r="AA127">
        <v>5.1081000000000001E-2</v>
      </c>
      <c r="AB127">
        <v>5.9594500000000009E-2</v>
      </c>
      <c r="AD127" t="s">
        <v>847</v>
      </c>
      <c r="AE127" t="s">
        <v>1544</v>
      </c>
    </row>
    <row r="128" spans="2:31" s="30" customFormat="1" x14ac:dyDescent="0.25">
      <c r="B128" s="30">
        <v>0.1</v>
      </c>
      <c r="C128" s="30">
        <v>0.15000000000000002</v>
      </c>
      <c r="D128" s="30">
        <v>0.2</v>
      </c>
      <c r="E128" s="30">
        <v>0.25</v>
      </c>
      <c r="F128" s="30">
        <v>0.3</v>
      </c>
      <c r="G128" s="30">
        <v>0.35000000000000003</v>
      </c>
      <c r="I128" s="30">
        <v>0.1</v>
      </c>
      <c r="J128" s="30">
        <v>0.15000000000000002</v>
      </c>
      <c r="K128" s="30">
        <v>0.2</v>
      </c>
      <c r="L128" s="30">
        <v>0.25</v>
      </c>
      <c r="M128" s="30">
        <v>0.3</v>
      </c>
      <c r="N128" s="30">
        <v>0.35000000000000003</v>
      </c>
      <c r="P128" s="30">
        <v>0.1</v>
      </c>
      <c r="Q128" s="30">
        <v>0.15000000000000002</v>
      </c>
      <c r="R128" s="30">
        <v>0.2</v>
      </c>
      <c r="S128" s="30">
        <v>0.25</v>
      </c>
      <c r="T128" s="30">
        <v>0.3</v>
      </c>
      <c r="U128" s="30">
        <v>0.35000000000000003</v>
      </c>
      <c r="W128" s="30">
        <v>0.1</v>
      </c>
      <c r="X128" s="30">
        <v>0.15000000000000002</v>
      </c>
      <c r="Y128" s="30">
        <v>0.2</v>
      </c>
      <c r="Z128" s="30">
        <v>0.25</v>
      </c>
      <c r="AA128" s="30">
        <v>0.3</v>
      </c>
      <c r="AB128" s="30">
        <v>0.35000000000000003</v>
      </c>
      <c r="AD128" s="30" t="s">
        <v>850</v>
      </c>
      <c r="AE128" s="91" t="s">
        <v>1613</v>
      </c>
    </row>
    <row r="129" spans="2:32" x14ac:dyDescent="0.25">
      <c r="B129">
        <v>-2.3983860449999996</v>
      </c>
      <c r="C129">
        <v>-3.2881790675000007</v>
      </c>
      <c r="D129">
        <v>-4.1779720899999999</v>
      </c>
      <c r="E129">
        <v>-5.0677651124999992</v>
      </c>
      <c r="F129">
        <v>-6.0124701949999997</v>
      </c>
      <c r="G129">
        <v>-6.9114152275</v>
      </c>
      <c r="I129">
        <v>-2.4348694616666666</v>
      </c>
      <c r="J129">
        <v>-3.3429041925000003</v>
      </c>
      <c r="K129">
        <v>-4.2509389233333303</v>
      </c>
      <c r="L129">
        <v>-5.1589736541666644</v>
      </c>
      <c r="M129">
        <v>-6.1219204450000007</v>
      </c>
      <c r="N129">
        <v>-7.0391071858333385</v>
      </c>
      <c r="P129">
        <v>-2.4715996616666676</v>
      </c>
      <c r="Q129">
        <v>-3.3979994925000008</v>
      </c>
      <c r="R129">
        <v>-4.3243993233333331</v>
      </c>
      <c r="S129">
        <v>-5.250799154166665</v>
      </c>
      <c r="T129">
        <v>-6.232111044999999</v>
      </c>
      <c r="U129">
        <v>-7.1676628858333347</v>
      </c>
      <c r="W129">
        <v>-2.5085766450000002</v>
      </c>
      <c r="X129">
        <v>-3.4534649675000004</v>
      </c>
      <c r="Y129">
        <v>-4.3983532899999984</v>
      </c>
      <c r="Z129">
        <v>-5.3432416125</v>
      </c>
      <c r="AA129">
        <v>-6.3430419949999965</v>
      </c>
      <c r="AB129">
        <v>-7.2970823275000001</v>
      </c>
      <c r="AD129" t="s">
        <v>292</v>
      </c>
      <c r="AE129" t="s">
        <v>1551</v>
      </c>
    </row>
    <row r="130" spans="2:32" x14ac:dyDescent="0.25">
      <c r="B130">
        <v>-7.3938156449999992</v>
      </c>
      <c r="C130">
        <v>-10.109323467500001</v>
      </c>
      <c r="D130">
        <v>-12.824831289999999</v>
      </c>
      <c r="E130">
        <v>-15.540339112499996</v>
      </c>
      <c r="F130">
        <v>-18.419651795000004</v>
      </c>
      <c r="G130">
        <v>-21.162460427500001</v>
      </c>
      <c r="I130">
        <v>-7.5095390616666657</v>
      </c>
      <c r="J130">
        <v>-10.2829085925</v>
      </c>
      <c r="K130">
        <v>-13.056278123333326</v>
      </c>
      <c r="L130">
        <v>-15.829647654166658</v>
      </c>
      <c r="M130">
        <v>-18.766822045000001</v>
      </c>
      <c r="N130">
        <v>-21.567492385833347</v>
      </c>
      <c r="P130">
        <v>-7.6260452616666683</v>
      </c>
      <c r="Q130">
        <v>-10.457667892500002</v>
      </c>
      <c r="R130">
        <v>-13.289290523333333</v>
      </c>
      <c r="S130">
        <v>-16.120913154166661</v>
      </c>
      <c r="T130">
        <v>-19.116340644999994</v>
      </c>
      <c r="U130">
        <v>-21.975264085833334</v>
      </c>
      <c r="W130">
        <v>-7.7433342449999998</v>
      </c>
      <c r="X130">
        <v>-10.633601367500001</v>
      </c>
      <c r="Y130">
        <v>-13.523868489999996</v>
      </c>
      <c r="Z130">
        <v>-16.414135612499997</v>
      </c>
      <c r="AA130">
        <v>-19.468207594999992</v>
      </c>
      <c r="AB130">
        <v>-22.385775527499998</v>
      </c>
      <c r="AD130" t="s">
        <v>293</v>
      </c>
      <c r="AE130" t="s">
        <v>1553</v>
      </c>
    </row>
    <row r="131" spans="2:32" x14ac:dyDescent="0.25">
      <c r="B131">
        <v>0.3843513278617719</v>
      </c>
      <c r="C131">
        <v>0.42221654184596941</v>
      </c>
      <c r="D131">
        <v>0.44409188483143108</v>
      </c>
      <c r="E131">
        <v>0.4583400413308133</v>
      </c>
      <c r="F131">
        <v>0.46424725499302755</v>
      </c>
      <c r="G131">
        <v>0.47154436083046031</v>
      </c>
      <c r="I131">
        <v>0.37834975502641593</v>
      </c>
      <c r="J131">
        <v>0.4149853276750084</v>
      </c>
      <c r="K131">
        <v>0.43609904318052872</v>
      </c>
      <c r="L131">
        <v>0.44983100411464183</v>
      </c>
      <c r="M131">
        <v>0.45551955896596297</v>
      </c>
      <c r="N131">
        <v>0.46254280207273107</v>
      </c>
      <c r="P131">
        <v>0.37249398849024606</v>
      </c>
      <c r="Q131">
        <v>0.40795117232418454</v>
      </c>
      <c r="R131">
        <v>0.42833760213397792</v>
      </c>
      <c r="S131">
        <v>0.44157770562479859</v>
      </c>
      <c r="T131">
        <v>0.4470581617080156</v>
      </c>
      <c r="U131">
        <v>0.45382097405486577</v>
      </c>
      <c r="W131">
        <v>0.36677916089180523</v>
      </c>
      <c r="X131">
        <v>0.40110658622028406</v>
      </c>
      <c r="Y131">
        <v>0.42079815942885079</v>
      </c>
      <c r="Z131">
        <v>0.43356932150194916</v>
      </c>
      <c r="AA131">
        <v>0.43885160580373955</v>
      </c>
      <c r="AB131">
        <v>0.44536660073385281</v>
      </c>
      <c r="AD131" s="30" t="s">
        <v>1614</v>
      </c>
      <c r="AE131" s="30"/>
      <c r="AF131" s="30"/>
    </row>
    <row r="132" spans="2:32" x14ac:dyDescent="0.25">
      <c r="B132">
        <v>1.5341066161757138</v>
      </c>
      <c r="C132">
        <v>1.488208107718699</v>
      </c>
      <c r="D132">
        <v>1.4616918013421565</v>
      </c>
      <c r="E132">
        <v>1.4444208272006485</v>
      </c>
      <c r="F132">
        <v>1.4289457002870012</v>
      </c>
      <c r="G132">
        <v>1.4199697857950799</v>
      </c>
      <c r="I132">
        <v>1.5226474645758219</v>
      </c>
      <c r="J132">
        <v>1.4764254616322718</v>
      </c>
      <c r="K132">
        <v>1.449786920190423</v>
      </c>
      <c r="L132">
        <v>1.4324617170386797</v>
      </c>
      <c r="M132">
        <v>1.4171262827383326</v>
      </c>
      <c r="N132">
        <v>1.4081394813237742</v>
      </c>
      <c r="P132">
        <v>1.511462959275387</v>
      </c>
      <c r="Q132">
        <v>1.4649597989616623</v>
      </c>
      <c r="R132">
        <v>1.4382223846732238</v>
      </c>
      <c r="S132">
        <v>1.4208575917419082</v>
      </c>
      <c r="T132">
        <v>1.4056629974988959</v>
      </c>
      <c r="U132">
        <v>1.3966722442524988</v>
      </c>
      <c r="W132">
        <v>1.5005476471346064</v>
      </c>
      <c r="X132">
        <v>1.4538031338791837</v>
      </c>
      <c r="Y132">
        <v>1.4269886263517484</v>
      </c>
      <c r="Z132">
        <v>1.409597815677758</v>
      </c>
      <c r="AA132">
        <v>1.3945449648269581</v>
      </c>
      <c r="AB132">
        <v>1.385556649796551</v>
      </c>
      <c r="AD132" t="s">
        <v>1615</v>
      </c>
    </row>
    <row r="133" spans="2:32" x14ac:dyDescent="0.25">
      <c r="B133">
        <v>0.62177138879106619</v>
      </c>
      <c r="C133">
        <v>0.58450936766563688</v>
      </c>
      <c r="D133">
        <v>0.5629824988939337</v>
      </c>
      <c r="E133">
        <v>0.54896131552758665</v>
      </c>
      <c r="F133">
        <v>0.5357573874795224</v>
      </c>
      <c r="G133">
        <v>0.52846035461314822</v>
      </c>
      <c r="I133">
        <v>0.62767735657115487</v>
      </c>
      <c r="J133">
        <v>0.59162538859485447</v>
      </c>
      <c r="K133">
        <v>0.57084801457733769</v>
      </c>
      <c r="L133">
        <v>0.55733480378090483</v>
      </c>
      <c r="M133">
        <v>0.54448499622962665</v>
      </c>
      <c r="N133">
        <v>0.53746182335528914</v>
      </c>
      <c r="P133">
        <v>0.63343984074640314</v>
      </c>
      <c r="Q133">
        <v>0.59854748985093942</v>
      </c>
      <c r="R133">
        <v>0.5784858158680164</v>
      </c>
      <c r="S133">
        <v>0.5654566272258047</v>
      </c>
      <c r="T133">
        <v>0.55294630887360163</v>
      </c>
      <c r="U133">
        <v>0.54618356415487457</v>
      </c>
      <c r="W133">
        <v>0.63906363114120124</v>
      </c>
      <c r="X133">
        <v>0.6052830416982049</v>
      </c>
      <c r="Y133">
        <v>0.58590515525085096</v>
      </c>
      <c r="Z133">
        <v>0.5733374377895768</v>
      </c>
      <c r="AA133">
        <v>0.56115278271231905</v>
      </c>
      <c r="AB133">
        <v>0.55463785293215462</v>
      </c>
      <c r="AD133" t="s">
        <v>1616</v>
      </c>
    </row>
    <row r="134" spans="2:32" x14ac:dyDescent="0.25">
      <c r="B134">
        <v>-9.2182286112089322</v>
      </c>
      <c r="C134">
        <v>-9.2554906323343626</v>
      </c>
      <c r="D134">
        <v>-9.2770175011060658</v>
      </c>
      <c r="E134">
        <v>-9.2910386844724133</v>
      </c>
      <c r="F134">
        <v>-9.3042426125204774</v>
      </c>
      <c r="G134">
        <v>-9.3115396453868513</v>
      </c>
      <c r="I134">
        <v>-9.2123226434288448</v>
      </c>
      <c r="J134">
        <v>-9.2483746114051453</v>
      </c>
      <c r="K134">
        <v>-9.2691519854226616</v>
      </c>
      <c r="L134">
        <v>-9.282665196219094</v>
      </c>
      <c r="M134">
        <v>-9.2955150037703742</v>
      </c>
      <c r="N134">
        <v>-9.3025381766447097</v>
      </c>
      <c r="P134">
        <v>-9.2065601592535966</v>
      </c>
      <c r="Q134">
        <v>-9.2414525101490614</v>
      </c>
      <c r="R134">
        <v>-9.2615141841319826</v>
      </c>
      <c r="S134">
        <v>-9.274543372774195</v>
      </c>
      <c r="T134">
        <v>-9.287053691126399</v>
      </c>
      <c r="U134">
        <v>-9.293816435845125</v>
      </c>
      <c r="W134">
        <v>-9.2009363688588</v>
      </c>
      <c r="X134">
        <v>-9.2347169583017941</v>
      </c>
      <c r="Y134">
        <v>-9.2540948447491473</v>
      </c>
      <c r="Z134">
        <v>-9.2666625622104224</v>
      </c>
      <c r="AA134">
        <v>-9.2788472172876801</v>
      </c>
      <c r="AB134">
        <v>-9.2853621470678451</v>
      </c>
      <c r="AD134" t="s">
        <v>1617</v>
      </c>
    </row>
    <row r="135" spans="2:32" x14ac:dyDescent="0.25">
      <c r="B135">
        <v>-2.0897454270792843E-29</v>
      </c>
      <c r="C135">
        <v>-5.0581485849088499E-30</v>
      </c>
      <c r="D135">
        <v>-4.0158766425775521E-29</v>
      </c>
      <c r="E135">
        <v>-1.3262653815889386E-29</v>
      </c>
      <c r="F135">
        <v>-5.704283048509117E-31</v>
      </c>
      <c r="G135">
        <v>0</v>
      </c>
      <c r="I135">
        <v>-1.7084509838591547E-29</v>
      </c>
      <c r="J135">
        <v>-1.2492534256722001E-29</v>
      </c>
      <c r="K135">
        <v>-3.1547705402032438E-29</v>
      </c>
      <c r="L135">
        <v>-1.3016433968771231E-29</v>
      </c>
      <c r="M135">
        <v>0</v>
      </c>
      <c r="N135">
        <v>-1.8998594224673453E-29</v>
      </c>
      <c r="P135">
        <v>6.865343159374329E-30</v>
      </c>
      <c r="Q135">
        <v>-4.8872496467849582E-30</v>
      </c>
      <c r="R135">
        <v>-7.6972182092558877E-30</v>
      </c>
      <c r="S135">
        <v>-8.9199141501640488E-29</v>
      </c>
      <c r="T135">
        <v>-5.4930778073571623E-30</v>
      </c>
      <c r="U135">
        <v>4.3016196379322259E-30</v>
      </c>
      <c r="W135">
        <v>-9.971021545387793E-30</v>
      </c>
      <c r="X135">
        <v>0</v>
      </c>
      <c r="Y135">
        <v>-8.3760752198524183E-29</v>
      </c>
      <c r="Z135">
        <v>-8.8220720421767957E-29</v>
      </c>
      <c r="AA135">
        <v>0</v>
      </c>
      <c r="AB135">
        <v>-9.3810742577301824E-30</v>
      </c>
      <c r="AD135" t="s">
        <v>1618</v>
      </c>
    </row>
    <row r="136" spans="2:32" x14ac:dyDescent="0.25">
      <c r="B136">
        <v>0</v>
      </c>
      <c r="C136">
        <v>0</v>
      </c>
      <c r="D136">
        <v>0</v>
      </c>
      <c r="E136">
        <v>0</v>
      </c>
      <c r="F136">
        <v>0</v>
      </c>
      <c r="G136">
        <v>0</v>
      </c>
      <c r="I136">
        <v>0</v>
      </c>
      <c r="J136">
        <v>0</v>
      </c>
      <c r="K136">
        <v>0</v>
      </c>
      <c r="L136">
        <v>0</v>
      </c>
      <c r="M136">
        <v>0</v>
      </c>
      <c r="N136">
        <v>0</v>
      </c>
      <c r="P136">
        <v>0</v>
      </c>
      <c r="Q136">
        <v>0</v>
      </c>
      <c r="R136">
        <v>0</v>
      </c>
      <c r="S136">
        <v>0</v>
      </c>
      <c r="T136">
        <v>0</v>
      </c>
      <c r="U136">
        <v>0</v>
      </c>
      <c r="W136">
        <v>0</v>
      </c>
      <c r="X136">
        <v>0</v>
      </c>
      <c r="Y136">
        <v>0</v>
      </c>
      <c r="Z136">
        <v>0</v>
      </c>
      <c r="AA136">
        <v>0</v>
      </c>
      <c r="AB136">
        <v>0</v>
      </c>
      <c r="AD136" t="s">
        <v>1619</v>
      </c>
    </row>
    <row r="137" spans="2:32" x14ac:dyDescent="0.25">
      <c r="B137">
        <v>0</v>
      </c>
      <c r="C137">
        <v>0</v>
      </c>
      <c r="D137">
        <v>0</v>
      </c>
      <c r="E137">
        <v>0</v>
      </c>
      <c r="F137">
        <v>0</v>
      </c>
      <c r="G137">
        <v>0</v>
      </c>
      <c r="I137">
        <v>0</v>
      </c>
      <c r="J137">
        <v>0</v>
      </c>
      <c r="K137">
        <v>0</v>
      </c>
      <c r="L137">
        <v>0</v>
      </c>
      <c r="M137">
        <v>0</v>
      </c>
      <c r="N137">
        <v>0</v>
      </c>
      <c r="P137">
        <v>0</v>
      </c>
      <c r="Q137">
        <v>0</v>
      </c>
      <c r="R137">
        <v>0</v>
      </c>
      <c r="S137">
        <v>0</v>
      </c>
      <c r="T137">
        <v>0</v>
      </c>
      <c r="U137">
        <v>0</v>
      </c>
      <c r="W137">
        <v>0</v>
      </c>
      <c r="X137">
        <v>0</v>
      </c>
      <c r="Y137">
        <v>0</v>
      </c>
      <c r="Z137">
        <v>0</v>
      </c>
      <c r="AA137">
        <v>0</v>
      </c>
      <c r="AB137">
        <v>0</v>
      </c>
      <c r="AD137" t="s">
        <v>1620</v>
      </c>
    </row>
    <row r="138" spans="2:32" x14ac:dyDescent="0.25">
      <c r="B138">
        <v>0</v>
      </c>
      <c r="C138">
        <v>0</v>
      </c>
      <c r="D138">
        <v>0</v>
      </c>
      <c r="E138">
        <v>0</v>
      </c>
      <c r="F138">
        <v>0</v>
      </c>
      <c r="G138">
        <v>0</v>
      </c>
      <c r="I138">
        <v>0</v>
      </c>
      <c r="J138">
        <v>0</v>
      </c>
      <c r="K138">
        <v>0</v>
      </c>
      <c r="L138">
        <v>0</v>
      </c>
      <c r="M138">
        <v>0</v>
      </c>
      <c r="N138">
        <v>0</v>
      </c>
      <c r="P138">
        <v>0</v>
      </c>
      <c r="Q138">
        <v>0</v>
      </c>
      <c r="R138">
        <v>0</v>
      </c>
      <c r="S138">
        <v>0</v>
      </c>
      <c r="T138">
        <v>0</v>
      </c>
      <c r="U138">
        <v>0</v>
      </c>
      <c r="W138">
        <v>0</v>
      </c>
      <c r="X138">
        <v>0</v>
      </c>
      <c r="Y138">
        <v>0</v>
      </c>
      <c r="Z138">
        <v>0</v>
      </c>
      <c r="AA138">
        <v>0</v>
      </c>
      <c r="AB138">
        <v>0</v>
      </c>
      <c r="AD138" t="s">
        <v>1621</v>
      </c>
    </row>
    <row r="139" spans="2:32" x14ac:dyDescent="0.25">
      <c r="B139">
        <v>0</v>
      </c>
      <c r="C139">
        <v>0</v>
      </c>
      <c r="D139">
        <v>0</v>
      </c>
      <c r="E139">
        <v>0</v>
      </c>
      <c r="F139">
        <v>0</v>
      </c>
      <c r="G139">
        <v>0</v>
      </c>
      <c r="I139">
        <v>0</v>
      </c>
      <c r="J139">
        <v>0</v>
      </c>
      <c r="K139">
        <v>0</v>
      </c>
      <c r="L139">
        <v>0</v>
      </c>
      <c r="M139">
        <v>0</v>
      </c>
      <c r="N139">
        <v>0</v>
      </c>
      <c r="P139">
        <v>0</v>
      </c>
      <c r="Q139">
        <v>0</v>
      </c>
      <c r="R139">
        <v>0</v>
      </c>
      <c r="S139">
        <v>0</v>
      </c>
      <c r="T139">
        <v>0</v>
      </c>
      <c r="U139">
        <v>0</v>
      </c>
      <c r="W139">
        <v>0</v>
      </c>
      <c r="X139">
        <v>0</v>
      </c>
      <c r="Y139">
        <v>0</v>
      </c>
      <c r="Z139">
        <v>0</v>
      </c>
      <c r="AA139">
        <v>0</v>
      </c>
      <c r="AB139">
        <v>0</v>
      </c>
      <c r="AD139" t="s">
        <v>1622</v>
      </c>
    </row>
    <row r="140" spans="2:32" x14ac:dyDescent="0.25">
      <c r="B140">
        <v>0</v>
      </c>
      <c r="C140">
        <v>0</v>
      </c>
      <c r="D140">
        <v>0</v>
      </c>
      <c r="E140">
        <v>0</v>
      </c>
      <c r="F140">
        <v>0</v>
      </c>
      <c r="G140">
        <v>0</v>
      </c>
      <c r="I140">
        <v>0</v>
      </c>
      <c r="J140">
        <v>0</v>
      </c>
      <c r="K140">
        <v>0</v>
      </c>
      <c r="L140">
        <v>0</v>
      </c>
      <c r="M140">
        <v>0</v>
      </c>
      <c r="N140">
        <v>0</v>
      </c>
      <c r="P140">
        <v>0</v>
      </c>
      <c r="Q140">
        <v>0</v>
      </c>
      <c r="R140">
        <v>0</v>
      </c>
      <c r="S140">
        <v>0</v>
      </c>
      <c r="T140">
        <v>0</v>
      </c>
      <c r="U140">
        <v>0</v>
      </c>
      <c r="W140">
        <v>0</v>
      </c>
      <c r="X140">
        <v>0</v>
      </c>
      <c r="Y140">
        <v>0</v>
      </c>
      <c r="Z140">
        <v>0</v>
      </c>
      <c r="AA140">
        <v>0</v>
      </c>
      <c r="AB140">
        <v>0</v>
      </c>
      <c r="AD140" t="s">
        <v>1623</v>
      </c>
    </row>
    <row r="141" spans="2:32" x14ac:dyDescent="0.25">
      <c r="B141">
        <v>0</v>
      </c>
      <c r="C141">
        <v>0</v>
      </c>
      <c r="D141">
        <v>0</v>
      </c>
      <c r="E141">
        <v>0</v>
      </c>
      <c r="F141">
        <v>0</v>
      </c>
      <c r="G141">
        <v>0</v>
      </c>
      <c r="I141">
        <v>0</v>
      </c>
      <c r="J141">
        <v>0</v>
      </c>
      <c r="K141">
        <v>0</v>
      </c>
      <c r="L141">
        <v>0</v>
      </c>
      <c r="M141">
        <v>0</v>
      </c>
      <c r="N141">
        <v>0</v>
      </c>
      <c r="P141">
        <v>0</v>
      </c>
      <c r="Q141">
        <v>0</v>
      </c>
      <c r="R141">
        <v>0</v>
      </c>
      <c r="S141">
        <v>0</v>
      </c>
      <c r="T141">
        <v>0</v>
      </c>
      <c r="U141">
        <v>0</v>
      </c>
      <c r="W141">
        <v>0</v>
      </c>
      <c r="X141">
        <v>0</v>
      </c>
      <c r="Y141">
        <v>0</v>
      </c>
      <c r="Z141">
        <v>0</v>
      </c>
      <c r="AA141">
        <v>0</v>
      </c>
      <c r="AB141">
        <v>0</v>
      </c>
      <c r="AD141" t="s">
        <v>1624</v>
      </c>
    </row>
    <row r="142" spans="2:32" x14ac:dyDescent="0.25">
      <c r="B142">
        <v>0</v>
      </c>
      <c r="C142">
        <v>0</v>
      </c>
      <c r="D142">
        <v>0</v>
      </c>
      <c r="E142">
        <v>0</v>
      </c>
      <c r="F142">
        <v>0</v>
      </c>
      <c r="G142">
        <v>0</v>
      </c>
      <c r="I142">
        <v>0</v>
      </c>
      <c r="J142">
        <v>0</v>
      </c>
      <c r="K142">
        <v>0</v>
      </c>
      <c r="L142">
        <v>0</v>
      </c>
      <c r="M142">
        <v>0</v>
      </c>
      <c r="N142">
        <v>0</v>
      </c>
      <c r="P142">
        <v>0</v>
      </c>
      <c r="Q142">
        <v>0</v>
      </c>
      <c r="R142">
        <v>0</v>
      </c>
      <c r="S142">
        <v>0</v>
      </c>
      <c r="T142">
        <v>0</v>
      </c>
      <c r="U142">
        <v>0</v>
      </c>
      <c r="W142">
        <v>0</v>
      </c>
      <c r="X142">
        <v>0</v>
      </c>
      <c r="Y142">
        <v>0</v>
      </c>
      <c r="Z142">
        <v>0</v>
      </c>
      <c r="AA142">
        <v>0</v>
      </c>
      <c r="AB142">
        <v>0</v>
      </c>
      <c r="AD142" t="s">
        <v>1625</v>
      </c>
    </row>
    <row r="143" spans="2:32" x14ac:dyDescent="0.25">
      <c r="B143">
        <v>0</v>
      </c>
      <c r="C143">
        <v>0</v>
      </c>
      <c r="D143">
        <v>0</v>
      </c>
      <c r="E143">
        <v>0</v>
      </c>
      <c r="F143">
        <v>0</v>
      </c>
      <c r="G143">
        <v>0</v>
      </c>
      <c r="I143">
        <v>0</v>
      </c>
      <c r="J143">
        <v>0</v>
      </c>
      <c r="K143">
        <v>0</v>
      </c>
      <c r="L143">
        <v>0</v>
      </c>
      <c r="M143">
        <v>0</v>
      </c>
      <c r="N143">
        <v>0</v>
      </c>
      <c r="P143">
        <v>0</v>
      </c>
      <c r="Q143">
        <v>0</v>
      </c>
      <c r="R143">
        <v>0</v>
      </c>
      <c r="S143">
        <v>0</v>
      </c>
      <c r="T143">
        <v>0</v>
      </c>
      <c r="U143">
        <v>0</v>
      </c>
      <c r="W143">
        <v>0</v>
      </c>
      <c r="X143">
        <v>0</v>
      </c>
      <c r="Y143">
        <v>0</v>
      </c>
      <c r="Z143">
        <v>0</v>
      </c>
      <c r="AA143">
        <v>0</v>
      </c>
      <c r="AB143">
        <v>0</v>
      </c>
      <c r="AD143" t="s">
        <v>1626</v>
      </c>
    </row>
    <row r="144" spans="2:32" x14ac:dyDescent="0.25">
      <c r="B144">
        <v>-2.0897454270792843E-29</v>
      </c>
      <c r="C144">
        <v>-5.0581485849088499E-30</v>
      </c>
      <c r="D144">
        <v>-4.0158766425775521E-29</v>
      </c>
      <c r="E144">
        <v>-1.3262653815889386E-29</v>
      </c>
      <c r="F144">
        <v>-5.704283048509117E-31</v>
      </c>
      <c r="G144">
        <v>0</v>
      </c>
      <c r="I144">
        <v>-1.7084509838591547E-29</v>
      </c>
      <c r="J144">
        <v>-1.2492534256722001E-29</v>
      </c>
      <c r="K144">
        <v>-3.1547705402032438E-29</v>
      </c>
      <c r="L144">
        <v>-1.3016433968771231E-29</v>
      </c>
      <c r="M144">
        <v>0</v>
      </c>
      <c r="N144">
        <v>-1.8998594224673453E-29</v>
      </c>
      <c r="P144">
        <v>6.865343159374329E-30</v>
      </c>
      <c r="Q144">
        <v>-4.8872496467849582E-30</v>
      </c>
      <c r="R144">
        <v>-7.6972182092558877E-30</v>
      </c>
      <c r="S144">
        <v>-8.9199141501640488E-29</v>
      </c>
      <c r="T144">
        <v>-5.4930778073571623E-30</v>
      </c>
      <c r="U144">
        <v>4.3016196379322259E-30</v>
      </c>
      <c r="W144">
        <v>-9.971021545387793E-30</v>
      </c>
      <c r="X144">
        <v>0</v>
      </c>
      <c r="Y144">
        <v>-8.3760752198524183E-29</v>
      </c>
      <c r="Z144">
        <v>-8.8220720421767957E-29</v>
      </c>
      <c r="AA144">
        <v>0</v>
      </c>
      <c r="AB144">
        <v>-9.3810742577301824E-30</v>
      </c>
      <c r="AD144" t="s">
        <v>1627</v>
      </c>
    </row>
    <row r="145" spans="2:31" x14ac:dyDescent="0.25">
      <c r="B145">
        <v>-6.1188731395594087E-3</v>
      </c>
      <c r="C145">
        <v>-6.7216873461878332E-3</v>
      </c>
      <c r="D145">
        <v>-7.0699428065163833E-3</v>
      </c>
      <c r="E145">
        <v>-7.2967734579865483E-3</v>
      </c>
      <c r="F145">
        <v>0</v>
      </c>
      <c r="G145">
        <v>0</v>
      </c>
      <c r="I145">
        <v>-6.0233281000205419E-3</v>
      </c>
      <c r="J145">
        <v>-6.606566416586134E-3</v>
      </c>
      <c r="K145">
        <v>-6.9426967674340173E-3</v>
      </c>
      <c r="L145">
        <v>-7.1613095855050986E-3</v>
      </c>
      <c r="M145">
        <v>0</v>
      </c>
      <c r="N145">
        <v>0</v>
      </c>
      <c r="P145">
        <v>-5.9301042967647181E-3</v>
      </c>
      <c r="Q145">
        <v>-6.4945826634010178E-3</v>
      </c>
      <c r="R145">
        <v>-6.819134625972929E-3</v>
      </c>
      <c r="S145">
        <v>-7.0299170735467938E-3</v>
      </c>
      <c r="T145">
        <v>0</v>
      </c>
      <c r="U145">
        <v>0</v>
      </c>
      <c r="W145">
        <v>-5.8391242413975393E-3</v>
      </c>
      <c r="X145">
        <v>-6.3856168526269224E-3</v>
      </c>
      <c r="Y145">
        <v>-6.6991066981073044E-3</v>
      </c>
      <c r="Z145">
        <v>-6.9024235983110305E-3</v>
      </c>
      <c r="AA145">
        <v>0</v>
      </c>
      <c r="AB145">
        <v>0</v>
      </c>
      <c r="AD145" t="s">
        <v>1628</v>
      </c>
    </row>
    <row r="146" spans="2:31" s="30" customFormat="1" x14ac:dyDescent="0.25">
      <c r="B146" s="30">
        <f>B131*24.6/16</f>
        <v>0.59094016658747428</v>
      </c>
      <c r="C146" s="30">
        <f t="shared" ref="C146:G146" si="0">C131*24.6/16</f>
        <v>0.64915793308817804</v>
      </c>
      <c r="D146" s="30">
        <f t="shared" si="0"/>
        <v>0.68279127292832531</v>
      </c>
      <c r="E146" s="30">
        <f t="shared" si="0"/>
        <v>0.70469781354612548</v>
      </c>
      <c r="F146" s="30">
        <f t="shared" si="0"/>
        <v>0.7137801545517799</v>
      </c>
      <c r="G146" s="30">
        <f t="shared" si="0"/>
        <v>0.72499945477683281</v>
      </c>
      <c r="I146" s="30">
        <f>I131*24.6/16</f>
        <v>0.58171274835311448</v>
      </c>
      <c r="J146" s="30">
        <f t="shared" ref="J146:N146" si="1">J131*24.6/16</f>
        <v>0.63803994130032549</v>
      </c>
      <c r="K146" s="30">
        <f t="shared" si="1"/>
        <v>0.67050227889006297</v>
      </c>
      <c r="L146" s="30">
        <f t="shared" si="1"/>
        <v>0.69161516882626184</v>
      </c>
      <c r="M146" s="30">
        <f t="shared" si="1"/>
        <v>0.70036132191016809</v>
      </c>
      <c r="N146" s="30">
        <f t="shared" si="1"/>
        <v>0.71115955818682408</v>
      </c>
      <c r="P146" s="30">
        <f>P131*24.6/16</f>
        <v>0.57270950730375336</v>
      </c>
      <c r="Q146" s="30">
        <f t="shared" ref="Q146:U146" si="2">Q131*24.6/16</f>
        <v>0.62722492744843372</v>
      </c>
      <c r="R146" s="30">
        <f t="shared" si="2"/>
        <v>0.65856906328099107</v>
      </c>
      <c r="S146" s="30">
        <f t="shared" si="2"/>
        <v>0.67892572239812787</v>
      </c>
      <c r="T146" s="30">
        <f t="shared" si="2"/>
        <v>0.687351923626074</v>
      </c>
      <c r="U146" s="30">
        <f t="shared" si="2"/>
        <v>0.69774974760935615</v>
      </c>
      <c r="W146" s="30">
        <f>W131*24.6/16</f>
        <v>0.5639229598711506</v>
      </c>
      <c r="X146" s="30">
        <f t="shared" ref="X146:AB146" si="3">X131*24.6/16</f>
        <v>0.61670137631368682</v>
      </c>
      <c r="Y146" s="30">
        <f t="shared" si="3"/>
        <v>0.64697717012185818</v>
      </c>
      <c r="Z146" s="30">
        <f t="shared" si="3"/>
        <v>0.66661283180924691</v>
      </c>
      <c r="AA146" s="30">
        <f t="shared" si="3"/>
        <v>0.6747343439232496</v>
      </c>
      <c r="AB146" s="30">
        <f t="shared" si="3"/>
        <v>0.68475114862829878</v>
      </c>
      <c r="AD146" s="30" t="s">
        <v>1629</v>
      </c>
    </row>
    <row r="151" spans="2:31" x14ac:dyDescent="0.25">
      <c r="AE151" s="60"/>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9C7C2-72EC-47B8-86AB-FAD1FBAFB5F9}">
  <sheetPr codeName="Sheet2"/>
  <dimension ref="A1:AE151"/>
  <sheetViews>
    <sheetView workbookViewId="0">
      <selection activeCell="A116" sqref="A116"/>
    </sheetView>
  </sheetViews>
  <sheetFormatPr defaultRowHeight="15" x14ac:dyDescent="0.25"/>
  <sheetData>
    <row r="1" spans="1:31" x14ac:dyDescent="0.25">
      <c r="A1">
        <v>4.2</v>
      </c>
      <c r="B1">
        <v>-2.2792654515974238E-29</v>
      </c>
      <c r="C1">
        <v>0</v>
      </c>
      <c r="D1">
        <v>0</v>
      </c>
      <c r="E1">
        <v>0</v>
      </c>
      <c r="F1">
        <v>6.639599359001191E-30</v>
      </c>
      <c r="G1">
        <v>-1.8828714600152633E-30</v>
      </c>
      <c r="H1">
        <v>4.4000000000000004</v>
      </c>
      <c r="I1">
        <v>-2.2792654515974238E-29</v>
      </c>
      <c r="J1">
        <v>0</v>
      </c>
      <c r="K1">
        <v>0</v>
      </c>
      <c r="L1">
        <v>0</v>
      </c>
      <c r="M1">
        <v>-2.8243071900228947E-30</v>
      </c>
      <c r="N1">
        <v>5.6486143800457895E-30</v>
      </c>
      <c r="O1">
        <v>4.5999999999999996</v>
      </c>
      <c r="P1">
        <v>0</v>
      </c>
      <c r="Q1">
        <v>-3.2950250550267105E-30</v>
      </c>
      <c r="R1">
        <v>-2.5393990085732167E-30</v>
      </c>
      <c r="S1">
        <v>-1.5236394051439301E-30</v>
      </c>
      <c r="T1">
        <v>4.7319528776547409E-31</v>
      </c>
      <c r="U1">
        <v>-1.8927811510618964E-30</v>
      </c>
      <c r="V1">
        <v>4.8</v>
      </c>
      <c r="W1">
        <v>0</v>
      </c>
      <c r="X1">
        <v>-8.2994991987514887E-31</v>
      </c>
      <c r="Y1">
        <v>-7.5562604645349381E-31</v>
      </c>
      <c r="Z1">
        <v>-5.8468113758368696E-30</v>
      </c>
      <c r="AA1">
        <v>2.8243071900228947E-30</v>
      </c>
      <c r="AB1">
        <v>9.4639057553094819E-31</v>
      </c>
      <c r="AD1" t="s">
        <v>343</v>
      </c>
      <c r="AE1" t="s">
        <v>987</v>
      </c>
    </row>
    <row r="2" spans="1:31" x14ac:dyDescent="0.25">
      <c r="B2">
        <v>0</v>
      </c>
      <c r="C2">
        <v>0</v>
      </c>
      <c r="D2">
        <v>0</v>
      </c>
      <c r="E2">
        <v>0</v>
      </c>
      <c r="F2">
        <v>0</v>
      </c>
      <c r="G2">
        <v>0</v>
      </c>
      <c r="I2">
        <v>0</v>
      </c>
      <c r="J2">
        <v>0</v>
      </c>
      <c r="K2">
        <v>0</v>
      </c>
      <c r="L2">
        <v>0</v>
      </c>
      <c r="M2">
        <v>0</v>
      </c>
      <c r="N2">
        <v>0</v>
      </c>
      <c r="P2">
        <v>0</v>
      </c>
      <c r="Q2">
        <v>0</v>
      </c>
      <c r="R2">
        <v>0</v>
      </c>
      <c r="S2">
        <v>0</v>
      </c>
      <c r="T2">
        <v>0</v>
      </c>
      <c r="U2">
        <v>0</v>
      </c>
      <c r="W2">
        <v>0</v>
      </c>
      <c r="X2">
        <v>0</v>
      </c>
      <c r="Y2">
        <v>0</v>
      </c>
      <c r="Z2">
        <v>0</v>
      </c>
      <c r="AA2">
        <v>0</v>
      </c>
      <c r="AB2">
        <v>0</v>
      </c>
      <c r="AD2" t="s">
        <v>348</v>
      </c>
      <c r="AE2" t="s">
        <v>992</v>
      </c>
    </row>
    <row r="3" spans="1:31" x14ac:dyDescent="0.25">
      <c r="B3">
        <v>0.25718687500000004</v>
      </c>
      <c r="C3">
        <v>0.35078031250000002</v>
      </c>
      <c r="D3">
        <v>0.44437375000000012</v>
      </c>
      <c r="E3">
        <v>0.53796718750000005</v>
      </c>
      <c r="F3">
        <v>0.63723212499999993</v>
      </c>
      <c r="G3">
        <v>0.73177081250000009</v>
      </c>
      <c r="I3">
        <v>0.26131395833333332</v>
      </c>
      <c r="J3">
        <v>0.35697093750000003</v>
      </c>
      <c r="K3">
        <v>0.45262791666666669</v>
      </c>
      <c r="L3">
        <v>0.54828489583333351</v>
      </c>
      <c r="M3">
        <v>0.64961337499999994</v>
      </c>
      <c r="N3">
        <v>0.74621560416666688</v>
      </c>
      <c r="P3">
        <v>0.26546895833333339</v>
      </c>
      <c r="Q3">
        <v>0.3632034375</v>
      </c>
      <c r="R3">
        <v>0.46093791666666678</v>
      </c>
      <c r="S3">
        <v>0.5586723958333335</v>
      </c>
      <c r="T3">
        <v>0.662078375</v>
      </c>
      <c r="U3">
        <v>0.76075810416666689</v>
      </c>
      <c r="W3">
        <v>0.26965187500000004</v>
      </c>
      <c r="X3">
        <v>0.36947781250000006</v>
      </c>
      <c r="Y3">
        <v>0.46930374999999996</v>
      </c>
      <c r="Z3">
        <v>0.56912968750000015</v>
      </c>
      <c r="AA3">
        <v>0.67462712499999999</v>
      </c>
      <c r="AB3">
        <v>0.77539831250000013</v>
      </c>
      <c r="AD3" t="s">
        <v>353</v>
      </c>
      <c r="AE3" t="s">
        <v>997</v>
      </c>
    </row>
    <row r="4" spans="1:31" x14ac:dyDescent="0.25">
      <c r="B4">
        <v>0</v>
      </c>
      <c r="C4">
        <v>0</v>
      </c>
      <c r="D4">
        <v>0</v>
      </c>
      <c r="E4">
        <v>0</v>
      </c>
      <c r="F4">
        <v>0</v>
      </c>
      <c r="G4">
        <v>0</v>
      </c>
      <c r="I4">
        <v>0</v>
      </c>
      <c r="J4">
        <v>0</v>
      </c>
      <c r="K4">
        <v>0</v>
      </c>
      <c r="L4">
        <v>0</v>
      </c>
      <c r="M4">
        <v>0</v>
      </c>
      <c r="N4">
        <v>0</v>
      </c>
      <c r="P4">
        <v>0</v>
      </c>
      <c r="Q4">
        <v>0</v>
      </c>
      <c r="R4">
        <v>0</v>
      </c>
      <c r="S4">
        <v>0</v>
      </c>
      <c r="T4">
        <v>0</v>
      </c>
      <c r="U4">
        <v>0</v>
      </c>
      <c r="W4">
        <v>0</v>
      </c>
      <c r="X4">
        <v>0</v>
      </c>
      <c r="Y4">
        <v>0</v>
      </c>
      <c r="Z4">
        <v>0</v>
      </c>
      <c r="AA4">
        <v>0</v>
      </c>
      <c r="AB4">
        <v>0</v>
      </c>
      <c r="AD4" t="s">
        <v>357</v>
      </c>
      <c r="AE4" t="s">
        <v>999</v>
      </c>
    </row>
    <row r="5" spans="1:31" x14ac:dyDescent="0.25">
      <c r="B5">
        <v>0</v>
      </c>
      <c r="C5">
        <v>0</v>
      </c>
      <c r="D5">
        <v>0</v>
      </c>
      <c r="E5">
        <v>0</v>
      </c>
      <c r="F5">
        <v>0</v>
      </c>
      <c r="G5">
        <v>0</v>
      </c>
      <c r="I5">
        <v>0</v>
      </c>
      <c r="J5">
        <v>0</v>
      </c>
      <c r="K5">
        <v>0</v>
      </c>
      <c r="L5">
        <v>0</v>
      </c>
      <c r="M5">
        <v>0</v>
      </c>
      <c r="N5">
        <v>0</v>
      </c>
      <c r="P5">
        <v>0</v>
      </c>
      <c r="Q5">
        <v>0</v>
      </c>
      <c r="R5">
        <v>0</v>
      </c>
      <c r="S5">
        <v>0</v>
      </c>
      <c r="T5">
        <v>0</v>
      </c>
      <c r="U5">
        <v>0</v>
      </c>
      <c r="W5">
        <v>0</v>
      </c>
      <c r="X5">
        <v>0</v>
      </c>
      <c r="Y5">
        <v>0</v>
      </c>
      <c r="Z5">
        <v>0</v>
      </c>
      <c r="AA5">
        <v>0</v>
      </c>
      <c r="AB5">
        <v>0</v>
      </c>
      <c r="AD5" t="s">
        <v>361</v>
      </c>
      <c r="AE5" t="s">
        <v>1005</v>
      </c>
    </row>
    <row r="6" spans="1:31" x14ac:dyDescent="0.25">
      <c r="B6">
        <v>0</v>
      </c>
      <c r="C6">
        <v>0</v>
      </c>
      <c r="D6">
        <v>0</v>
      </c>
      <c r="E6">
        <v>0</v>
      </c>
      <c r="F6">
        <v>0</v>
      </c>
      <c r="G6">
        <v>0</v>
      </c>
      <c r="I6">
        <v>0</v>
      </c>
      <c r="J6">
        <v>0</v>
      </c>
      <c r="K6">
        <v>0</v>
      </c>
      <c r="L6">
        <v>0</v>
      </c>
      <c r="M6">
        <v>0</v>
      </c>
      <c r="N6">
        <v>0</v>
      </c>
      <c r="P6">
        <v>0</v>
      </c>
      <c r="Q6">
        <v>0</v>
      </c>
      <c r="R6">
        <v>0</v>
      </c>
      <c r="S6">
        <v>0</v>
      </c>
      <c r="T6">
        <v>0</v>
      </c>
      <c r="U6">
        <v>0</v>
      </c>
      <c r="W6">
        <v>0</v>
      </c>
      <c r="X6">
        <v>0</v>
      </c>
      <c r="Y6">
        <v>0</v>
      </c>
      <c r="Z6">
        <v>0</v>
      </c>
      <c r="AA6">
        <v>0</v>
      </c>
      <c r="AB6">
        <v>0</v>
      </c>
      <c r="AD6" t="s">
        <v>366</v>
      </c>
      <c r="AE6" t="s">
        <v>1009</v>
      </c>
    </row>
    <row r="7" spans="1:31" x14ac:dyDescent="0.25">
      <c r="B7">
        <v>0</v>
      </c>
      <c r="C7">
        <v>0</v>
      </c>
      <c r="D7">
        <v>0</v>
      </c>
      <c r="E7">
        <v>0</v>
      </c>
      <c r="F7">
        <v>0</v>
      </c>
      <c r="G7">
        <v>0</v>
      </c>
      <c r="I7">
        <v>0</v>
      </c>
      <c r="J7">
        <v>0</v>
      </c>
      <c r="K7">
        <v>0</v>
      </c>
      <c r="L7">
        <v>0</v>
      </c>
      <c r="M7">
        <v>0</v>
      </c>
      <c r="N7">
        <v>0</v>
      </c>
      <c r="P7">
        <v>0</v>
      </c>
      <c r="Q7">
        <v>0</v>
      </c>
      <c r="R7">
        <v>0</v>
      </c>
      <c r="S7">
        <v>0</v>
      </c>
      <c r="T7">
        <v>0</v>
      </c>
      <c r="U7">
        <v>0</v>
      </c>
      <c r="W7">
        <v>0</v>
      </c>
      <c r="X7">
        <v>0</v>
      </c>
      <c r="Y7">
        <v>0</v>
      </c>
      <c r="Z7">
        <v>0</v>
      </c>
      <c r="AA7">
        <v>0</v>
      </c>
      <c r="AB7">
        <v>0</v>
      </c>
      <c r="AD7" t="s">
        <v>371</v>
      </c>
      <c r="AE7" t="s">
        <v>1027</v>
      </c>
    </row>
    <row r="8" spans="1:31" x14ac:dyDescent="0.25">
      <c r="B8">
        <v>0</v>
      </c>
      <c r="C8">
        <v>0</v>
      </c>
      <c r="D8">
        <v>0</v>
      </c>
      <c r="E8">
        <v>0</v>
      </c>
      <c r="F8">
        <v>0</v>
      </c>
      <c r="G8">
        <v>0</v>
      </c>
      <c r="I8">
        <v>0</v>
      </c>
      <c r="J8">
        <v>0</v>
      </c>
      <c r="K8">
        <v>0</v>
      </c>
      <c r="L8">
        <v>0</v>
      </c>
      <c r="M8">
        <v>0</v>
      </c>
      <c r="N8">
        <v>0</v>
      </c>
      <c r="P8">
        <v>0</v>
      </c>
      <c r="Q8">
        <v>0</v>
      </c>
      <c r="R8">
        <v>0</v>
      </c>
      <c r="S8">
        <v>0</v>
      </c>
      <c r="T8">
        <v>0</v>
      </c>
      <c r="U8">
        <v>0</v>
      </c>
      <c r="W8">
        <v>0</v>
      </c>
      <c r="X8">
        <v>0</v>
      </c>
      <c r="Y8">
        <v>0</v>
      </c>
      <c r="Z8">
        <v>0</v>
      </c>
      <c r="AA8">
        <v>0</v>
      </c>
      <c r="AB8">
        <v>0</v>
      </c>
      <c r="AD8" t="s">
        <v>375</v>
      </c>
      <c r="AE8" t="s">
        <v>1031</v>
      </c>
    </row>
    <row r="9" spans="1:31" x14ac:dyDescent="0.25">
      <c r="B9">
        <v>0</v>
      </c>
      <c r="C9">
        <v>0</v>
      </c>
      <c r="D9">
        <v>0</v>
      </c>
      <c r="E9">
        <v>0</v>
      </c>
      <c r="F9">
        <v>0</v>
      </c>
      <c r="G9">
        <v>0</v>
      </c>
      <c r="I9">
        <v>0</v>
      </c>
      <c r="J9">
        <v>0</v>
      </c>
      <c r="K9">
        <v>0</v>
      </c>
      <c r="L9">
        <v>0</v>
      </c>
      <c r="M9">
        <v>0</v>
      </c>
      <c r="N9">
        <v>0</v>
      </c>
      <c r="P9">
        <v>0</v>
      </c>
      <c r="Q9">
        <v>0</v>
      </c>
      <c r="R9">
        <v>0</v>
      </c>
      <c r="S9">
        <v>0</v>
      </c>
      <c r="T9">
        <v>0</v>
      </c>
      <c r="U9">
        <v>0</v>
      </c>
      <c r="W9">
        <v>0</v>
      </c>
      <c r="X9">
        <v>0</v>
      </c>
      <c r="Y9">
        <v>0</v>
      </c>
      <c r="Z9">
        <v>0</v>
      </c>
      <c r="AA9">
        <v>0</v>
      </c>
      <c r="AB9">
        <v>0</v>
      </c>
      <c r="AD9" t="s">
        <v>380</v>
      </c>
      <c r="AE9" t="s">
        <v>1035</v>
      </c>
    </row>
    <row r="10" spans="1:31" x14ac:dyDescent="0.25">
      <c r="B10">
        <v>0</v>
      </c>
      <c r="C10">
        <v>0</v>
      </c>
      <c r="D10">
        <v>0</v>
      </c>
      <c r="E10">
        <v>0</v>
      </c>
      <c r="F10">
        <v>0</v>
      </c>
      <c r="G10">
        <v>0</v>
      </c>
      <c r="I10">
        <v>0</v>
      </c>
      <c r="J10">
        <v>0</v>
      </c>
      <c r="K10">
        <v>0</v>
      </c>
      <c r="L10">
        <v>0</v>
      </c>
      <c r="M10">
        <v>0</v>
      </c>
      <c r="N10">
        <v>0</v>
      </c>
      <c r="P10">
        <v>0</v>
      </c>
      <c r="Q10">
        <v>0</v>
      </c>
      <c r="R10">
        <v>0</v>
      </c>
      <c r="S10">
        <v>0</v>
      </c>
      <c r="T10">
        <v>0</v>
      </c>
      <c r="U10">
        <v>0</v>
      </c>
      <c r="W10">
        <v>0</v>
      </c>
      <c r="X10">
        <v>0</v>
      </c>
      <c r="Y10">
        <v>0</v>
      </c>
      <c r="Z10">
        <v>0</v>
      </c>
      <c r="AA10">
        <v>0</v>
      </c>
      <c r="AB10">
        <v>0</v>
      </c>
      <c r="AD10" t="s">
        <v>385</v>
      </c>
      <c r="AE10" t="s">
        <v>1036</v>
      </c>
    </row>
    <row r="11" spans="1:31" x14ac:dyDescent="0.25">
      <c r="B11">
        <v>0</v>
      </c>
      <c r="C11">
        <v>0</v>
      </c>
      <c r="D11">
        <v>0</v>
      </c>
      <c r="E11">
        <v>0</v>
      </c>
      <c r="F11">
        <v>0</v>
      </c>
      <c r="G11">
        <v>0</v>
      </c>
      <c r="I11">
        <v>0</v>
      </c>
      <c r="J11">
        <v>0</v>
      </c>
      <c r="K11">
        <v>0</v>
      </c>
      <c r="L11">
        <v>0</v>
      </c>
      <c r="M11">
        <v>0</v>
      </c>
      <c r="N11">
        <v>0</v>
      </c>
      <c r="P11">
        <v>0</v>
      </c>
      <c r="Q11">
        <v>0</v>
      </c>
      <c r="R11">
        <v>0</v>
      </c>
      <c r="S11">
        <v>0</v>
      </c>
      <c r="T11">
        <v>0</v>
      </c>
      <c r="U11">
        <v>0</v>
      </c>
      <c r="W11">
        <v>0</v>
      </c>
      <c r="X11">
        <v>0</v>
      </c>
      <c r="Y11">
        <v>0</v>
      </c>
      <c r="Z11">
        <v>0</v>
      </c>
      <c r="AA11">
        <v>0</v>
      </c>
      <c r="AB11">
        <v>0</v>
      </c>
      <c r="AD11" t="s">
        <v>390</v>
      </c>
      <c r="AE11" t="s">
        <v>1040</v>
      </c>
    </row>
    <row r="12" spans="1:31" x14ac:dyDescent="0.25">
      <c r="B12">
        <v>0.25718687500000004</v>
      </c>
      <c r="C12">
        <v>0.35078031250000002</v>
      </c>
      <c r="D12">
        <v>0.44437375000000007</v>
      </c>
      <c r="E12">
        <v>0.53796718750000005</v>
      </c>
      <c r="F12">
        <v>0.63723212500000015</v>
      </c>
      <c r="G12">
        <v>0.73177081250000009</v>
      </c>
      <c r="I12">
        <v>0.26131395833333332</v>
      </c>
      <c r="J12">
        <v>0.35697093749999997</v>
      </c>
      <c r="K12">
        <v>0.45262791666666674</v>
      </c>
      <c r="L12">
        <v>0.5482848958333334</v>
      </c>
      <c r="M12">
        <v>0.64961337499999983</v>
      </c>
      <c r="N12">
        <v>0.74621560416666677</v>
      </c>
      <c r="P12">
        <v>0.26546895833333345</v>
      </c>
      <c r="Q12">
        <v>0.36320343749999995</v>
      </c>
      <c r="R12">
        <v>0.46093791666666678</v>
      </c>
      <c r="S12">
        <v>0.55867239583333339</v>
      </c>
      <c r="T12">
        <v>0.662078375</v>
      </c>
      <c r="U12">
        <v>0.76075810416666689</v>
      </c>
      <c r="W12">
        <v>0.26965187500000004</v>
      </c>
      <c r="X12">
        <v>0.36947781250000006</v>
      </c>
      <c r="Y12">
        <v>0.46930375000000002</v>
      </c>
      <c r="Z12">
        <v>0.56912968750000015</v>
      </c>
      <c r="AA12">
        <v>0.67462712499999988</v>
      </c>
      <c r="AB12">
        <v>0.77539831250000024</v>
      </c>
      <c r="AD12" t="s">
        <v>394</v>
      </c>
      <c r="AE12" t="s">
        <v>1044</v>
      </c>
    </row>
    <row r="13" spans="1:31" x14ac:dyDescent="0.25">
      <c r="B13">
        <v>0.20968587500000002</v>
      </c>
      <c r="C13">
        <v>0.2795288125</v>
      </c>
      <c r="D13">
        <v>0.34937175000000015</v>
      </c>
      <c r="E13">
        <v>0.41921468750000002</v>
      </c>
      <c r="F13">
        <v>0.49234112499999999</v>
      </c>
      <c r="G13">
        <v>0.56273131249999997</v>
      </c>
      <c r="I13">
        <v>0.2138129583333333</v>
      </c>
      <c r="J13">
        <v>0.28571943750000001</v>
      </c>
      <c r="K13">
        <v>0.35762591666666665</v>
      </c>
      <c r="L13">
        <v>0.42953239583333341</v>
      </c>
      <c r="M13">
        <v>0.50472237499999983</v>
      </c>
      <c r="N13">
        <v>0.57717610416666676</v>
      </c>
      <c r="P13">
        <v>0.21796795833333332</v>
      </c>
      <c r="Q13">
        <v>0.29195193749999993</v>
      </c>
      <c r="R13">
        <v>0.36593591666666669</v>
      </c>
      <c r="S13">
        <v>0.43991989583333335</v>
      </c>
      <c r="T13">
        <v>0.51718737499999989</v>
      </c>
      <c r="U13">
        <v>0.59171860416666677</v>
      </c>
      <c r="W13">
        <v>0.22215087499999997</v>
      </c>
      <c r="X13">
        <v>0.29822631250000003</v>
      </c>
      <c r="Y13">
        <v>0.37430174999999988</v>
      </c>
      <c r="Z13">
        <v>0.4503771875</v>
      </c>
      <c r="AA13">
        <v>0.52973612499999989</v>
      </c>
      <c r="AB13">
        <v>0.60635881250000023</v>
      </c>
      <c r="AD13" t="s">
        <v>399</v>
      </c>
      <c r="AE13" t="s">
        <v>1046</v>
      </c>
    </row>
    <row r="14" spans="1:31" x14ac:dyDescent="0.25">
      <c r="B14">
        <v>0.20968587499999999</v>
      </c>
      <c r="C14">
        <v>0.2795288125</v>
      </c>
      <c r="D14">
        <v>0.34937175000000009</v>
      </c>
      <c r="E14">
        <v>0.41921468749999996</v>
      </c>
      <c r="F14">
        <v>0.49234112499999999</v>
      </c>
      <c r="G14">
        <v>0.56273131250000008</v>
      </c>
      <c r="I14">
        <v>0.21381295833333328</v>
      </c>
      <c r="J14">
        <v>0.28571943750000001</v>
      </c>
      <c r="K14">
        <v>0.35762591666666665</v>
      </c>
      <c r="L14">
        <v>0.42953239583333336</v>
      </c>
      <c r="M14">
        <v>0.50472237499999983</v>
      </c>
      <c r="N14">
        <v>0.57717610416666676</v>
      </c>
      <c r="P14">
        <v>0.21796795833333335</v>
      </c>
      <c r="Q14">
        <v>0.29195193749999993</v>
      </c>
      <c r="R14">
        <v>0.36593591666666669</v>
      </c>
      <c r="S14">
        <v>0.4399198958333333</v>
      </c>
      <c r="T14">
        <v>0.51718737499999989</v>
      </c>
      <c r="U14">
        <v>0.59171860416666677</v>
      </c>
      <c r="W14">
        <v>0.222150875</v>
      </c>
      <c r="X14">
        <v>0.29822631250000003</v>
      </c>
      <c r="Y14">
        <v>0.37430174999999999</v>
      </c>
      <c r="Z14">
        <v>0.4503771875</v>
      </c>
      <c r="AA14">
        <v>0.52973612499999989</v>
      </c>
      <c r="AB14">
        <v>0.60635881250000012</v>
      </c>
      <c r="AD14" t="s">
        <v>404</v>
      </c>
      <c r="AE14" t="s">
        <v>1051</v>
      </c>
    </row>
    <row r="15" spans="1:31" x14ac:dyDescent="0.25">
      <c r="B15">
        <v>-0.20968587500000002</v>
      </c>
      <c r="C15">
        <v>-0.27952881250000006</v>
      </c>
      <c r="D15">
        <v>-0.34937175000000009</v>
      </c>
      <c r="E15">
        <v>-0.41921468750000002</v>
      </c>
      <c r="F15">
        <v>-0.49234112499999999</v>
      </c>
      <c r="G15">
        <v>-0.56273131250000008</v>
      </c>
      <c r="I15">
        <v>-0.21381295833333336</v>
      </c>
      <c r="J15">
        <v>-0.28571943750000001</v>
      </c>
      <c r="K15">
        <v>-0.35762591666666671</v>
      </c>
      <c r="L15">
        <v>-0.42953239583333347</v>
      </c>
      <c r="M15">
        <v>-0.50472237499999995</v>
      </c>
      <c r="N15">
        <v>-0.57717610416666687</v>
      </c>
      <c r="P15">
        <v>-0.21796795833333338</v>
      </c>
      <c r="Q15">
        <v>-0.29195193749999998</v>
      </c>
      <c r="R15">
        <v>-0.36593591666666669</v>
      </c>
      <c r="S15">
        <v>-0.43991989583333335</v>
      </c>
      <c r="T15">
        <v>-0.51718737499999989</v>
      </c>
      <c r="U15">
        <v>-0.59171860416666688</v>
      </c>
      <c r="W15">
        <v>-0.22215087500000003</v>
      </c>
      <c r="X15">
        <v>-0.29822631250000003</v>
      </c>
      <c r="Y15">
        <v>-0.37430174999999999</v>
      </c>
      <c r="Z15">
        <v>-0.45037718750000005</v>
      </c>
      <c r="AA15">
        <v>-0.529736125</v>
      </c>
      <c r="AB15">
        <v>-0.60635881250000012</v>
      </c>
      <c r="AD15" t="s">
        <v>409</v>
      </c>
      <c r="AE15" t="s">
        <v>1055</v>
      </c>
    </row>
    <row r="16" spans="1:31" x14ac:dyDescent="0.25">
      <c r="B16">
        <v>0.20968587500000005</v>
      </c>
      <c r="C16">
        <v>0.27952881250000006</v>
      </c>
      <c r="D16">
        <v>0.34937175000000009</v>
      </c>
      <c r="E16">
        <v>0.41921468750000002</v>
      </c>
      <c r="F16">
        <v>0.49234112499999994</v>
      </c>
      <c r="G16">
        <v>0.56273131250000019</v>
      </c>
      <c r="I16">
        <v>0.2138129583333333</v>
      </c>
      <c r="J16">
        <v>0.28571943750000001</v>
      </c>
      <c r="K16">
        <v>0.35762591666666671</v>
      </c>
      <c r="L16">
        <v>0.42953239583333341</v>
      </c>
      <c r="M16">
        <v>0.50472237499999995</v>
      </c>
      <c r="N16">
        <v>0.57717610416666676</v>
      </c>
      <c r="P16">
        <v>0.21796795833333341</v>
      </c>
      <c r="Q16">
        <v>0.29195193749999998</v>
      </c>
      <c r="R16">
        <v>0.36593591666666675</v>
      </c>
      <c r="S16">
        <v>0.43991989583333335</v>
      </c>
      <c r="T16">
        <v>0.517187375</v>
      </c>
      <c r="U16">
        <v>0.59171860416666688</v>
      </c>
      <c r="W16">
        <v>0.222150875</v>
      </c>
      <c r="X16">
        <v>0.29822631249999998</v>
      </c>
      <c r="Y16">
        <v>0.37430174999999999</v>
      </c>
      <c r="Z16">
        <v>0.45037718750000005</v>
      </c>
      <c r="AA16">
        <v>0.52973612499999989</v>
      </c>
      <c r="AB16">
        <v>0.60635881250000012</v>
      </c>
      <c r="AD16" t="s">
        <v>413</v>
      </c>
      <c r="AE16" t="s">
        <v>1060</v>
      </c>
    </row>
    <row r="17" spans="2:31" x14ac:dyDescent="0.25">
      <c r="B17">
        <v>4.7501000000000029E-2</v>
      </c>
      <c r="C17">
        <v>7.1251500000000051E-2</v>
      </c>
      <c r="D17">
        <v>9.5002000000000072E-2</v>
      </c>
      <c r="E17">
        <v>0.11875250000000001</v>
      </c>
      <c r="F17">
        <v>0.14489100000000002</v>
      </c>
      <c r="G17">
        <v>0.16903950000000009</v>
      </c>
      <c r="I17">
        <v>4.7501000000000015E-2</v>
      </c>
      <c r="J17">
        <v>7.1251500000000023E-2</v>
      </c>
      <c r="K17">
        <v>9.5002000000000059E-2</v>
      </c>
      <c r="L17">
        <v>0.11875250000000004</v>
      </c>
      <c r="M17">
        <v>0.14489100000000002</v>
      </c>
      <c r="N17">
        <v>0.16903950000000009</v>
      </c>
      <c r="P17">
        <v>4.7501000000000029E-2</v>
      </c>
      <c r="Q17">
        <v>7.1251500000000009E-2</v>
      </c>
      <c r="R17">
        <v>9.5002000000000045E-2</v>
      </c>
      <c r="S17">
        <v>0.11875250000000004</v>
      </c>
      <c r="T17">
        <v>0.14489100000000008</v>
      </c>
      <c r="U17">
        <v>0.16903950000000012</v>
      </c>
      <c r="W17">
        <v>4.7501000000000036E-2</v>
      </c>
      <c r="X17">
        <v>7.1251500000000023E-2</v>
      </c>
      <c r="Y17">
        <v>9.5002000000000031E-2</v>
      </c>
      <c r="Z17">
        <v>0.11875250000000001</v>
      </c>
      <c r="AA17">
        <v>0.14489100000000002</v>
      </c>
      <c r="AB17">
        <v>0.16903950000000012</v>
      </c>
      <c r="AD17" t="s">
        <v>418</v>
      </c>
      <c r="AE17" t="s">
        <v>1065</v>
      </c>
    </row>
    <row r="18" spans="2:31" x14ac:dyDescent="0.25">
      <c r="B18">
        <v>4.7501000000000022E-2</v>
      </c>
      <c r="C18">
        <v>7.1251500000000037E-2</v>
      </c>
      <c r="D18">
        <v>9.5002000000000059E-2</v>
      </c>
      <c r="E18">
        <v>0.1187525</v>
      </c>
      <c r="F18">
        <v>0.14489100000000002</v>
      </c>
      <c r="G18">
        <v>0.16903950000000006</v>
      </c>
      <c r="I18">
        <v>4.7501000000000002E-2</v>
      </c>
      <c r="J18">
        <v>7.1251500000000009E-2</v>
      </c>
      <c r="K18">
        <v>9.5002000000000031E-2</v>
      </c>
      <c r="L18">
        <v>0.11875250000000002</v>
      </c>
      <c r="M18">
        <v>0.14489099999999999</v>
      </c>
      <c r="N18">
        <v>0.16903950000000006</v>
      </c>
      <c r="P18">
        <v>4.7501000000000022E-2</v>
      </c>
      <c r="Q18">
        <v>7.1251499999999995E-2</v>
      </c>
      <c r="R18">
        <v>9.5002000000000031E-2</v>
      </c>
      <c r="S18">
        <v>0.11875250000000002</v>
      </c>
      <c r="T18">
        <v>0.14489100000000005</v>
      </c>
      <c r="U18">
        <v>0.16903950000000012</v>
      </c>
      <c r="W18">
        <v>4.7501000000000029E-2</v>
      </c>
      <c r="X18">
        <v>7.1251500000000023E-2</v>
      </c>
      <c r="Y18">
        <v>9.5002000000000017E-2</v>
      </c>
      <c r="Z18">
        <v>0.1187525</v>
      </c>
      <c r="AA18">
        <v>0.14489100000000002</v>
      </c>
      <c r="AB18">
        <v>0.16903950000000012</v>
      </c>
      <c r="AD18" t="s">
        <v>423</v>
      </c>
      <c r="AE18" t="s">
        <v>1070</v>
      </c>
    </row>
    <row r="19" spans="2:31" x14ac:dyDescent="0.25">
      <c r="B19">
        <v>0</v>
      </c>
      <c r="C19">
        <v>0</v>
      </c>
      <c r="D19">
        <v>0</v>
      </c>
      <c r="E19">
        <v>0</v>
      </c>
      <c r="F19">
        <v>0</v>
      </c>
      <c r="G19">
        <v>0</v>
      </c>
      <c r="I19">
        <v>0</v>
      </c>
      <c r="J19">
        <v>0</v>
      </c>
      <c r="K19">
        <v>0</v>
      </c>
      <c r="L19">
        <v>0</v>
      </c>
      <c r="M19">
        <v>0</v>
      </c>
      <c r="N19">
        <v>0</v>
      </c>
      <c r="P19">
        <v>0</v>
      </c>
      <c r="Q19">
        <v>0</v>
      </c>
      <c r="R19">
        <v>0</v>
      </c>
      <c r="S19">
        <v>0</v>
      </c>
      <c r="T19">
        <v>0.14489100000000008</v>
      </c>
      <c r="U19">
        <v>0.16903950000000012</v>
      </c>
      <c r="W19">
        <v>0</v>
      </c>
      <c r="X19">
        <v>0</v>
      </c>
      <c r="Y19">
        <v>0</v>
      </c>
      <c r="Z19">
        <v>0</v>
      </c>
      <c r="AA19">
        <v>0.14489100000000002</v>
      </c>
      <c r="AB19">
        <v>0.16903950000000012</v>
      </c>
      <c r="AD19" t="s">
        <v>427</v>
      </c>
      <c r="AE19" t="s">
        <v>1075</v>
      </c>
    </row>
    <row r="20" spans="2:31" x14ac:dyDescent="0.25">
      <c r="B20">
        <v>4.7501000000000022E-2</v>
      </c>
      <c r="C20">
        <v>7.1251500000000051E-2</v>
      </c>
      <c r="D20">
        <v>9.5002000000000059E-2</v>
      </c>
      <c r="E20">
        <v>0.11875249999999998</v>
      </c>
      <c r="F20">
        <v>0.14489100000000002</v>
      </c>
      <c r="G20">
        <v>0.16903950000000006</v>
      </c>
      <c r="I20">
        <v>4.7501000000000002E-2</v>
      </c>
      <c r="J20">
        <v>7.1251500000000023E-2</v>
      </c>
      <c r="K20">
        <v>9.5002000000000045E-2</v>
      </c>
      <c r="L20">
        <v>0.11875250000000002</v>
      </c>
      <c r="M20">
        <v>0.14489100000000002</v>
      </c>
      <c r="N20">
        <v>0.16903950000000006</v>
      </c>
      <c r="P20">
        <v>4.7501000000000029E-2</v>
      </c>
      <c r="Q20">
        <v>7.1251499999999995E-2</v>
      </c>
      <c r="R20">
        <v>9.5002000000000031E-2</v>
      </c>
      <c r="S20">
        <v>0.11875250000000002</v>
      </c>
      <c r="T20">
        <v>0</v>
      </c>
      <c r="U20">
        <v>0</v>
      </c>
      <c r="W20">
        <v>4.7501000000000029E-2</v>
      </c>
      <c r="X20">
        <v>7.1251500000000023E-2</v>
      </c>
      <c r="Y20">
        <v>9.5002000000000003E-2</v>
      </c>
      <c r="Z20">
        <v>0.1187525</v>
      </c>
      <c r="AA20">
        <v>0</v>
      </c>
      <c r="AB20">
        <v>0</v>
      </c>
      <c r="AD20" t="s">
        <v>432</v>
      </c>
      <c r="AE20" t="s">
        <v>1080</v>
      </c>
    </row>
    <row r="21" spans="2:31" x14ac:dyDescent="0.25">
      <c r="B21">
        <v>4.7501000000000022E-2</v>
      </c>
      <c r="C21">
        <v>7.1251500000000037E-2</v>
      </c>
      <c r="D21">
        <v>9.5002000000000059E-2</v>
      </c>
      <c r="E21">
        <v>0.1187525</v>
      </c>
      <c r="F21">
        <v>0.14489100000000002</v>
      </c>
      <c r="G21">
        <v>0.16903950000000004</v>
      </c>
      <c r="I21">
        <v>4.7501000000000002E-2</v>
      </c>
      <c r="J21">
        <v>7.1251500000000009E-2</v>
      </c>
      <c r="K21">
        <v>9.5002000000000031E-2</v>
      </c>
      <c r="L21">
        <v>0.11875250000000004</v>
      </c>
      <c r="M21">
        <v>0.14489099999999999</v>
      </c>
      <c r="N21">
        <v>0.16903950000000006</v>
      </c>
      <c r="P21">
        <v>4.7501000000000029E-2</v>
      </c>
      <c r="Q21">
        <v>7.1251499999999995E-2</v>
      </c>
      <c r="R21">
        <v>9.5002000000000017E-2</v>
      </c>
      <c r="S21">
        <v>0.11875250000000001</v>
      </c>
      <c r="T21">
        <v>0.14489100000000005</v>
      </c>
      <c r="U21">
        <v>0.16903950000000012</v>
      </c>
      <c r="W21">
        <v>4.7501000000000029E-2</v>
      </c>
      <c r="X21">
        <v>7.1251500000000009E-2</v>
      </c>
      <c r="Y21">
        <v>9.5002000000000003E-2</v>
      </c>
      <c r="Z21">
        <v>0.11875250000000001</v>
      </c>
      <c r="AA21">
        <v>0.14489100000000002</v>
      </c>
      <c r="AB21">
        <v>0.16903950000000012</v>
      </c>
      <c r="AD21" t="s">
        <v>437</v>
      </c>
      <c r="AE21" t="s">
        <v>1081</v>
      </c>
    </row>
    <row r="22" spans="2:31" x14ac:dyDescent="0.25">
      <c r="B22">
        <v>4.9789999999999999E-3</v>
      </c>
      <c r="C22">
        <v>7.468500000000002E-3</v>
      </c>
      <c r="D22">
        <v>9.9580000000000016E-3</v>
      </c>
      <c r="E22">
        <v>1.24475E-2</v>
      </c>
      <c r="F22">
        <v>1.4937000000000004E-2</v>
      </c>
      <c r="G22">
        <v>1.7426500000000004E-2</v>
      </c>
      <c r="I22">
        <v>4.9790000000000008E-3</v>
      </c>
      <c r="J22">
        <v>7.4685000000000012E-3</v>
      </c>
      <c r="K22">
        <v>9.9580000000000016E-3</v>
      </c>
      <c r="L22">
        <v>1.24475E-2</v>
      </c>
      <c r="M22">
        <v>1.4937000000000002E-2</v>
      </c>
      <c r="N22">
        <v>1.7426500000000004E-2</v>
      </c>
      <c r="P22">
        <v>4.9789999999999999E-3</v>
      </c>
      <c r="Q22">
        <v>7.4685000000000012E-3</v>
      </c>
      <c r="R22">
        <v>9.9579999999999998E-3</v>
      </c>
      <c r="S22">
        <v>1.24475E-2</v>
      </c>
      <c r="T22">
        <v>1.4937000000000002E-2</v>
      </c>
      <c r="U22">
        <v>1.7426500000000004E-2</v>
      </c>
      <c r="W22">
        <v>4.9790000000000008E-3</v>
      </c>
      <c r="X22">
        <v>7.4684999999999994E-3</v>
      </c>
      <c r="Y22">
        <v>9.9579999999999998E-3</v>
      </c>
      <c r="Z22">
        <v>1.24475E-2</v>
      </c>
      <c r="AA22">
        <v>1.4937000000000002E-2</v>
      </c>
      <c r="AB22">
        <v>1.7426500000000004E-2</v>
      </c>
      <c r="AD22" t="s">
        <v>442</v>
      </c>
      <c r="AE22" t="s">
        <v>1086</v>
      </c>
    </row>
    <row r="23" spans="2:31" x14ac:dyDescent="0.25">
      <c r="B23">
        <v>4.2522000000000025E-2</v>
      </c>
      <c r="C23">
        <v>6.3783000000000034E-2</v>
      </c>
      <c r="D23">
        <v>8.504400000000005E-2</v>
      </c>
      <c r="E23">
        <v>0.10630500000000001</v>
      </c>
      <c r="F23">
        <v>0.12995400000000004</v>
      </c>
      <c r="G23">
        <v>0.15161300000000005</v>
      </c>
      <c r="I23">
        <v>4.2522000000000004E-2</v>
      </c>
      <c r="J23">
        <v>6.378300000000002E-2</v>
      </c>
      <c r="K23">
        <v>8.5044000000000022E-2</v>
      </c>
      <c r="L23">
        <v>0.10630500000000002</v>
      </c>
      <c r="M23">
        <v>0.12995399999999999</v>
      </c>
      <c r="N23">
        <v>0.15161300000000008</v>
      </c>
      <c r="P23">
        <v>4.2522000000000025E-2</v>
      </c>
      <c r="Q23">
        <v>6.3782999999999992E-2</v>
      </c>
      <c r="R23">
        <v>8.5044000000000022E-2</v>
      </c>
      <c r="S23">
        <v>0.10630500000000002</v>
      </c>
      <c r="T23">
        <v>0.12995400000000004</v>
      </c>
      <c r="U23">
        <v>0.15161300000000008</v>
      </c>
      <c r="W23">
        <v>4.2522000000000025E-2</v>
      </c>
      <c r="X23">
        <v>6.378300000000002E-2</v>
      </c>
      <c r="Y23">
        <v>8.5043999999999995E-2</v>
      </c>
      <c r="Z23">
        <v>0.10630500000000001</v>
      </c>
      <c r="AA23">
        <v>0.12995400000000004</v>
      </c>
      <c r="AB23">
        <v>0.15161300000000008</v>
      </c>
      <c r="AD23" t="s">
        <v>447</v>
      </c>
      <c r="AE23" t="s">
        <v>1090</v>
      </c>
    </row>
    <row r="24" spans="2:31" x14ac:dyDescent="0.25">
      <c r="B24">
        <v>3.6927000000000022E-2</v>
      </c>
      <c r="C24">
        <v>5.539050000000003E-2</v>
      </c>
      <c r="D24">
        <v>7.3854000000000045E-2</v>
      </c>
      <c r="E24">
        <v>9.2317499999999997E-2</v>
      </c>
      <c r="F24">
        <v>0.11316900000000002</v>
      </c>
      <c r="G24">
        <v>0.13203050000000005</v>
      </c>
      <c r="I24">
        <v>3.6927000000000008E-2</v>
      </c>
      <c r="J24">
        <v>5.5390500000000002E-2</v>
      </c>
      <c r="K24">
        <v>7.3854000000000017E-2</v>
      </c>
      <c r="L24">
        <v>9.2317500000000011E-2</v>
      </c>
      <c r="M24">
        <v>0.11316899999999998</v>
      </c>
      <c r="N24">
        <v>0.13203050000000005</v>
      </c>
      <c r="P24">
        <v>3.6927000000000022E-2</v>
      </c>
      <c r="Q24">
        <v>5.5390499999999995E-2</v>
      </c>
      <c r="R24">
        <v>7.3854000000000017E-2</v>
      </c>
      <c r="S24">
        <v>9.2317500000000025E-2</v>
      </c>
      <c r="T24">
        <v>0.11316900000000005</v>
      </c>
      <c r="U24">
        <v>0.13203050000000008</v>
      </c>
      <c r="W24">
        <v>3.6927000000000022E-2</v>
      </c>
      <c r="X24">
        <v>5.5390500000000016E-2</v>
      </c>
      <c r="Y24">
        <v>7.3853999999999989E-2</v>
      </c>
      <c r="Z24">
        <v>9.2317500000000011E-2</v>
      </c>
      <c r="AA24">
        <v>0.11316900000000002</v>
      </c>
      <c r="AB24">
        <v>0.13203050000000008</v>
      </c>
      <c r="AD24" t="s">
        <v>452</v>
      </c>
      <c r="AE24" t="s">
        <v>1096</v>
      </c>
    </row>
    <row r="25" spans="2:31" x14ac:dyDescent="0.25">
      <c r="B25">
        <v>3.008400000000002E-2</v>
      </c>
      <c r="C25">
        <v>4.5126000000000027E-2</v>
      </c>
      <c r="D25">
        <v>6.0168000000000041E-2</v>
      </c>
      <c r="E25">
        <v>7.5209999999999999E-2</v>
      </c>
      <c r="F25">
        <v>9.2640000000000014E-2</v>
      </c>
      <c r="G25">
        <v>0.10808000000000002</v>
      </c>
      <c r="I25">
        <v>3.0084000000000003E-2</v>
      </c>
      <c r="J25">
        <v>4.5126000000000006E-2</v>
      </c>
      <c r="K25">
        <v>6.016800000000002E-2</v>
      </c>
      <c r="L25">
        <v>7.5210000000000013E-2</v>
      </c>
      <c r="M25">
        <v>9.264E-2</v>
      </c>
      <c r="N25">
        <v>0.10808000000000005</v>
      </c>
      <c r="P25">
        <v>3.0084000000000024E-2</v>
      </c>
      <c r="Q25">
        <v>4.5126000000000006E-2</v>
      </c>
      <c r="R25">
        <v>6.016800000000002E-2</v>
      </c>
      <c r="S25">
        <v>7.5210000000000027E-2</v>
      </c>
      <c r="T25">
        <v>9.2640000000000056E-2</v>
      </c>
      <c r="U25">
        <v>0.10808000000000005</v>
      </c>
      <c r="W25">
        <v>3.008400000000002E-2</v>
      </c>
      <c r="X25">
        <v>4.5126000000000013E-2</v>
      </c>
      <c r="Y25">
        <v>6.0167999999999999E-2</v>
      </c>
      <c r="Z25">
        <v>7.5210000000000013E-2</v>
      </c>
      <c r="AA25">
        <v>9.2640000000000014E-2</v>
      </c>
      <c r="AB25">
        <v>0.10808000000000005</v>
      </c>
      <c r="AD25" t="s">
        <v>457</v>
      </c>
      <c r="AE25" t="s">
        <v>1101</v>
      </c>
    </row>
    <row r="26" spans="2:31" x14ac:dyDescent="0.25">
      <c r="B26">
        <v>3.5110000000000023E-2</v>
      </c>
      <c r="C26">
        <v>5.2665000000000031E-2</v>
      </c>
      <c r="D26">
        <v>7.0220000000000046E-2</v>
      </c>
      <c r="E26">
        <v>8.7774999999999992E-2</v>
      </c>
      <c r="F26">
        <v>0.10771800000000002</v>
      </c>
      <c r="G26">
        <v>0.12567100000000003</v>
      </c>
      <c r="I26">
        <v>3.5110000000000002E-2</v>
      </c>
      <c r="J26">
        <v>5.266500000000001E-2</v>
      </c>
      <c r="K26">
        <v>7.0220000000000032E-2</v>
      </c>
      <c r="L26">
        <v>8.7775000000000006E-2</v>
      </c>
      <c r="M26">
        <v>0.10771799999999998</v>
      </c>
      <c r="N26">
        <v>0.12567100000000006</v>
      </c>
      <c r="P26">
        <v>3.5110000000000023E-2</v>
      </c>
      <c r="Q26">
        <v>5.2664999999999997E-2</v>
      </c>
      <c r="R26">
        <v>7.0220000000000032E-2</v>
      </c>
      <c r="S26">
        <v>8.7775000000000006E-2</v>
      </c>
      <c r="T26">
        <v>0.10771800000000004</v>
      </c>
      <c r="U26">
        <v>0.12567100000000009</v>
      </c>
      <c r="W26">
        <v>3.511000000000003E-2</v>
      </c>
      <c r="X26">
        <v>5.2665000000000017E-2</v>
      </c>
      <c r="Y26">
        <v>7.0220000000000005E-2</v>
      </c>
      <c r="Z26">
        <v>8.7774999999999992E-2</v>
      </c>
      <c r="AA26">
        <v>0.10771800000000001</v>
      </c>
      <c r="AB26">
        <v>0.12567100000000009</v>
      </c>
      <c r="AD26" t="s">
        <v>462</v>
      </c>
      <c r="AE26" t="s">
        <v>1105</v>
      </c>
    </row>
    <row r="27" spans="2:31" x14ac:dyDescent="0.25">
      <c r="B27">
        <v>3.5110000000000023E-2</v>
      </c>
      <c r="C27">
        <v>5.2665000000000024E-2</v>
      </c>
      <c r="D27">
        <v>7.0220000000000046E-2</v>
      </c>
      <c r="E27">
        <v>8.7774999999999992E-2</v>
      </c>
      <c r="F27">
        <v>0.10771800000000002</v>
      </c>
      <c r="G27">
        <v>0.12567100000000003</v>
      </c>
      <c r="I27">
        <v>3.5110000000000009E-2</v>
      </c>
      <c r="J27">
        <v>5.2665000000000003E-2</v>
      </c>
      <c r="K27">
        <v>7.0220000000000032E-2</v>
      </c>
      <c r="L27">
        <v>8.7775000000000006E-2</v>
      </c>
      <c r="M27">
        <v>0.10771800000000001</v>
      </c>
      <c r="N27">
        <v>0.12567100000000003</v>
      </c>
      <c r="P27">
        <v>3.5110000000000023E-2</v>
      </c>
      <c r="Q27">
        <v>5.2664999999999997E-2</v>
      </c>
      <c r="R27">
        <v>7.0220000000000032E-2</v>
      </c>
      <c r="S27">
        <v>8.777500000000002E-2</v>
      </c>
      <c r="T27">
        <v>0.10771800000000005</v>
      </c>
      <c r="U27">
        <v>0.12567100000000009</v>
      </c>
      <c r="W27">
        <v>3.511000000000003E-2</v>
      </c>
      <c r="X27">
        <v>5.2665000000000017E-2</v>
      </c>
      <c r="Y27">
        <v>7.0220000000000005E-2</v>
      </c>
      <c r="Z27">
        <v>8.7775000000000006E-2</v>
      </c>
      <c r="AA27">
        <v>0.10771800000000002</v>
      </c>
      <c r="AB27">
        <v>0.12567100000000009</v>
      </c>
      <c r="AD27" t="s">
        <v>466</v>
      </c>
      <c r="AE27" t="s">
        <v>1111</v>
      </c>
    </row>
    <row r="28" spans="2:31" x14ac:dyDescent="0.25">
      <c r="B28">
        <v>1.2391000000000017E-2</v>
      </c>
      <c r="C28">
        <v>1.8586500000000016E-2</v>
      </c>
      <c r="D28">
        <v>2.4782000000000026E-2</v>
      </c>
      <c r="E28">
        <v>3.0977500000000002E-2</v>
      </c>
      <c r="F28">
        <v>3.8367000000000012E-2</v>
      </c>
      <c r="G28">
        <v>4.476150000000001E-2</v>
      </c>
      <c r="I28">
        <v>1.2391000000000008E-2</v>
      </c>
      <c r="J28">
        <v>1.8586500000000002E-2</v>
      </c>
      <c r="K28">
        <v>2.4782000000000016E-2</v>
      </c>
      <c r="L28">
        <v>3.0977500000000012E-2</v>
      </c>
      <c r="M28">
        <v>3.8367000000000005E-2</v>
      </c>
      <c r="N28">
        <v>4.4761500000000023E-2</v>
      </c>
      <c r="P28">
        <v>1.2391000000000017E-2</v>
      </c>
      <c r="Q28">
        <v>1.8586500000000002E-2</v>
      </c>
      <c r="R28">
        <v>2.4782000000000026E-2</v>
      </c>
      <c r="S28">
        <v>3.0977500000000019E-2</v>
      </c>
      <c r="T28">
        <v>3.8367000000000026E-2</v>
      </c>
      <c r="U28">
        <v>4.476150000000003E-2</v>
      </c>
      <c r="W28">
        <v>1.2391000000000013E-2</v>
      </c>
      <c r="X28">
        <v>1.8586500000000013E-2</v>
      </c>
      <c r="Y28">
        <v>2.4782000000000012E-2</v>
      </c>
      <c r="Z28">
        <v>3.0977499999999998E-2</v>
      </c>
      <c r="AA28">
        <v>3.8367000000000005E-2</v>
      </c>
      <c r="AB28">
        <v>4.476150000000003E-2</v>
      </c>
      <c r="AD28" t="s">
        <v>470</v>
      </c>
      <c r="AE28" t="s">
        <v>1116</v>
      </c>
    </row>
    <row r="29" spans="2:31" x14ac:dyDescent="0.25">
      <c r="B29">
        <v>1.2391000000000015E-2</v>
      </c>
      <c r="C29">
        <v>1.8586500000000016E-2</v>
      </c>
      <c r="D29">
        <v>2.4782000000000026E-2</v>
      </c>
      <c r="E29">
        <v>3.0977500000000002E-2</v>
      </c>
      <c r="F29">
        <v>3.8367000000000019E-2</v>
      </c>
      <c r="G29">
        <v>4.4761500000000017E-2</v>
      </c>
      <c r="I29">
        <v>1.239100000000001E-2</v>
      </c>
      <c r="J29">
        <v>1.8586500000000002E-2</v>
      </c>
      <c r="K29">
        <v>2.4782000000000019E-2</v>
      </c>
      <c r="L29">
        <v>3.0977500000000015E-2</v>
      </c>
      <c r="M29">
        <v>3.8367000000000005E-2</v>
      </c>
      <c r="N29">
        <v>4.476150000000003E-2</v>
      </c>
      <c r="P29">
        <v>1.2391000000000017E-2</v>
      </c>
      <c r="Q29">
        <v>1.8586500000000006E-2</v>
      </c>
      <c r="R29">
        <v>2.4782000000000026E-2</v>
      </c>
      <c r="S29">
        <v>3.0977500000000022E-2</v>
      </c>
      <c r="T29">
        <v>3.8367000000000033E-2</v>
      </c>
      <c r="U29">
        <v>4.476150000000003E-2</v>
      </c>
      <c r="W29">
        <v>1.2391000000000015E-2</v>
      </c>
      <c r="X29">
        <v>1.8586500000000013E-2</v>
      </c>
      <c r="Y29">
        <v>2.4782000000000009E-2</v>
      </c>
      <c r="Z29">
        <v>3.0977499999999998E-2</v>
      </c>
      <c r="AA29">
        <v>3.8367000000000012E-2</v>
      </c>
      <c r="AB29">
        <v>4.476150000000003E-2</v>
      </c>
      <c r="AD29" t="s">
        <v>473</v>
      </c>
      <c r="AE29" t="s">
        <v>1120</v>
      </c>
    </row>
    <row r="30" spans="2:31" x14ac:dyDescent="0.25">
      <c r="B30">
        <v>1.2391000000000006E-2</v>
      </c>
      <c r="C30">
        <v>1.8586500000000013E-2</v>
      </c>
      <c r="D30">
        <v>2.4782000000000019E-2</v>
      </c>
      <c r="E30">
        <v>3.0977500000000009E-2</v>
      </c>
      <c r="F30">
        <v>3.7173000000000005E-2</v>
      </c>
      <c r="G30">
        <v>4.3368500000000018E-2</v>
      </c>
      <c r="I30">
        <v>1.2391000000000001E-2</v>
      </c>
      <c r="J30">
        <v>1.8586500000000009E-2</v>
      </c>
      <c r="K30">
        <v>2.4782000000000016E-2</v>
      </c>
      <c r="L30">
        <v>3.0977500000000015E-2</v>
      </c>
      <c r="M30">
        <v>3.7172999999999998E-2</v>
      </c>
      <c r="N30">
        <v>4.3368500000000018E-2</v>
      </c>
      <c r="P30">
        <v>1.2391000000000006E-2</v>
      </c>
      <c r="Q30">
        <v>1.8586499999999992E-2</v>
      </c>
      <c r="R30">
        <v>2.4782000000000012E-2</v>
      </c>
      <c r="S30">
        <v>3.0977500000000002E-2</v>
      </c>
      <c r="T30">
        <v>3.7173000000000012E-2</v>
      </c>
      <c r="U30">
        <v>4.3368500000000025E-2</v>
      </c>
      <c r="W30">
        <v>1.239100000000001E-2</v>
      </c>
      <c r="X30">
        <v>1.8586500000000002E-2</v>
      </c>
      <c r="Y30">
        <v>2.4782000000000012E-2</v>
      </c>
      <c r="Z30">
        <v>3.0977499999999998E-2</v>
      </c>
      <c r="AA30">
        <v>3.7172999999999998E-2</v>
      </c>
      <c r="AB30">
        <v>4.3368500000000039E-2</v>
      </c>
      <c r="AD30" t="s">
        <v>477</v>
      </c>
      <c r="AE30" t="s">
        <v>1125</v>
      </c>
    </row>
    <row r="31" spans="2:31" x14ac:dyDescent="0.25">
      <c r="B31">
        <v>1.2391000000000006E-2</v>
      </c>
      <c r="C31">
        <v>1.8586500000000013E-2</v>
      </c>
      <c r="D31">
        <v>2.4782000000000023E-2</v>
      </c>
      <c r="E31">
        <v>3.0977500000000012E-2</v>
      </c>
      <c r="F31">
        <v>3.7173000000000005E-2</v>
      </c>
      <c r="G31">
        <v>4.3368500000000018E-2</v>
      </c>
      <c r="I31">
        <v>1.2391000000000001E-2</v>
      </c>
      <c r="J31">
        <v>1.8586500000000013E-2</v>
      </c>
      <c r="K31">
        <v>2.4782000000000012E-2</v>
      </c>
      <c r="L31">
        <v>3.0977500000000019E-2</v>
      </c>
      <c r="M31">
        <v>3.7172999999999998E-2</v>
      </c>
      <c r="N31">
        <v>4.3368500000000025E-2</v>
      </c>
      <c r="P31">
        <v>1.2391000000000006E-2</v>
      </c>
      <c r="Q31">
        <v>1.8586499999999995E-2</v>
      </c>
      <c r="R31">
        <v>2.4782000000000009E-2</v>
      </c>
      <c r="S31">
        <v>3.0977500000000002E-2</v>
      </c>
      <c r="T31">
        <v>3.7173000000000019E-2</v>
      </c>
      <c r="U31">
        <v>4.3368500000000032E-2</v>
      </c>
      <c r="W31">
        <v>1.239100000000001E-2</v>
      </c>
      <c r="X31">
        <v>1.8586500000000006E-2</v>
      </c>
      <c r="Y31">
        <v>2.4782000000000012E-2</v>
      </c>
      <c r="Z31">
        <v>3.0977500000000002E-2</v>
      </c>
      <c r="AA31">
        <v>3.7172999999999998E-2</v>
      </c>
      <c r="AB31">
        <v>4.3368500000000032E-2</v>
      </c>
      <c r="AD31" t="s">
        <v>482</v>
      </c>
      <c r="AE31" t="s">
        <v>1129</v>
      </c>
    </row>
    <row r="32" spans="2:31" x14ac:dyDescent="0.25">
      <c r="B32">
        <v>1.2391000000000006E-2</v>
      </c>
      <c r="C32">
        <v>1.8586500000000013E-2</v>
      </c>
      <c r="D32">
        <v>2.4782000000000023E-2</v>
      </c>
      <c r="E32">
        <v>3.0977500000000012E-2</v>
      </c>
      <c r="F32">
        <v>3.7173000000000005E-2</v>
      </c>
      <c r="G32">
        <v>4.3368500000000011E-2</v>
      </c>
      <c r="I32">
        <v>1.2391000000000001E-2</v>
      </c>
      <c r="J32">
        <v>1.8586500000000009E-2</v>
      </c>
      <c r="K32">
        <v>2.4782000000000016E-2</v>
      </c>
      <c r="L32">
        <v>3.0977500000000022E-2</v>
      </c>
      <c r="M32">
        <v>3.7173000000000005E-2</v>
      </c>
      <c r="N32">
        <v>4.3368500000000018E-2</v>
      </c>
      <c r="P32">
        <v>1.2391000000000006E-2</v>
      </c>
      <c r="Q32">
        <v>1.8586499999999995E-2</v>
      </c>
      <c r="R32">
        <v>2.4782000000000012E-2</v>
      </c>
      <c r="S32">
        <v>3.0977500000000005E-2</v>
      </c>
      <c r="T32">
        <v>3.7173000000000019E-2</v>
      </c>
      <c r="U32">
        <v>4.3368500000000032E-2</v>
      </c>
      <c r="W32">
        <v>1.239100000000001E-2</v>
      </c>
      <c r="X32">
        <v>1.8586500000000006E-2</v>
      </c>
      <c r="Y32">
        <v>2.4782000000000016E-2</v>
      </c>
      <c r="Z32">
        <v>3.0977499999999998E-2</v>
      </c>
      <c r="AA32">
        <v>3.7172999999999998E-2</v>
      </c>
      <c r="AB32">
        <v>4.3368500000000039E-2</v>
      </c>
      <c r="AD32" t="s">
        <v>486</v>
      </c>
      <c r="AE32" t="s">
        <v>1133</v>
      </c>
    </row>
    <row r="33" spans="2:31" x14ac:dyDescent="0.25">
      <c r="B33">
        <v>1.2391000000000006E-2</v>
      </c>
      <c r="C33">
        <v>1.8586500000000013E-2</v>
      </c>
      <c r="D33">
        <v>2.4782000000000023E-2</v>
      </c>
      <c r="E33">
        <v>3.0977500000000012E-2</v>
      </c>
      <c r="F33">
        <v>3.7173000000000005E-2</v>
      </c>
      <c r="G33">
        <v>4.3368500000000011E-2</v>
      </c>
      <c r="I33">
        <v>1.2391000000000001E-2</v>
      </c>
      <c r="J33">
        <v>1.8586500000000009E-2</v>
      </c>
      <c r="K33">
        <v>2.4782000000000016E-2</v>
      </c>
      <c r="L33">
        <v>3.0977500000000022E-2</v>
      </c>
      <c r="M33">
        <v>3.7173000000000005E-2</v>
      </c>
      <c r="N33">
        <v>4.3368500000000018E-2</v>
      </c>
      <c r="P33">
        <v>1.2391000000000006E-2</v>
      </c>
      <c r="Q33">
        <v>1.8586499999999995E-2</v>
      </c>
      <c r="R33">
        <v>2.4782000000000012E-2</v>
      </c>
      <c r="S33">
        <v>3.0977500000000005E-2</v>
      </c>
      <c r="T33">
        <v>3.7173000000000019E-2</v>
      </c>
      <c r="U33">
        <v>4.3368500000000032E-2</v>
      </c>
      <c r="W33">
        <v>1.239100000000001E-2</v>
      </c>
      <c r="X33">
        <v>1.8586500000000006E-2</v>
      </c>
      <c r="Y33">
        <v>2.4782000000000016E-2</v>
      </c>
      <c r="Z33">
        <v>3.0977499999999998E-2</v>
      </c>
      <c r="AA33">
        <v>3.7172999999999998E-2</v>
      </c>
      <c r="AB33">
        <v>4.3368500000000039E-2</v>
      </c>
      <c r="AD33" t="s">
        <v>489</v>
      </c>
      <c r="AE33" t="s">
        <v>1137</v>
      </c>
    </row>
    <row r="34" spans="2:31" x14ac:dyDescent="0.25">
      <c r="B34">
        <v>1.2391000000000008E-2</v>
      </c>
      <c r="C34">
        <v>1.8586500000000016E-2</v>
      </c>
      <c r="D34">
        <v>2.4782000000000026E-2</v>
      </c>
      <c r="E34">
        <v>3.0977500000000015E-2</v>
      </c>
      <c r="F34">
        <v>3.7173000000000012E-2</v>
      </c>
      <c r="G34">
        <v>4.3368500000000011E-2</v>
      </c>
      <c r="I34">
        <v>1.2391000000000003E-2</v>
      </c>
      <c r="J34">
        <v>1.8586500000000009E-2</v>
      </c>
      <c r="K34">
        <v>2.4782000000000016E-2</v>
      </c>
      <c r="L34">
        <v>3.0977500000000019E-2</v>
      </c>
      <c r="M34">
        <v>3.7173000000000005E-2</v>
      </c>
      <c r="N34">
        <v>4.3368500000000025E-2</v>
      </c>
      <c r="P34">
        <v>1.2391000000000006E-2</v>
      </c>
      <c r="Q34">
        <v>1.8586499999999995E-2</v>
      </c>
      <c r="R34">
        <v>2.4782000000000016E-2</v>
      </c>
      <c r="S34">
        <v>3.0977500000000009E-2</v>
      </c>
      <c r="T34">
        <v>3.7173000000000019E-2</v>
      </c>
      <c r="U34">
        <v>4.3368500000000032E-2</v>
      </c>
      <c r="W34">
        <v>1.239100000000001E-2</v>
      </c>
      <c r="X34">
        <v>1.8586500000000009E-2</v>
      </c>
      <c r="Y34">
        <v>2.4782000000000016E-2</v>
      </c>
      <c r="Z34">
        <v>3.0977500000000002E-2</v>
      </c>
      <c r="AA34">
        <v>3.7173000000000005E-2</v>
      </c>
      <c r="AB34">
        <v>4.3368500000000039E-2</v>
      </c>
      <c r="AD34" t="s">
        <v>493</v>
      </c>
      <c r="AE34" s="60" t="s">
        <v>1142</v>
      </c>
    </row>
    <row r="35" spans="2:31" x14ac:dyDescent="0.25">
      <c r="B35">
        <v>1.2391000000000008E-2</v>
      </c>
      <c r="C35">
        <v>1.8586500000000013E-2</v>
      </c>
      <c r="D35">
        <v>2.4782000000000023E-2</v>
      </c>
      <c r="E35">
        <v>3.0977500000000009E-2</v>
      </c>
      <c r="F35">
        <v>3.7173000000000012E-2</v>
      </c>
      <c r="G35">
        <v>4.3368500000000018E-2</v>
      </c>
      <c r="I35">
        <v>1.2391000000000001E-2</v>
      </c>
      <c r="J35">
        <v>1.8586500000000009E-2</v>
      </c>
      <c r="K35">
        <v>2.4782000000000016E-2</v>
      </c>
      <c r="L35">
        <v>3.0977500000000022E-2</v>
      </c>
      <c r="M35">
        <v>3.7172999999999998E-2</v>
      </c>
      <c r="N35">
        <v>4.3368500000000025E-2</v>
      </c>
      <c r="P35">
        <v>1.2391000000000006E-2</v>
      </c>
      <c r="Q35">
        <v>1.8586499999999999E-2</v>
      </c>
      <c r="R35">
        <v>2.4782000000000012E-2</v>
      </c>
      <c r="S35">
        <v>3.0977500000000005E-2</v>
      </c>
      <c r="T35">
        <v>3.7173000000000019E-2</v>
      </c>
      <c r="U35">
        <v>4.3368500000000039E-2</v>
      </c>
      <c r="W35">
        <v>1.239100000000001E-2</v>
      </c>
      <c r="X35">
        <v>1.8586500000000006E-2</v>
      </c>
      <c r="Y35">
        <v>2.4782000000000016E-2</v>
      </c>
      <c r="Z35">
        <v>3.0977500000000002E-2</v>
      </c>
      <c r="AA35">
        <v>3.7173000000000005E-2</v>
      </c>
      <c r="AB35">
        <v>4.3368500000000032E-2</v>
      </c>
      <c r="AD35" t="s">
        <v>497</v>
      </c>
      <c r="AE35" t="s">
        <v>1147</v>
      </c>
    </row>
    <row r="36" spans="2:31" x14ac:dyDescent="0.25">
      <c r="B36">
        <v>1.2391000000000004E-2</v>
      </c>
      <c r="C36">
        <v>1.8586500000000013E-2</v>
      </c>
      <c r="D36">
        <v>2.4782000000000019E-2</v>
      </c>
      <c r="E36">
        <v>3.0977500000000009E-2</v>
      </c>
      <c r="F36">
        <v>3.7173000000000005E-2</v>
      </c>
      <c r="G36">
        <v>4.3368500000000011E-2</v>
      </c>
      <c r="I36">
        <v>1.2391000000000001E-2</v>
      </c>
      <c r="J36">
        <v>1.8586500000000009E-2</v>
      </c>
      <c r="K36">
        <v>2.4782000000000012E-2</v>
      </c>
      <c r="L36">
        <v>3.0977500000000015E-2</v>
      </c>
      <c r="M36">
        <v>3.7172999999999998E-2</v>
      </c>
      <c r="N36">
        <v>4.3368500000000018E-2</v>
      </c>
      <c r="P36">
        <v>1.2391000000000004E-2</v>
      </c>
      <c r="Q36">
        <v>1.8586499999999992E-2</v>
      </c>
      <c r="R36">
        <v>2.4782000000000009E-2</v>
      </c>
      <c r="S36">
        <v>3.0977500000000005E-2</v>
      </c>
      <c r="T36">
        <v>3.7173000000000019E-2</v>
      </c>
      <c r="U36">
        <v>4.3368500000000032E-2</v>
      </c>
      <c r="W36">
        <v>1.2391000000000008E-2</v>
      </c>
      <c r="X36">
        <v>1.8586500000000006E-2</v>
      </c>
      <c r="Y36">
        <v>2.4782000000000012E-2</v>
      </c>
      <c r="Z36">
        <v>3.0977500000000002E-2</v>
      </c>
      <c r="AA36">
        <v>3.7173000000000005E-2</v>
      </c>
      <c r="AB36">
        <v>4.3368500000000025E-2</v>
      </c>
      <c r="AD36" t="s">
        <v>502</v>
      </c>
      <c r="AE36" t="s">
        <v>1152</v>
      </c>
    </row>
    <row r="37" spans="2:31" x14ac:dyDescent="0.25">
      <c r="B37">
        <v>1.2391000000000006E-2</v>
      </c>
      <c r="C37">
        <v>1.8586500000000009E-2</v>
      </c>
      <c r="D37">
        <v>2.4782000000000019E-2</v>
      </c>
      <c r="E37">
        <v>3.0977500000000009E-2</v>
      </c>
      <c r="F37">
        <v>3.7173000000000005E-2</v>
      </c>
      <c r="G37">
        <v>4.3368500000000011E-2</v>
      </c>
      <c r="I37">
        <v>1.2391000000000001E-2</v>
      </c>
      <c r="J37">
        <v>1.8586500000000006E-2</v>
      </c>
      <c r="K37">
        <v>2.4782000000000016E-2</v>
      </c>
      <c r="L37">
        <v>3.0977500000000012E-2</v>
      </c>
      <c r="M37">
        <v>3.7172999999999998E-2</v>
      </c>
      <c r="N37">
        <v>4.3368500000000018E-2</v>
      </c>
      <c r="P37">
        <v>1.2391000000000006E-2</v>
      </c>
      <c r="Q37">
        <v>1.8586499999999992E-2</v>
      </c>
      <c r="R37">
        <v>2.4782000000000012E-2</v>
      </c>
      <c r="S37">
        <v>3.0977500000000005E-2</v>
      </c>
      <c r="T37">
        <v>3.7173000000000012E-2</v>
      </c>
      <c r="U37">
        <v>4.3368500000000032E-2</v>
      </c>
      <c r="W37">
        <v>1.2391000000000008E-2</v>
      </c>
      <c r="X37">
        <v>1.8586500000000002E-2</v>
      </c>
      <c r="Y37">
        <v>2.4782000000000016E-2</v>
      </c>
      <c r="Z37">
        <v>3.0977500000000005E-2</v>
      </c>
      <c r="AA37">
        <v>3.7172999999999998E-2</v>
      </c>
      <c r="AB37">
        <v>4.3368500000000032E-2</v>
      </c>
      <c r="AD37" t="s">
        <v>505</v>
      </c>
      <c r="AE37" t="s">
        <v>1156</v>
      </c>
    </row>
    <row r="38" spans="2:31" x14ac:dyDescent="0.25">
      <c r="B38">
        <v>1.2391000000000004E-2</v>
      </c>
      <c r="C38">
        <v>1.8586500000000013E-2</v>
      </c>
      <c r="D38">
        <v>2.4782000000000019E-2</v>
      </c>
      <c r="E38">
        <v>3.0977500000000005E-2</v>
      </c>
      <c r="F38">
        <v>3.7172999999999998E-2</v>
      </c>
      <c r="G38">
        <v>4.3368500000000011E-2</v>
      </c>
      <c r="I38">
        <v>1.2391000000000001E-2</v>
      </c>
      <c r="J38">
        <v>1.8586500000000006E-2</v>
      </c>
      <c r="K38">
        <v>2.4782000000000016E-2</v>
      </c>
      <c r="L38">
        <v>3.0977500000000012E-2</v>
      </c>
      <c r="M38">
        <v>3.7172999999999998E-2</v>
      </c>
      <c r="N38">
        <v>4.3368500000000018E-2</v>
      </c>
      <c r="P38">
        <v>1.2391000000000006E-2</v>
      </c>
      <c r="Q38">
        <v>1.8586499999999992E-2</v>
      </c>
      <c r="R38">
        <v>2.4782000000000009E-2</v>
      </c>
      <c r="S38">
        <v>3.0977499999999998E-2</v>
      </c>
      <c r="T38">
        <v>3.7173000000000012E-2</v>
      </c>
      <c r="U38">
        <v>4.3368500000000025E-2</v>
      </c>
      <c r="W38">
        <v>1.2391000000000008E-2</v>
      </c>
      <c r="X38">
        <v>1.8586500000000002E-2</v>
      </c>
      <c r="Y38">
        <v>2.4782000000000012E-2</v>
      </c>
      <c r="Z38">
        <v>3.0977499999999998E-2</v>
      </c>
      <c r="AA38">
        <v>3.7172999999999998E-2</v>
      </c>
      <c r="AB38">
        <v>4.3368500000000025E-2</v>
      </c>
      <c r="AD38" t="s">
        <v>510</v>
      </c>
      <c r="AE38" t="s">
        <v>1160</v>
      </c>
    </row>
    <row r="39" spans="2:31" x14ac:dyDescent="0.25">
      <c r="B39">
        <v>1.2391000000000004E-2</v>
      </c>
      <c r="C39">
        <v>1.8586500000000013E-2</v>
      </c>
      <c r="D39">
        <v>2.4782000000000019E-2</v>
      </c>
      <c r="E39">
        <v>3.0977500000000005E-2</v>
      </c>
      <c r="F39">
        <v>3.7172999999999998E-2</v>
      </c>
      <c r="G39">
        <v>4.3368500000000011E-2</v>
      </c>
      <c r="I39">
        <v>1.2391000000000001E-2</v>
      </c>
      <c r="J39">
        <v>1.8586500000000006E-2</v>
      </c>
      <c r="K39">
        <v>2.4782000000000016E-2</v>
      </c>
      <c r="L39">
        <v>3.0977500000000012E-2</v>
      </c>
      <c r="M39">
        <v>3.7172999999999998E-2</v>
      </c>
      <c r="N39">
        <v>4.3368500000000018E-2</v>
      </c>
      <c r="P39">
        <v>1.2391000000000006E-2</v>
      </c>
      <c r="Q39">
        <v>1.8586499999999992E-2</v>
      </c>
      <c r="R39">
        <v>2.4782000000000009E-2</v>
      </c>
      <c r="S39">
        <v>3.0977499999999998E-2</v>
      </c>
      <c r="T39">
        <v>3.7173000000000012E-2</v>
      </c>
      <c r="U39">
        <v>4.3368500000000025E-2</v>
      </c>
      <c r="W39">
        <v>1.2391000000000008E-2</v>
      </c>
      <c r="X39">
        <v>1.8586500000000002E-2</v>
      </c>
      <c r="Y39">
        <v>2.4782000000000012E-2</v>
      </c>
      <c r="Z39">
        <v>3.0977499999999998E-2</v>
      </c>
      <c r="AA39">
        <v>3.7172999999999998E-2</v>
      </c>
      <c r="AB39">
        <v>4.3368500000000025E-2</v>
      </c>
      <c r="AD39" t="s">
        <v>514</v>
      </c>
      <c r="AE39" t="s">
        <v>1162</v>
      </c>
    </row>
    <row r="40" spans="2:31" x14ac:dyDescent="0.25">
      <c r="B40">
        <v>0</v>
      </c>
      <c r="C40">
        <v>0</v>
      </c>
      <c r="D40">
        <v>0</v>
      </c>
      <c r="E40">
        <v>0</v>
      </c>
      <c r="F40">
        <v>0</v>
      </c>
      <c r="G40">
        <v>0</v>
      </c>
      <c r="I40">
        <v>0</v>
      </c>
      <c r="J40">
        <v>0</v>
      </c>
      <c r="K40">
        <v>0</v>
      </c>
      <c r="L40">
        <v>0</v>
      </c>
      <c r="M40">
        <v>0</v>
      </c>
      <c r="N40">
        <v>0</v>
      </c>
      <c r="P40">
        <v>0</v>
      </c>
      <c r="Q40">
        <v>0</v>
      </c>
      <c r="R40">
        <v>0</v>
      </c>
      <c r="S40">
        <v>0</v>
      </c>
      <c r="T40">
        <v>0</v>
      </c>
      <c r="U40">
        <v>0</v>
      </c>
      <c r="W40">
        <v>0</v>
      </c>
      <c r="X40">
        <v>0</v>
      </c>
      <c r="Y40">
        <v>0</v>
      </c>
      <c r="Z40">
        <v>0</v>
      </c>
      <c r="AA40">
        <v>0</v>
      </c>
      <c r="AB40">
        <v>0</v>
      </c>
      <c r="AD40" t="s">
        <v>518</v>
      </c>
      <c r="AE40" t="s">
        <v>1167</v>
      </c>
    </row>
    <row r="41" spans="2:31" x14ac:dyDescent="0.25">
      <c r="B41">
        <v>2.8270000000000001E-3</v>
      </c>
      <c r="C41">
        <v>4.2405000000000003E-3</v>
      </c>
      <c r="D41">
        <v>5.6540000000000002E-3</v>
      </c>
      <c r="E41">
        <v>7.0675000000000009E-3</v>
      </c>
      <c r="F41">
        <v>8.480999999999999E-3</v>
      </c>
      <c r="G41">
        <v>9.8945000000000109E-3</v>
      </c>
      <c r="I41">
        <v>2.8270000000000001E-3</v>
      </c>
      <c r="J41">
        <v>4.2405000000000003E-3</v>
      </c>
      <c r="K41">
        <v>5.6539999999999993E-3</v>
      </c>
      <c r="L41">
        <v>7.0675E-3</v>
      </c>
      <c r="M41">
        <v>8.480999999999992E-3</v>
      </c>
      <c r="N41">
        <v>9.8945000000000109E-3</v>
      </c>
      <c r="P41">
        <v>2.8270000000000001E-3</v>
      </c>
      <c r="Q41">
        <v>4.240499999999996E-3</v>
      </c>
      <c r="R41">
        <v>5.6539999999999993E-3</v>
      </c>
      <c r="S41">
        <v>7.0675000000000009E-3</v>
      </c>
      <c r="T41">
        <v>8.480999999999999E-3</v>
      </c>
      <c r="U41">
        <v>9.8945000000000283E-3</v>
      </c>
      <c r="W41">
        <v>2.8270000000000001E-3</v>
      </c>
      <c r="X41">
        <v>4.2404999999999995E-3</v>
      </c>
      <c r="Y41">
        <v>5.6539999999999941E-3</v>
      </c>
      <c r="Z41">
        <v>7.0675000000000043E-3</v>
      </c>
      <c r="AA41">
        <v>8.4810000000000007E-3</v>
      </c>
      <c r="AB41">
        <v>9.8945000000000283E-3</v>
      </c>
      <c r="AD41" t="s">
        <v>521</v>
      </c>
      <c r="AE41" t="s">
        <v>1172</v>
      </c>
    </row>
    <row r="42" spans="2:31" x14ac:dyDescent="0.25">
      <c r="B42">
        <v>2.8270000000000001E-3</v>
      </c>
      <c r="C42">
        <v>4.2405000000000003E-3</v>
      </c>
      <c r="D42">
        <v>5.6540000000000002E-3</v>
      </c>
      <c r="E42">
        <v>7.0675000000000009E-3</v>
      </c>
      <c r="F42">
        <v>8.480999999999999E-3</v>
      </c>
      <c r="G42">
        <v>9.8945000000000109E-3</v>
      </c>
      <c r="I42">
        <v>2.8270000000000001E-3</v>
      </c>
      <c r="J42">
        <v>4.2405000000000003E-3</v>
      </c>
      <c r="K42">
        <v>5.6539999999999993E-3</v>
      </c>
      <c r="L42">
        <v>7.0675E-3</v>
      </c>
      <c r="M42">
        <v>8.480999999999992E-3</v>
      </c>
      <c r="N42">
        <v>9.8945000000000109E-3</v>
      </c>
      <c r="P42">
        <v>2.8270000000000001E-3</v>
      </c>
      <c r="Q42">
        <v>4.240499999999996E-3</v>
      </c>
      <c r="R42">
        <v>5.6539999999999993E-3</v>
      </c>
      <c r="S42">
        <v>7.0675000000000009E-3</v>
      </c>
      <c r="T42">
        <v>8.480999999999999E-3</v>
      </c>
      <c r="U42">
        <v>9.8945000000000283E-3</v>
      </c>
      <c r="W42">
        <v>2.8270000000000001E-3</v>
      </c>
      <c r="X42">
        <v>4.2404999999999995E-3</v>
      </c>
      <c r="Y42">
        <v>5.6539999999999941E-3</v>
      </c>
      <c r="Z42">
        <v>7.0675000000000043E-3</v>
      </c>
      <c r="AA42">
        <v>8.4810000000000007E-3</v>
      </c>
      <c r="AB42">
        <v>9.8945000000000283E-3</v>
      </c>
      <c r="AD42" t="s">
        <v>525</v>
      </c>
      <c r="AE42" t="s">
        <v>1176</v>
      </c>
    </row>
    <row r="43" spans="2:31" x14ac:dyDescent="0.25">
      <c r="B43">
        <v>0</v>
      </c>
      <c r="C43">
        <v>0</v>
      </c>
      <c r="D43">
        <v>0</v>
      </c>
      <c r="E43">
        <v>0</v>
      </c>
      <c r="F43">
        <v>0</v>
      </c>
      <c r="G43">
        <v>0</v>
      </c>
      <c r="I43">
        <v>0</v>
      </c>
      <c r="J43">
        <v>0</v>
      </c>
      <c r="K43">
        <v>0</v>
      </c>
      <c r="L43">
        <v>0</v>
      </c>
      <c r="M43">
        <v>0</v>
      </c>
      <c r="N43">
        <v>0</v>
      </c>
      <c r="P43">
        <v>0</v>
      </c>
      <c r="Q43">
        <v>0</v>
      </c>
      <c r="R43">
        <v>0</v>
      </c>
      <c r="S43">
        <v>0</v>
      </c>
      <c r="T43">
        <v>0</v>
      </c>
      <c r="U43">
        <v>0</v>
      </c>
      <c r="W43">
        <v>0</v>
      </c>
      <c r="X43">
        <v>0</v>
      </c>
      <c r="Y43">
        <v>0</v>
      </c>
      <c r="Z43">
        <v>0</v>
      </c>
      <c r="AA43">
        <v>0</v>
      </c>
      <c r="AB43">
        <v>0</v>
      </c>
      <c r="AD43" t="s">
        <v>529</v>
      </c>
      <c r="AE43" t="s">
        <v>1181</v>
      </c>
    </row>
    <row r="44" spans="2:31" x14ac:dyDescent="0.25">
      <c r="B44">
        <v>2.8270000000000001E-3</v>
      </c>
      <c r="C44">
        <v>4.2405000000000003E-3</v>
      </c>
      <c r="D44">
        <v>5.6540000000000002E-3</v>
      </c>
      <c r="E44">
        <v>7.0675000000000009E-3</v>
      </c>
      <c r="F44">
        <v>8.4809999999999972E-3</v>
      </c>
      <c r="G44">
        <v>9.8945000000000109E-3</v>
      </c>
      <c r="I44">
        <v>2.8270000000000001E-3</v>
      </c>
      <c r="J44">
        <v>4.2405000000000003E-3</v>
      </c>
      <c r="K44">
        <v>5.6539999999999984E-3</v>
      </c>
      <c r="L44">
        <v>7.0675000000000009E-3</v>
      </c>
      <c r="M44">
        <v>8.480999999999992E-3</v>
      </c>
      <c r="N44">
        <v>9.8945000000000109E-3</v>
      </c>
      <c r="P44">
        <v>2.8270000000000001E-3</v>
      </c>
      <c r="Q44">
        <v>4.240499999999996E-3</v>
      </c>
      <c r="R44">
        <v>5.6539999999999993E-3</v>
      </c>
      <c r="S44">
        <v>7.0675000000000009E-3</v>
      </c>
      <c r="T44">
        <v>8.480999999999999E-3</v>
      </c>
      <c r="U44">
        <v>9.89450000000003E-3</v>
      </c>
      <c r="W44">
        <v>2.8270000000000001E-3</v>
      </c>
      <c r="X44">
        <v>4.2404999999999986E-3</v>
      </c>
      <c r="Y44">
        <v>5.653999999999995E-3</v>
      </c>
      <c r="Z44">
        <v>7.0675000000000043E-3</v>
      </c>
      <c r="AA44">
        <v>8.4810000000000007E-3</v>
      </c>
      <c r="AB44">
        <v>9.8945000000000283E-3</v>
      </c>
      <c r="AD44" t="s">
        <v>533</v>
      </c>
      <c r="AE44" t="s">
        <v>1185</v>
      </c>
    </row>
    <row r="45" spans="2:31" x14ac:dyDescent="0.25">
      <c r="B45">
        <v>0</v>
      </c>
      <c r="C45">
        <v>0</v>
      </c>
      <c r="D45">
        <v>0</v>
      </c>
      <c r="E45">
        <v>0</v>
      </c>
      <c r="F45">
        <v>0</v>
      </c>
      <c r="G45">
        <v>0</v>
      </c>
      <c r="I45">
        <v>0</v>
      </c>
      <c r="J45">
        <v>0</v>
      </c>
      <c r="K45">
        <v>0</v>
      </c>
      <c r="L45">
        <v>0</v>
      </c>
      <c r="M45">
        <v>0</v>
      </c>
      <c r="N45">
        <v>0</v>
      </c>
      <c r="P45">
        <v>0</v>
      </c>
      <c r="Q45">
        <v>0</v>
      </c>
      <c r="R45">
        <v>0</v>
      </c>
      <c r="S45">
        <v>0</v>
      </c>
      <c r="T45">
        <v>0</v>
      </c>
      <c r="U45">
        <v>0</v>
      </c>
      <c r="W45">
        <v>0</v>
      </c>
      <c r="X45">
        <v>0</v>
      </c>
      <c r="Y45">
        <v>0</v>
      </c>
      <c r="Z45">
        <v>0</v>
      </c>
      <c r="AA45">
        <v>0</v>
      </c>
      <c r="AB45">
        <v>0</v>
      </c>
      <c r="AD45" t="s">
        <v>538</v>
      </c>
      <c r="AE45" t="s">
        <v>1189</v>
      </c>
    </row>
    <row r="46" spans="2:31" x14ac:dyDescent="0.25">
      <c r="B46">
        <v>1.2391000000000003E-2</v>
      </c>
      <c r="C46">
        <v>1.8586500000000013E-2</v>
      </c>
      <c r="D46">
        <v>2.4782000000000016E-2</v>
      </c>
      <c r="E46">
        <v>3.0977500000000005E-2</v>
      </c>
      <c r="F46">
        <v>3.7172999999999998E-2</v>
      </c>
      <c r="G46">
        <v>4.3368500000000011E-2</v>
      </c>
      <c r="I46">
        <v>1.2391000000000001E-2</v>
      </c>
      <c r="J46">
        <v>1.8586500000000006E-2</v>
      </c>
      <c r="K46">
        <v>2.4782000000000016E-2</v>
      </c>
      <c r="L46">
        <v>3.0977500000000012E-2</v>
      </c>
      <c r="M46">
        <v>3.7172999999999998E-2</v>
      </c>
      <c r="N46">
        <v>4.3368500000000011E-2</v>
      </c>
      <c r="P46">
        <v>1.2391000000000003E-2</v>
      </c>
      <c r="Q46">
        <v>1.8586499999999995E-2</v>
      </c>
      <c r="R46">
        <v>2.4782000000000012E-2</v>
      </c>
      <c r="S46">
        <v>3.0977500000000002E-2</v>
      </c>
      <c r="T46">
        <v>3.7173000000000012E-2</v>
      </c>
      <c r="U46">
        <v>4.3368500000000032E-2</v>
      </c>
      <c r="W46">
        <v>1.2391000000000008E-2</v>
      </c>
      <c r="X46">
        <v>1.8586500000000002E-2</v>
      </c>
      <c r="Y46">
        <v>2.4782000000000012E-2</v>
      </c>
      <c r="Z46">
        <v>3.0977499999999998E-2</v>
      </c>
      <c r="AA46">
        <v>3.7172999999999991E-2</v>
      </c>
      <c r="AB46">
        <v>4.3368500000000032E-2</v>
      </c>
      <c r="AD46" t="s">
        <v>543</v>
      </c>
      <c r="AE46" t="s">
        <v>1193</v>
      </c>
    </row>
    <row r="47" spans="2:31" x14ac:dyDescent="0.25">
      <c r="B47">
        <v>1.2391000000000004E-2</v>
      </c>
      <c r="C47">
        <v>1.8586500000000009E-2</v>
      </c>
      <c r="D47">
        <v>2.4782000000000019E-2</v>
      </c>
      <c r="E47">
        <v>3.0977500000000009E-2</v>
      </c>
      <c r="F47">
        <v>3.7172999999999991E-2</v>
      </c>
      <c r="G47">
        <v>4.3368500000000004E-2</v>
      </c>
      <c r="I47">
        <v>1.2391000000000001E-2</v>
      </c>
      <c r="J47">
        <v>1.8586500000000002E-2</v>
      </c>
      <c r="K47">
        <v>2.4782000000000016E-2</v>
      </c>
      <c r="L47">
        <v>3.0977500000000009E-2</v>
      </c>
      <c r="M47">
        <v>3.7172999999999998E-2</v>
      </c>
      <c r="N47">
        <v>4.3368500000000018E-2</v>
      </c>
      <c r="P47">
        <v>1.2391000000000004E-2</v>
      </c>
      <c r="Q47">
        <v>1.8586499999999992E-2</v>
      </c>
      <c r="R47">
        <v>2.4782000000000012E-2</v>
      </c>
      <c r="S47">
        <v>3.0977500000000002E-2</v>
      </c>
      <c r="T47">
        <v>3.7173000000000012E-2</v>
      </c>
      <c r="U47">
        <v>4.3368500000000025E-2</v>
      </c>
      <c r="W47">
        <v>1.2391000000000008E-2</v>
      </c>
      <c r="X47">
        <v>1.8586499999999999E-2</v>
      </c>
      <c r="Y47">
        <v>2.4782000000000012E-2</v>
      </c>
      <c r="Z47">
        <v>3.0977499999999995E-2</v>
      </c>
      <c r="AA47">
        <v>3.7172999999999991E-2</v>
      </c>
      <c r="AB47">
        <v>4.3368500000000032E-2</v>
      </c>
      <c r="AD47" t="s">
        <v>546</v>
      </c>
      <c r="AE47" t="s">
        <v>1198</v>
      </c>
    </row>
    <row r="48" spans="2:31" x14ac:dyDescent="0.25">
      <c r="B48">
        <v>1.2391000000000004E-2</v>
      </c>
      <c r="C48">
        <v>1.8586500000000013E-2</v>
      </c>
      <c r="D48">
        <v>2.4782000000000016E-2</v>
      </c>
      <c r="E48">
        <v>3.0977500000000012E-2</v>
      </c>
      <c r="F48">
        <v>3.7172999999999998E-2</v>
      </c>
      <c r="G48">
        <v>4.3368500000000011E-2</v>
      </c>
      <c r="I48">
        <v>1.2391000000000003E-2</v>
      </c>
      <c r="J48">
        <v>1.8586500000000002E-2</v>
      </c>
      <c r="K48">
        <v>2.4782000000000012E-2</v>
      </c>
      <c r="L48">
        <v>3.0977500000000012E-2</v>
      </c>
      <c r="M48">
        <v>3.7172999999999998E-2</v>
      </c>
      <c r="N48">
        <v>4.3368500000000018E-2</v>
      </c>
      <c r="P48">
        <v>1.2391000000000004E-2</v>
      </c>
      <c r="Q48">
        <v>1.8586499999999992E-2</v>
      </c>
      <c r="R48">
        <v>2.4782000000000012E-2</v>
      </c>
      <c r="S48">
        <v>3.0977500000000005E-2</v>
      </c>
      <c r="T48">
        <v>3.7173000000000012E-2</v>
      </c>
      <c r="U48">
        <v>4.3368500000000032E-2</v>
      </c>
      <c r="W48">
        <v>1.2391000000000008E-2</v>
      </c>
      <c r="X48">
        <v>1.8586500000000002E-2</v>
      </c>
      <c r="Y48">
        <v>2.4782000000000012E-2</v>
      </c>
      <c r="Z48">
        <v>3.0977499999999998E-2</v>
      </c>
      <c r="AA48">
        <v>3.7172999999999998E-2</v>
      </c>
      <c r="AB48">
        <v>4.3368500000000032E-2</v>
      </c>
      <c r="AD48" t="s">
        <v>549</v>
      </c>
      <c r="AE48" t="s">
        <v>1202</v>
      </c>
    </row>
    <row r="49" spans="2:31" x14ac:dyDescent="0.25">
      <c r="B49">
        <v>0</v>
      </c>
      <c r="C49">
        <v>0</v>
      </c>
      <c r="D49">
        <v>0</v>
      </c>
      <c r="E49">
        <v>0</v>
      </c>
      <c r="F49">
        <v>0</v>
      </c>
      <c r="G49">
        <v>0</v>
      </c>
      <c r="I49">
        <v>0</v>
      </c>
      <c r="J49">
        <v>0</v>
      </c>
      <c r="K49">
        <v>0</v>
      </c>
      <c r="L49">
        <v>0</v>
      </c>
      <c r="M49">
        <v>0</v>
      </c>
      <c r="N49">
        <v>0</v>
      </c>
      <c r="P49">
        <v>0</v>
      </c>
      <c r="Q49">
        <v>0</v>
      </c>
      <c r="R49">
        <v>0</v>
      </c>
      <c r="S49">
        <v>0</v>
      </c>
      <c r="T49">
        <v>0</v>
      </c>
      <c r="U49">
        <v>0</v>
      </c>
      <c r="W49">
        <v>0</v>
      </c>
      <c r="X49">
        <v>0</v>
      </c>
      <c r="Y49">
        <v>0</v>
      </c>
      <c r="Z49">
        <v>0</v>
      </c>
      <c r="AA49">
        <v>0</v>
      </c>
      <c r="AB49">
        <v>0</v>
      </c>
      <c r="AD49" t="s">
        <v>553</v>
      </c>
      <c r="AE49" t="s">
        <v>1208</v>
      </c>
    </row>
    <row r="50" spans="2:31" x14ac:dyDescent="0.25">
      <c r="B50">
        <v>7.365E-3</v>
      </c>
      <c r="C50">
        <v>1.10475E-2</v>
      </c>
      <c r="D50">
        <v>1.473E-2</v>
      </c>
      <c r="E50">
        <v>1.8412499999999998E-2</v>
      </c>
      <c r="F50">
        <v>2.2095E-2</v>
      </c>
      <c r="G50">
        <v>2.5777500000000005E-2</v>
      </c>
      <c r="I50">
        <v>7.365E-3</v>
      </c>
      <c r="J50">
        <v>1.10475E-2</v>
      </c>
      <c r="K50">
        <v>1.473E-2</v>
      </c>
      <c r="L50">
        <v>1.8412499999999998E-2</v>
      </c>
      <c r="M50">
        <v>2.2094999999999997E-2</v>
      </c>
      <c r="N50">
        <v>2.5777500000000005E-2</v>
      </c>
      <c r="P50">
        <v>7.365E-3</v>
      </c>
      <c r="Q50">
        <v>1.10475E-2</v>
      </c>
      <c r="R50">
        <v>1.473E-2</v>
      </c>
      <c r="S50">
        <v>1.8412499999999995E-2</v>
      </c>
      <c r="T50">
        <v>2.2095E-2</v>
      </c>
      <c r="U50">
        <v>2.5777500000000005E-2</v>
      </c>
      <c r="W50">
        <v>7.3650000000000009E-3</v>
      </c>
      <c r="X50">
        <v>1.10475E-2</v>
      </c>
      <c r="Y50">
        <v>1.473E-2</v>
      </c>
      <c r="Z50">
        <v>1.8412499999999995E-2</v>
      </c>
      <c r="AA50">
        <v>2.2094999999999997E-2</v>
      </c>
      <c r="AB50">
        <v>2.5777500000000005E-2</v>
      </c>
      <c r="AD50" t="s">
        <v>558</v>
      </c>
      <c r="AE50" t="s">
        <v>1212</v>
      </c>
    </row>
    <row r="51" spans="2:31" x14ac:dyDescent="0.25">
      <c r="B51">
        <v>0</v>
      </c>
      <c r="C51">
        <v>0</v>
      </c>
      <c r="D51">
        <v>0</v>
      </c>
      <c r="E51">
        <v>0</v>
      </c>
      <c r="F51">
        <v>0</v>
      </c>
      <c r="G51">
        <v>0</v>
      </c>
      <c r="I51">
        <v>0</v>
      </c>
      <c r="J51">
        <v>0</v>
      </c>
      <c r="K51">
        <v>0</v>
      </c>
      <c r="L51">
        <v>0</v>
      </c>
      <c r="M51">
        <v>0</v>
      </c>
      <c r="N51">
        <v>0</v>
      </c>
      <c r="P51">
        <v>0</v>
      </c>
      <c r="Q51">
        <v>0</v>
      </c>
      <c r="R51">
        <v>0</v>
      </c>
      <c r="S51">
        <v>0</v>
      </c>
      <c r="T51">
        <v>0</v>
      </c>
      <c r="U51">
        <v>0</v>
      </c>
      <c r="W51">
        <v>0</v>
      </c>
      <c r="X51">
        <v>0</v>
      </c>
      <c r="Y51">
        <v>0</v>
      </c>
      <c r="Z51">
        <v>0</v>
      </c>
      <c r="AA51">
        <v>0</v>
      </c>
      <c r="AB51">
        <v>0</v>
      </c>
      <c r="AD51" t="s">
        <v>561</v>
      </c>
      <c r="AE51" t="s">
        <v>1217</v>
      </c>
    </row>
    <row r="52" spans="2:31" x14ac:dyDescent="0.25">
      <c r="B52">
        <v>2.2900000000000001E-4</v>
      </c>
      <c r="C52">
        <v>3.4350000000000006E-4</v>
      </c>
      <c r="D52">
        <v>4.5800000000000002E-4</v>
      </c>
      <c r="E52">
        <v>5.7249999999999998E-4</v>
      </c>
      <c r="F52">
        <v>6.87E-4</v>
      </c>
      <c r="G52">
        <v>8.0150000000000002E-4</v>
      </c>
      <c r="I52">
        <v>2.2900000000000001E-4</v>
      </c>
      <c r="J52">
        <v>3.4350000000000006E-4</v>
      </c>
      <c r="K52">
        <v>4.5800000000000002E-4</v>
      </c>
      <c r="L52">
        <v>5.7249999999999998E-4</v>
      </c>
      <c r="M52">
        <v>6.87E-4</v>
      </c>
      <c r="N52">
        <v>8.0150000000000002E-4</v>
      </c>
      <c r="P52">
        <v>2.2900000000000001E-4</v>
      </c>
      <c r="Q52">
        <v>3.4350000000000006E-4</v>
      </c>
      <c r="R52">
        <v>4.5800000000000002E-4</v>
      </c>
      <c r="S52">
        <v>5.7249999999999998E-4</v>
      </c>
      <c r="T52">
        <v>6.87E-4</v>
      </c>
      <c r="U52">
        <v>8.0150000000000002E-4</v>
      </c>
      <c r="W52">
        <v>2.2900000000000001E-4</v>
      </c>
      <c r="X52">
        <v>3.4350000000000006E-4</v>
      </c>
      <c r="Y52">
        <v>4.5800000000000002E-4</v>
      </c>
      <c r="Z52">
        <v>5.7249999999999998E-4</v>
      </c>
      <c r="AA52">
        <v>6.87E-4</v>
      </c>
      <c r="AB52">
        <v>8.0150000000000002E-4</v>
      </c>
      <c r="AD52" t="s">
        <v>564</v>
      </c>
      <c r="AE52" t="s">
        <v>1569</v>
      </c>
    </row>
    <row r="53" spans="2:31" x14ac:dyDescent="0.25">
      <c r="B53">
        <v>1.8310000000000004E-3</v>
      </c>
      <c r="C53">
        <v>2.7465000000000011E-3</v>
      </c>
      <c r="D53">
        <v>3.6620000000000008E-3</v>
      </c>
      <c r="E53">
        <v>4.5775000000000008E-3</v>
      </c>
      <c r="F53">
        <v>5.4930000000000005E-3</v>
      </c>
      <c r="G53">
        <v>6.408500000000001E-3</v>
      </c>
      <c r="I53">
        <v>1.8310000000000006E-3</v>
      </c>
      <c r="J53">
        <v>2.7465000000000011E-3</v>
      </c>
      <c r="K53">
        <v>3.6620000000000008E-3</v>
      </c>
      <c r="L53">
        <v>4.5775000000000008E-3</v>
      </c>
      <c r="M53">
        <v>5.4930000000000022E-3</v>
      </c>
      <c r="N53">
        <v>6.408500000000001E-3</v>
      </c>
      <c r="P53">
        <v>1.8310000000000004E-3</v>
      </c>
      <c r="Q53">
        <v>2.7465000000000011E-3</v>
      </c>
      <c r="R53">
        <v>3.6620000000000008E-3</v>
      </c>
      <c r="S53">
        <v>4.5775000000000008E-3</v>
      </c>
      <c r="T53">
        <v>5.4930000000000005E-3</v>
      </c>
      <c r="U53">
        <v>6.408500000000001E-3</v>
      </c>
      <c r="W53">
        <v>1.8310000000000004E-3</v>
      </c>
      <c r="X53">
        <v>2.7465000000000002E-3</v>
      </c>
      <c r="Y53">
        <v>3.6620000000000008E-3</v>
      </c>
      <c r="Z53">
        <v>4.5775000000000008E-3</v>
      </c>
      <c r="AA53">
        <v>5.4930000000000005E-3</v>
      </c>
      <c r="AB53">
        <v>6.4085000000000019E-3</v>
      </c>
      <c r="AD53" t="s">
        <v>567</v>
      </c>
      <c r="AE53" t="s">
        <v>1570</v>
      </c>
    </row>
    <row r="54" spans="2:31" x14ac:dyDescent="0.25">
      <c r="B54">
        <v>1.8310000000000004E-3</v>
      </c>
      <c r="C54">
        <v>2.7465000000000007E-3</v>
      </c>
      <c r="D54">
        <v>3.6620000000000012E-3</v>
      </c>
      <c r="E54">
        <v>4.5775E-3</v>
      </c>
      <c r="F54">
        <v>5.4930000000000005E-3</v>
      </c>
      <c r="G54">
        <v>6.408500000000001E-3</v>
      </c>
      <c r="I54">
        <v>1.8310000000000006E-3</v>
      </c>
      <c r="J54">
        <v>2.7465000000000007E-3</v>
      </c>
      <c r="K54">
        <v>3.6620000000000008E-3</v>
      </c>
      <c r="L54">
        <v>4.5775E-3</v>
      </c>
      <c r="M54">
        <v>5.4930000000000014E-3</v>
      </c>
      <c r="N54">
        <v>6.408500000000001E-3</v>
      </c>
      <c r="P54">
        <v>1.8310000000000002E-3</v>
      </c>
      <c r="Q54">
        <v>2.7465000000000007E-3</v>
      </c>
      <c r="R54">
        <v>3.6620000000000008E-3</v>
      </c>
      <c r="S54">
        <v>4.5775E-3</v>
      </c>
      <c r="T54">
        <v>5.4929999999999996E-3</v>
      </c>
      <c r="U54">
        <v>6.408500000000001E-3</v>
      </c>
      <c r="W54">
        <v>1.8310000000000004E-3</v>
      </c>
      <c r="X54">
        <v>2.7465000000000002E-3</v>
      </c>
      <c r="Y54">
        <v>3.6620000000000003E-3</v>
      </c>
      <c r="Z54">
        <v>4.5775E-3</v>
      </c>
      <c r="AA54">
        <v>5.4930000000000005E-3</v>
      </c>
      <c r="AB54">
        <v>6.4085000000000019E-3</v>
      </c>
      <c r="AD54" t="s">
        <v>570</v>
      </c>
      <c r="AE54" t="s">
        <v>1571</v>
      </c>
    </row>
    <row r="55" spans="2:31" x14ac:dyDescent="0.25">
      <c r="B55">
        <v>1.8310000000000006E-3</v>
      </c>
      <c r="C55">
        <v>2.7465000000000011E-3</v>
      </c>
      <c r="D55">
        <v>3.6620000000000016E-3</v>
      </c>
      <c r="E55">
        <v>4.5775000000000008E-3</v>
      </c>
      <c r="F55">
        <v>5.4930000000000014E-3</v>
      </c>
      <c r="G55">
        <v>6.4085000000000019E-3</v>
      </c>
      <c r="I55">
        <v>1.8310000000000008E-3</v>
      </c>
      <c r="J55">
        <v>2.7465000000000011E-3</v>
      </c>
      <c r="K55">
        <v>3.6620000000000012E-3</v>
      </c>
      <c r="L55">
        <v>4.5775000000000008E-3</v>
      </c>
      <c r="M55">
        <v>5.4930000000000022E-3</v>
      </c>
      <c r="N55">
        <v>6.4085000000000019E-3</v>
      </c>
      <c r="P55">
        <v>1.8310000000000004E-3</v>
      </c>
      <c r="Q55">
        <v>2.7465000000000011E-3</v>
      </c>
      <c r="R55">
        <v>3.6620000000000012E-3</v>
      </c>
      <c r="S55">
        <v>4.5775000000000008E-3</v>
      </c>
      <c r="T55">
        <v>5.4930000000000005E-3</v>
      </c>
      <c r="U55">
        <v>6.4085000000000019E-3</v>
      </c>
      <c r="W55">
        <v>1.8310000000000006E-3</v>
      </c>
      <c r="X55">
        <v>2.7465000000000007E-3</v>
      </c>
      <c r="Y55">
        <v>3.6620000000000008E-3</v>
      </c>
      <c r="Z55">
        <v>4.5775000000000008E-3</v>
      </c>
      <c r="AA55">
        <v>5.4930000000000014E-3</v>
      </c>
      <c r="AB55">
        <v>6.4085000000000027E-3</v>
      </c>
      <c r="AD55" t="s">
        <v>575</v>
      </c>
      <c r="AE55" t="s">
        <v>1572</v>
      </c>
    </row>
    <row r="56" spans="2:31" x14ac:dyDescent="0.25">
      <c r="B56">
        <v>4.9790000000000008E-3</v>
      </c>
      <c r="C56">
        <v>7.468500000000002E-3</v>
      </c>
      <c r="D56">
        <v>9.9580000000000033E-3</v>
      </c>
      <c r="E56">
        <v>1.2447500000000002E-2</v>
      </c>
      <c r="F56">
        <v>1.4937000000000004E-2</v>
      </c>
      <c r="G56">
        <v>1.7426500000000004E-2</v>
      </c>
      <c r="I56">
        <v>4.9790000000000017E-3</v>
      </c>
      <c r="J56">
        <v>7.4685000000000012E-3</v>
      </c>
      <c r="K56">
        <v>9.9580000000000033E-3</v>
      </c>
      <c r="L56">
        <v>1.24475E-2</v>
      </c>
      <c r="M56">
        <v>1.4937000000000004E-2</v>
      </c>
      <c r="N56">
        <v>1.7426500000000008E-2</v>
      </c>
      <c r="P56">
        <v>4.9790000000000008E-3</v>
      </c>
      <c r="Q56">
        <v>7.4685000000000012E-3</v>
      </c>
      <c r="R56">
        <v>9.9580000000000033E-3</v>
      </c>
      <c r="S56">
        <v>1.24475E-2</v>
      </c>
      <c r="T56">
        <v>1.4937000000000004E-2</v>
      </c>
      <c r="U56">
        <v>1.7426500000000008E-2</v>
      </c>
      <c r="W56">
        <v>4.9790000000000017E-3</v>
      </c>
      <c r="X56">
        <v>7.4685000000000003E-3</v>
      </c>
      <c r="Y56">
        <v>9.9580000000000016E-3</v>
      </c>
      <c r="Z56">
        <v>1.24475E-2</v>
      </c>
      <c r="AA56">
        <v>1.4937000000000002E-2</v>
      </c>
      <c r="AB56">
        <v>1.7426500000000004E-2</v>
      </c>
      <c r="AD56" t="s">
        <v>578</v>
      </c>
      <c r="AE56" t="s">
        <v>1573</v>
      </c>
    </row>
    <row r="57" spans="2:31" x14ac:dyDescent="0.25">
      <c r="B57">
        <v>4.9789999999999999E-3</v>
      </c>
      <c r="C57">
        <v>7.468500000000002E-3</v>
      </c>
      <c r="D57">
        <v>9.9580000000000016E-3</v>
      </c>
      <c r="E57">
        <v>1.24475E-2</v>
      </c>
      <c r="F57">
        <v>1.4937000000000004E-2</v>
      </c>
      <c r="G57">
        <v>1.7426500000000004E-2</v>
      </c>
      <c r="I57">
        <v>4.9790000000000008E-3</v>
      </c>
      <c r="J57">
        <v>7.4685000000000012E-3</v>
      </c>
      <c r="K57">
        <v>9.9580000000000016E-3</v>
      </c>
      <c r="L57">
        <v>1.24475E-2</v>
      </c>
      <c r="M57">
        <v>1.4937000000000002E-2</v>
      </c>
      <c r="N57">
        <v>1.7426500000000004E-2</v>
      </c>
      <c r="P57">
        <v>4.9789999999999999E-3</v>
      </c>
      <c r="Q57">
        <v>7.4685000000000012E-3</v>
      </c>
      <c r="R57">
        <v>9.9579999999999998E-3</v>
      </c>
      <c r="S57">
        <v>1.24475E-2</v>
      </c>
      <c r="T57">
        <v>1.4937000000000002E-2</v>
      </c>
      <c r="U57">
        <v>1.7426500000000004E-2</v>
      </c>
      <c r="W57">
        <v>4.9790000000000008E-3</v>
      </c>
      <c r="X57">
        <v>7.4684999999999994E-3</v>
      </c>
      <c r="Y57">
        <v>9.9579999999999998E-3</v>
      </c>
      <c r="Z57">
        <v>1.24475E-2</v>
      </c>
      <c r="AA57">
        <v>1.4937000000000002E-2</v>
      </c>
      <c r="AB57">
        <v>1.7426500000000004E-2</v>
      </c>
      <c r="AD57" t="s">
        <v>581</v>
      </c>
      <c r="AE57" t="s">
        <v>1574</v>
      </c>
    </row>
    <row r="58" spans="2:31" x14ac:dyDescent="0.25">
      <c r="B58">
        <v>-1.0809944561163434E-27</v>
      </c>
      <c r="C58">
        <v>1.1301305677579955E-28</v>
      </c>
      <c r="D58">
        <v>6.5719549320709518E-29</v>
      </c>
      <c r="E58">
        <v>9.4587014910180063E-29</v>
      </c>
      <c r="F58">
        <v>1.9040243261140141E-29</v>
      </c>
      <c r="G58">
        <v>1.6122786632417056E-29</v>
      </c>
      <c r="I58">
        <v>-1.0883648728625913E-27</v>
      </c>
      <c r="J58">
        <v>6.3262743738626919E-29</v>
      </c>
      <c r="K58">
        <v>9.7043820492262651E-29</v>
      </c>
      <c r="L58">
        <v>1.2775389026829514E-28</v>
      </c>
      <c r="M58">
        <v>2.3032552332024363E-29</v>
      </c>
      <c r="N58">
        <v>2.211125023874339E-29</v>
      </c>
      <c r="P58">
        <v>-5.5278125596858475E-30</v>
      </c>
      <c r="Q58">
        <v>-4.2994097686445481E-30</v>
      </c>
      <c r="R58">
        <v>-2.7639062798429238E-30</v>
      </c>
      <c r="S58">
        <v>-2.4568055820825989E-30</v>
      </c>
      <c r="T58">
        <v>4.7907708850610678E-29</v>
      </c>
      <c r="U58">
        <v>5.5278125596858481E-29</v>
      </c>
      <c r="W58">
        <v>-3.454882849803655E-30</v>
      </c>
      <c r="X58">
        <v>-2.3032552332024365E-31</v>
      </c>
      <c r="Y58">
        <v>-4.6065104664048729E-31</v>
      </c>
      <c r="Z58">
        <v>-4.6065104664048729E-30</v>
      </c>
      <c r="AA58">
        <v>4.1765694895404181E-29</v>
      </c>
      <c r="AB58">
        <v>5.0364514432693277E-29</v>
      </c>
      <c r="AD58" t="s">
        <v>585</v>
      </c>
      <c r="AE58" t="s">
        <v>1248</v>
      </c>
    </row>
    <row r="59" spans="2:31" x14ac:dyDescent="0.25">
      <c r="B59">
        <v>-2.8500000000000004E-4</v>
      </c>
      <c r="C59">
        <v>-4.2750000000000015E-4</v>
      </c>
      <c r="D59">
        <v>-5.7000000000000019E-4</v>
      </c>
      <c r="E59">
        <v>-7.1250000000000024E-4</v>
      </c>
      <c r="F59">
        <v>-8.5500000000000007E-4</v>
      </c>
      <c r="G59">
        <v>-9.9750000000000034E-4</v>
      </c>
      <c r="I59">
        <v>-2.850000000000001E-4</v>
      </c>
      <c r="J59">
        <v>-4.2750000000000031E-4</v>
      </c>
      <c r="K59">
        <v>-5.7000000000000009E-4</v>
      </c>
      <c r="L59">
        <v>-7.1250000000000013E-4</v>
      </c>
      <c r="M59">
        <v>-8.550000000000004E-4</v>
      </c>
      <c r="N59">
        <v>-9.9749999999999969E-4</v>
      </c>
      <c r="P59">
        <v>-2.8500000000000004E-4</v>
      </c>
      <c r="Q59">
        <v>-4.2750000000000015E-4</v>
      </c>
      <c r="R59">
        <v>-5.7000000000000009E-4</v>
      </c>
      <c r="S59">
        <v>-7.1250000000000003E-4</v>
      </c>
      <c r="T59">
        <v>-8.5500000000000029E-4</v>
      </c>
      <c r="U59">
        <v>-9.9750000000000056E-4</v>
      </c>
      <c r="W59">
        <v>-2.8500000000000004E-4</v>
      </c>
      <c r="X59">
        <v>-4.2750000000000015E-4</v>
      </c>
      <c r="Y59">
        <v>-5.7000000000000019E-4</v>
      </c>
      <c r="Z59">
        <v>-7.1250000000000013E-4</v>
      </c>
      <c r="AA59">
        <v>-8.550000000000004E-4</v>
      </c>
      <c r="AB59">
        <v>-9.9750000000000056E-4</v>
      </c>
      <c r="AD59" t="s">
        <v>590</v>
      </c>
      <c r="AE59" t="s">
        <v>1297</v>
      </c>
    </row>
    <row r="60" spans="2:31" x14ac:dyDescent="0.25">
      <c r="B60">
        <v>-1.3170000000000002E-3</v>
      </c>
      <c r="C60">
        <v>-1.9755000000000003E-3</v>
      </c>
      <c r="D60">
        <v>-2.6340000000000001E-3</v>
      </c>
      <c r="E60">
        <v>-3.2925000000000003E-3</v>
      </c>
      <c r="F60">
        <v>-3.9509999999999997E-3</v>
      </c>
      <c r="G60">
        <v>-4.6094999999999999E-3</v>
      </c>
      <c r="I60">
        <v>-1.317E-3</v>
      </c>
      <c r="J60">
        <v>-1.9755000000000003E-3</v>
      </c>
      <c r="K60">
        <v>-2.6340000000000001E-3</v>
      </c>
      <c r="L60">
        <v>-3.2924999999999999E-3</v>
      </c>
      <c r="M60">
        <v>-3.9510000000000005E-3</v>
      </c>
      <c r="N60">
        <v>-4.6095000000000007E-3</v>
      </c>
      <c r="P60">
        <v>-1.317E-3</v>
      </c>
      <c r="Q60">
        <v>-1.9755000000000007E-3</v>
      </c>
      <c r="R60">
        <v>-2.6340000000000005E-3</v>
      </c>
      <c r="S60">
        <v>-3.2924999999999999E-3</v>
      </c>
      <c r="T60">
        <v>-3.9509999999999997E-3</v>
      </c>
      <c r="U60">
        <v>-4.6095000000000007E-3</v>
      </c>
      <c r="W60">
        <v>-1.3170000000000002E-3</v>
      </c>
      <c r="X60">
        <v>-1.9755000000000003E-3</v>
      </c>
      <c r="Y60">
        <v>-2.6340000000000005E-3</v>
      </c>
      <c r="Z60">
        <v>-3.2924999999999999E-3</v>
      </c>
      <c r="AA60">
        <v>-3.9510000000000005E-3</v>
      </c>
      <c r="AB60">
        <v>-4.6095000000000007E-3</v>
      </c>
      <c r="AD60" t="s">
        <v>593</v>
      </c>
      <c r="AE60" t="s">
        <v>1301</v>
      </c>
    </row>
    <row r="61" spans="2:31" x14ac:dyDescent="0.25">
      <c r="B61">
        <v>-1.6020000000000001E-3</v>
      </c>
      <c r="C61">
        <v>-2.4030000000000006E-3</v>
      </c>
      <c r="D61">
        <v>-3.2040000000000003E-3</v>
      </c>
      <c r="E61">
        <v>-4.0049999999999999E-3</v>
      </c>
      <c r="F61">
        <v>-4.8059999999999995E-3</v>
      </c>
      <c r="G61">
        <v>-5.6070000000000009E-3</v>
      </c>
      <c r="I61">
        <v>-1.6020000000000001E-3</v>
      </c>
      <c r="J61">
        <v>-2.4030000000000006E-3</v>
      </c>
      <c r="K61">
        <v>-3.2040000000000007E-3</v>
      </c>
      <c r="L61">
        <v>-4.0049999999999999E-3</v>
      </c>
      <c r="M61">
        <v>-4.8060000000000004E-3</v>
      </c>
      <c r="N61">
        <v>-5.6070000000000009E-3</v>
      </c>
      <c r="P61">
        <v>-1.6020000000000001E-3</v>
      </c>
      <c r="Q61">
        <v>-2.4030000000000006E-3</v>
      </c>
      <c r="R61">
        <v>-3.2040000000000007E-3</v>
      </c>
      <c r="S61">
        <v>-4.0049999999999999E-3</v>
      </c>
      <c r="T61">
        <v>-4.8060000000000004E-3</v>
      </c>
      <c r="U61">
        <v>-5.6070000000000009E-3</v>
      </c>
      <c r="W61">
        <v>-1.6020000000000001E-3</v>
      </c>
      <c r="X61">
        <v>-2.4030000000000002E-3</v>
      </c>
      <c r="Y61">
        <v>-3.2040000000000007E-3</v>
      </c>
      <c r="Z61">
        <v>-4.0050000000000007E-3</v>
      </c>
      <c r="AA61">
        <v>-4.8059999999999995E-3</v>
      </c>
      <c r="AB61">
        <v>-5.6070000000000009E-3</v>
      </c>
      <c r="AD61" t="s">
        <v>598</v>
      </c>
      <c r="AE61" t="s">
        <v>1303</v>
      </c>
    </row>
    <row r="62" spans="2:31" x14ac:dyDescent="0.25">
      <c r="B62">
        <v>-1.6020000000000001E-3</v>
      </c>
      <c r="C62">
        <v>-2.4030000000000006E-3</v>
      </c>
      <c r="D62">
        <v>-3.2040000000000003E-3</v>
      </c>
      <c r="E62">
        <v>-4.0049999999999999E-3</v>
      </c>
      <c r="F62">
        <v>-4.8059999999999995E-3</v>
      </c>
      <c r="G62">
        <v>-5.6070000000000009E-3</v>
      </c>
      <c r="I62">
        <v>-1.6020000000000001E-3</v>
      </c>
      <c r="J62">
        <v>-2.4030000000000006E-3</v>
      </c>
      <c r="K62">
        <v>-3.2040000000000007E-3</v>
      </c>
      <c r="L62">
        <v>-4.0049999999999999E-3</v>
      </c>
      <c r="M62">
        <v>-4.8060000000000004E-3</v>
      </c>
      <c r="N62">
        <v>-5.6070000000000009E-3</v>
      </c>
      <c r="P62">
        <v>-1.6020000000000001E-3</v>
      </c>
      <c r="Q62">
        <v>-2.4030000000000006E-3</v>
      </c>
      <c r="R62">
        <v>-3.2040000000000007E-3</v>
      </c>
      <c r="S62">
        <v>-4.0049999999999999E-3</v>
      </c>
      <c r="T62">
        <v>-4.8060000000000004E-3</v>
      </c>
      <c r="U62">
        <v>-5.6070000000000009E-3</v>
      </c>
      <c r="W62">
        <v>-1.6020000000000001E-3</v>
      </c>
      <c r="X62">
        <v>-2.4030000000000002E-3</v>
      </c>
      <c r="Y62">
        <v>-3.2040000000000007E-3</v>
      </c>
      <c r="Z62">
        <v>-4.0050000000000007E-3</v>
      </c>
      <c r="AA62">
        <v>-4.8059999999999995E-3</v>
      </c>
      <c r="AB62">
        <v>-5.6070000000000009E-3</v>
      </c>
      <c r="AD62" t="s">
        <v>603</v>
      </c>
      <c r="AE62" t="s">
        <v>1307</v>
      </c>
    </row>
    <row r="63" spans="2:31" x14ac:dyDescent="0.25">
      <c r="B63">
        <v>-2.850000000000001E-4</v>
      </c>
      <c r="C63">
        <v>-4.2750000000000015E-4</v>
      </c>
      <c r="D63">
        <v>-5.7000000000000019E-4</v>
      </c>
      <c r="E63">
        <v>-7.1250000000000035E-4</v>
      </c>
      <c r="F63">
        <v>-8.5500000000000007E-4</v>
      </c>
      <c r="G63">
        <v>-9.9750000000000034E-4</v>
      </c>
      <c r="I63">
        <v>-2.850000000000001E-4</v>
      </c>
      <c r="J63">
        <v>-4.2750000000000031E-4</v>
      </c>
      <c r="K63">
        <v>-5.7000000000000009E-4</v>
      </c>
      <c r="L63">
        <v>-7.1250000000000013E-4</v>
      </c>
      <c r="M63">
        <v>-8.5500000000000051E-4</v>
      </c>
      <c r="N63">
        <v>-9.9750000000000012E-4</v>
      </c>
      <c r="P63">
        <v>-2.850000000000001E-4</v>
      </c>
      <c r="Q63">
        <v>-4.2750000000000015E-4</v>
      </c>
      <c r="R63">
        <v>-5.7000000000000019E-4</v>
      </c>
      <c r="S63">
        <v>-7.1250000000000003E-4</v>
      </c>
      <c r="T63">
        <v>-8.5500000000000029E-4</v>
      </c>
      <c r="U63">
        <v>-9.9750000000000056E-4</v>
      </c>
      <c r="W63">
        <v>-2.8500000000000004E-4</v>
      </c>
      <c r="X63">
        <v>-4.2750000000000015E-4</v>
      </c>
      <c r="Y63">
        <v>-5.7000000000000019E-4</v>
      </c>
      <c r="Z63">
        <v>-7.1250000000000013E-4</v>
      </c>
      <c r="AA63">
        <v>-8.550000000000004E-4</v>
      </c>
      <c r="AB63">
        <v>-9.9750000000000056E-4</v>
      </c>
      <c r="AD63" t="s">
        <v>607</v>
      </c>
      <c r="AE63" t="s">
        <v>1311</v>
      </c>
    </row>
    <row r="64" spans="2:31" x14ac:dyDescent="0.25">
      <c r="B64">
        <v>0</v>
      </c>
      <c r="C64">
        <v>0</v>
      </c>
      <c r="D64">
        <v>0</v>
      </c>
      <c r="E64">
        <v>0</v>
      </c>
      <c r="F64">
        <v>1.194E-3</v>
      </c>
      <c r="G64">
        <v>1.3930000000000001E-3</v>
      </c>
      <c r="I64">
        <v>0</v>
      </c>
      <c r="J64">
        <v>0</v>
      </c>
      <c r="K64">
        <v>0</v>
      </c>
      <c r="L64">
        <v>0</v>
      </c>
      <c r="M64">
        <v>1.194E-3</v>
      </c>
      <c r="N64">
        <v>1.3930000000000001E-3</v>
      </c>
      <c r="P64">
        <v>0</v>
      </c>
      <c r="Q64">
        <v>0</v>
      </c>
      <c r="R64">
        <v>0</v>
      </c>
      <c r="S64">
        <v>0</v>
      </c>
      <c r="T64">
        <v>1.194E-3</v>
      </c>
      <c r="U64">
        <v>1.3930000000000001E-3</v>
      </c>
      <c r="W64">
        <v>0</v>
      </c>
      <c r="X64">
        <v>0</v>
      </c>
      <c r="Y64">
        <v>0</v>
      </c>
      <c r="Z64">
        <v>0</v>
      </c>
      <c r="AA64">
        <v>1.194E-3</v>
      </c>
      <c r="AB64">
        <v>1.3930000000000001E-3</v>
      </c>
      <c r="AD64" t="s">
        <v>611</v>
      </c>
      <c r="AE64" t="s">
        <v>1316</v>
      </c>
    </row>
    <row r="65" spans="2:31" x14ac:dyDescent="0.25">
      <c r="B65">
        <v>0</v>
      </c>
      <c r="C65">
        <v>0</v>
      </c>
      <c r="D65">
        <v>0</v>
      </c>
      <c r="E65">
        <v>0</v>
      </c>
      <c r="F65">
        <v>0</v>
      </c>
      <c r="G65">
        <v>0</v>
      </c>
      <c r="I65">
        <v>0</v>
      </c>
      <c r="J65">
        <v>0</v>
      </c>
      <c r="K65">
        <v>0</v>
      </c>
      <c r="L65">
        <v>0</v>
      </c>
      <c r="M65">
        <v>0</v>
      </c>
      <c r="N65">
        <v>0</v>
      </c>
      <c r="P65">
        <v>0</v>
      </c>
      <c r="Q65">
        <v>0</v>
      </c>
      <c r="R65">
        <v>0</v>
      </c>
      <c r="S65">
        <v>0</v>
      </c>
      <c r="T65">
        <v>0</v>
      </c>
      <c r="U65">
        <v>0</v>
      </c>
      <c r="W65">
        <v>0</v>
      </c>
      <c r="X65">
        <v>0</v>
      </c>
      <c r="Y65">
        <v>0</v>
      </c>
      <c r="Z65">
        <v>0</v>
      </c>
      <c r="AA65">
        <v>0</v>
      </c>
      <c r="AB65">
        <v>0</v>
      </c>
      <c r="AD65" t="s">
        <v>615</v>
      </c>
      <c r="AE65" t="s">
        <v>1321</v>
      </c>
    </row>
    <row r="66" spans="2:31" x14ac:dyDescent="0.25">
      <c r="B66">
        <v>0</v>
      </c>
      <c r="C66">
        <v>0</v>
      </c>
      <c r="D66">
        <v>0</v>
      </c>
      <c r="E66">
        <v>0</v>
      </c>
      <c r="F66">
        <v>0</v>
      </c>
      <c r="G66">
        <v>0</v>
      </c>
      <c r="I66">
        <v>0</v>
      </c>
      <c r="J66">
        <v>0</v>
      </c>
      <c r="K66">
        <v>0</v>
      </c>
      <c r="L66">
        <v>0</v>
      </c>
      <c r="M66">
        <v>0</v>
      </c>
      <c r="N66">
        <v>0</v>
      </c>
      <c r="P66">
        <v>0</v>
      </c>
      <c r="Q66">
        <v>0</v>
      </c>
      <c r="R66">
        <v>0</v>
      </c>
      <c r="S66">
        <v>0</v>
      </c>
      <c r="T66">
        <v>0</v>
      </c>
      <c r="U66">
        <v>0</v>
      </c>
      <c r="W66">
        <v>0</v>
      </c>
      <c r="X66">
        <v>0</v>
      </c>
      <c r="Y66">
        <v>0</v>
      </c>
      <c r="Z66">
        <v>0</v>
      </c>
      <c r="AA66">
        <v>0</v>
      </c>
      <c r="AB66">
        <v>0</v>
      </c>
      <c r="AD66" t="s">
        <v>620</v>
      </c>
      <c r="AE66" t="s">
        <v>1325</v>
      </c>
    </row>
    <row r="67" spans="2:31" x14ac:dyDescent="0.25">
      <c r="B67">
        <v>0</v>
      </c>
      <c r="C67">
        <v>0</v>
      </c>
      <c r="D67">
        <v>0</v>
      </c>
      <c r="E67">
        <v>0</v>
      </c>
      <c r="F67">
        <v>0</v>
      </c>
      <c r="G67">
        <v>0</v>
      </c>
      <c r="I67">
        <v>0</v>
      </c>
      <c r="J67">
        <v>0</v>
      </c>
      <c r="K67">
        <v>0</v>
      </c>
      <c r="L67">
        <v>0</v>
      </c>
      <c r="M67">
        <v>0</v>
      </c>
      <c r="N67">
        <v>0</v>
      </c>
      <c r="P67">
        <v>0</v>
      </c>
      <c r="Q67">
        <v>0</v>
      </c>
      <c r="R67">
        <v>0</v>
      </c>
      <c r="S67">
        <v>0</v>
      </c>
      <c r="T67">
        <v>0</v>
      </c>
      <c r="U67">
        <v>0</v>
      </c>
      <c r="W67">
        <v>0</v>
      </c>
      <c r="X67">
        <v>0</v>
      </c>
      <c r="Y67">
        <v>0</v>
      </c>
      <c r="Z67">
        <v>0</v>
      </c>
      <c r="AA67">
        <v>0</v>
      </c>
      <c r="AB67">
        <v>0</v>
      </c>
      <c r="AD67" t="s">
        <v>625</v>
      </c>
      <c r="AE67" t="s">
        <v>1329</v>
      </c>
    </row>
    <row r="68" spans="2:31" x14ac:dyDescent="0.25">
      <c r="B68">
        <v>0</v>
      </c>
      <c r="C68">
        <v>0</v>
      </c>
      <c r="D68">
        <v>0</v>
      </c>
      <c r="E68">
        <v>0</v>
      </c>
      <c r="F68">
        <v>0</v>
      </c>
      <c r="G68">
        <v>0</v>
      </c>
      <c r="I68">
        <v>0</v>
      </c>
      <c r="J68">
        <v>0</v>
      </c>
      <c r="K68">
        <v>0</v>
      </c>
      <c r="L68">
        <v>0</v>
      </c>
      <c r="M68">
        <v>0</v>
      </c>
      <c r="N68">
        <v>0</v>
      </c>
      <c r="P68">
        <v>0</v>
      </c>
      <c r="Q68">
        <v>0</v>
      </c>
      <c r="R68">
        <v>0</v>
      </c>
      <c r="S68">
        <v>0</v>
      </c>
      <c r="T68">
        <v>0</v>
      </c>
      <c r="U68">
        <v>0</v>
      </c>
      <c r="W68">
        <v>0</v>
      </c>
      <c r="X68">
        <v>0</v>
      </c>
      <c r="Y68">
        <v>0</v>
      </c>
      <c r="Z68">
        <v>0</v>
      </c>
      <c r="AA68">
        <v>0</v>
      </c>
      <c r="AB68">
        <v>0</v>
      </c>
      <c r="AD68" t="s">
        <v>629</v>
      </c>
      <c r="AE68" t="s">
        <v>1335</v>
      </c>
    </row>
    <row r="69" spans="2:31" x14ac:dyDescent="0.25">
      <c r="B69">
        <v>-4.9318000000000028E-2</v>
      </c>
      <c r="C69">
        <v>-7.3977000000000043E-2</v>
      </c>
      <c r="D69">
        <v>-9.8636000000000071E-2</v>
      </c>
      <c r="E69">
        <v>-0.12329500000000003</v>
      </c>
      <c r="F69">
        <v>-0.15034200000000003</v>
      </c>
      <c r="G69">
        <v>-0.17539900000000008</v>
      </c>
      <c r="I69">
        <v>-4.9318000000000001E-2</v>
      </c>
      <c r="J69">
        <v>-7.3977000000000015E-2</v>
      </c>
      <c r="K69">
        <v>-9.8636000000000029E-2</v>
      </c>
      <c r="L69">
        <v>-0.12329500000000006</v>
      </c>
      <c r="M69">
        <v>-0.150342</v>
      </c>
      <c r="N69">
        <v>-0.17539900000000005</v>
      </c>
      <c r="P69">
        <v>-4.9318000000000028E-2</v>
      </c>
      <c r="Q69">
        <v>-7.3977000000000001E-2</v>
      </c>
      <c r="R69">
        <v>-9.8636000000000015E-2</v>
      </c>
      <c r="S69">
        <v>-0.12329500000000006</v>
      </c>
      <c r="T69">
        <v>-0.15034200000000006</v>
      </c>
      <c r="U69">
        <v>-0.17539900000000011</v>
      </c>
      <c r="W69">
        <v>-4.9318000000000022E-2</v>
      </c>
      <c r="X69">
        <v>-7.3977000000000029E-2</v>
      </c>
      <c r="Y69">
        <v>-9.8636000000000001E-2</v>
      </c>
      <c r="Z69">
        <v>-0.12329500000000003</v>
      </c>
      <c r="AA69">
        <v>-0.15034200000000003</v>
      </c>
      <c r="AB69">
        <v>-0.17539900000000014</v>
      </c>
      <c r="AD69" t="s">
        <v>633</v>
      </c>
      <c r="AE69" t="s">
        <v>1337</v>
      </c>
    </row>
    <row r="70" spans="2:31" x14ac:dyDescent="0.25">
      <c r="B70">
        <v>0</v>
      </c>
      <c r="C70">
        <v>0</v>
      </c>
      <c r="D70">
        <v>0</v>
      </c>
      <c r="E70">
        <v>0</v>
      </c>
      <c r="F70">
        <v>0</v>
      </c>
      <c r="G70">
        <v>0</v>
      </c>
      <c r="I70">
        <v>0</v>
      </c>
      <c r="J70">
        <v>0</v>
      </c>
      <c r="K70">
        <v>0</v>
      </c>
      <c r="L70">
        <v>0</v>
      </c>
      <c r="M70">
        <v>0</v>
      </c>
      <c r="N70">
        <v>0</v>
      </c>
      <c r="P70">
        <v>0</v>
      </c>
      <c r="Q70">
        <v>0</v>
      </c>
      <c r="R70">
        <v>0</v>
      </c>
      <c r="S70">
        <v>0</v>
      </c>
      <c r="T70">
        <v>0</v>
      </c>
      <c r="U70">
        <v>0</v>
      </c>
      <c r="W70">
        <v>0</v>
      </c>
      <c r="X70">
        <v>0</v>
      </c>
      <c r="Y70">
        <v>0</v>
      </c>
      <c r="Z70">
        <v>0</v>
      </c>
      <c r="AA70">
        <v>0</v>
      </c>
      <c r="AB70">
        <v>0</v>
      </c>
      <c r="AD70" t="s">
        <v>636</v>
      </c>
      <c r="AE70" t="s">
        <v>1341</v>
      </c>
    </row>
    <row r="71" spans="2:31" x14ac:dyDescent="0.25">
      <c r="B71">
        <v>2.3934E-2</v>
      </c>
      <c r="C71">
        <v>3.5900999999999995E-2</v>
      </c>
      <c r="D71">
        <v>4.7868000000000001E-2</v>
      </c>
      <c r="E71">
        <v>5.9834999999999999E-2</v>
      </c>
      <c r="F71">
        <v>7.1801999999999991E-2</v>
      </c>
      <c r="G71">
        <v>8.376900000000001E-2</v>
      </c>
      <c r="I71">
        <v>2.3934E-2</v>
      </c>
      <c r="J71">
        <v>3.5901000000000009E-2</v>
      </c>
      <c r="K71">
        <v>4.7868000000000001E-2</v>
      </c>
      <c r="L71">
        <v>5.9834999999999999E-2</v>
      </c>
      <c r="M71">
        <v>7.1801999999999991E-2</v>
      </c>
      <c r="N71">
        <v>8.376900000000001E-2</v>
      </c>
      <c r="P71">
        <v>2.3934E-2</v>
      </c>
      <c r="Q71">
        <v>3.5900999999999988E-2</v>
      </c>
      <c r="R71">
        <v>4.7868000000000001E-2</v>
      </c>
      <c r="S71">
        <v>5.9834999999999999E-2</v>
      </c>
      <c r="T71">
        <v>7.1801999999999991E-2</v>
      </c>
      <c r="U71">
        <v>8.3769000000000038E-2</v>
      </c>
      <c r="W71">
        <v>2.3934E-2</v>
      </c>
      <c r="X71">
        <v>3.5900999999999995E-2</v>
      </c>
      <c r="Y71">
        <v>4.7867999999999994E-2</v>
      </c>
      <c r="Z71">
        <v>5.9834999999999999E-2</v>
      </c>
      <c r="AA71">
        <v>7.1801999999999991E-2</v>
      </c>
      <c r="AB71">
        <v>8.3769000000000038E-2</v>
      </c>
      <c r="AD71" t="s">
        <v>639</v>
      </c>
      <c r="AE71" s="60" t="s">
        <v>1342</v>
      </c>
    </row>
    <row r="72" spans="2:31" x14ac:dyDescent="0.25">
      <c r="B72">
        <v>1.7207E-2</v>
      </c>
      <c r="C72">
        <v>2.5810500000000004E-2</v>
      </c>
      <c r="D72">
        <v>3.4414E-2</v>
      </c>
      <c r="E72">
        <v>4.30175E-2</v>
      </c>
      <c r="F72">
        <v>5.1621000000000007E-2</v>
      </c>
      <c r="G72">
        <v>6.0224500000000014E-2</v>
      </c>
      <c r="I72">
        <v>1.7207E-2</v>
      </c>
      <c r="J72">
        <v>2.5810500000000004E-2</v>
      </c>
      <c r="K72">
        <v>3.4414E-2</v>
      </c>
      <c r="L72">
        <v>4.30175E-2</v>
      </c>
      <c r="M72">
        <v>5.1621E-2</v>
      </c>
      <c r="N72">
        <v>6.0224500000000014E-2</v>
      </c>
      <c r="P72">
        <v>1.7207E-2</v>
      </c>
      <c r="Q72">
        <v>2.58105E-2</v>
      </c>
      <c r="R72">
        <v>3.4414E-2</v>
      </c>
      <c r="S72">
        <v>4.30175E-2</v>
      </c>
      <c r="T72">
        <v>5.1621000000000007E-2</v>
      </c>
      <c r="U72">
        <v>6.0224500000000028E-2</v>
      </c>
      <c r="W72">
        <v>1.7207E-2</v>
      </c>
      <c r="X72">
        <v>2.5810500000000004E-2</v>
      </c>
      <c r="Y72">
        <v>3.4414E-2</v>
      </c>
      <c r="Z72">
        <v>4.30175E-2</v>
      </c>
      <c r="AA72">
        <v>5.1621000000000007E-2</v>
      </c>
      <c r="AB72">
        <v>6.0224500000000028E-2</v>
      </c>
      <c r="AD72" t="s">
        <v>642</v>
      </c>
      <c r="AE72" s="60" t="s">
        <v>1348</v>
      </c>
    </row>
    <row r="73" spans="2:31" x14ac:dyDescent="0.25">
      <c r="B73">
        <v>0</v>
      </c>
      <c r="C73">
        <v>0</v>
      </c>
      <c r="D73">
        <v>0</v>
      </c>
      <c r="E73">
        <v>0</v>
      </c>
      <c r="F73">
        <v>0</v>
      </c>
      <c r="G73">
        <v>0</v>
      </c>
      <c r="I73">
        <v>0</v>
      </c>
      <c r="J73">
        <v>0</v>
      </c>
      <c r="K73">
        <v>0</v>
      </c>
      <c r="L73">
        <v>0</v>
      </c>
      <c r="M73">
        <v>0</v>
      </c>
      <c r="N73">
        <v>0</v>
      </c>
      <c r="P73">
        <v>0</v>
      </c>
      <c r="Q73">
        <v>0</v>
      </c>
      <c r="R73">
        <v>0</v>
      </c>
      <c r="S73">
        <v>0</v>
      </c>
      <c r="T73">
        <v>0</v>
      </c>
      <c r="U73">
        <v>0</v>
      </c>
      <c r="W73">
        <v>0</v>
      </c>
      <c r="X73">
        <v>0</v>
      </c>
      <c r="Y73">
        <v>0</v>
      </c>
      <c r="Z73">
        <v>0</v>
      </c>
      <c r="AA73">
        <v>0</v>
      </c>
      <c r="AB73">
        <v>0</v>
      </c>
      <c r="AD73" t="s">
        <v>646</v>
      </c>
      <c r="AE73" s="60" t="s">
        <v>1353</v>
      </c>
    </row>
    <row r="74" spans="2:31" x14ac:dyDescent="0.25">
      <c r="B74">
        <v>0</v>
      </c>
      <c r="C74">
        <v>0</v>
      </c>
      <c r="D74">
        <v>0</v>
      </c>
      <c r="E74">
        <v>0</v>
      </c>
      <c r="F74">
        <v>0</v>
      </c>
      <c r="G74">
        <v>0</v>
      </c>
      <c r="I74">
        <v>0</v>
      </c>
      <c r="J74">
        <v>0</v>
      </c>
      <c r="K74">
        <v>0</v>
      </c>
      <c r="L74">
        <v>0</v>
      </c>
      <c r="M74">
        <v>0</v>
      </c>
      <c r="N74">
        <v>0</v>
      </c>
      <c r="P74">
        <v>0</v>
      </c>
      <c r="Q74">
        <v>0</v>
      </c>
      <c r="R74">
        <v>0</v>
      </c>
      <c r="S74">
        <v>0</v>
      </c>
      <c r="T74">
        <v>0</v>
      </c>
      <c r="U74">
        <v>0</v>
      </c>
      <c r="W74">
        <v>0</v>
      </c>
      <c r="X74">
        <v>0</v>
      </c>
      <c r="Y74">
        <v>0</v>
      </c>
      <c r="Z74">
        <v>0</v>
      </c>
      <c r="AA74">
        <v>0</v>
      </c>
      <c r="AB74">
        <v>0</v>
      </c>
      <c r="AD74" t="s">
        <v>649</v>
      </c>
      <c r="AE74" s="60" t="s">
        <v>1357</v>
      </c>
    </row>
    <row r="75" spans="2:31" x14ac:dyDescent="0.25">
      <c r="B75">
        <v>2.3933999999999997E-2</v>
      </c>
      <c r="C75">
        <v>3.5900999999999995E-2</v>
      </c>
      <c r="D75">
        <v>4.7867999999999994E-2</v>
      </c>
      <c r="E75">
        <v>5.9834999999999999E-2</v>
      </c>
      <c r="F75">
        <v>7.1802000000000005E-2</v>
      </c>
      <c r="G75">
        <v>8.376900000000001E-2</v>
      </c>
      <c r="I75">
        <v>2.3933999999999997E-2</v>
      </c>
      <c r="J75">
        <v>3.5901000000000002E-2</v>
      </c>
      <c r="K75">
        <v>4.7867999999999994E-2</v>
      </c>
      <c r="L75">
        <v>5.9834999999999999E-2</v>
      </c>
      <c r="M75">
        <v>7.1801999999999991E-2</v>
      </c>
      <c r="N75">
        <v>8.376900000000001E-2</v>
      </c>
      <c r="P75">
        <v>2.3933999999999997E-2</v>
      </c>
      <c r="Q75">
        <v>3.5900999999999988E-2</v>
      </c>
      <c r="R75">
        <v>4.7868000000000001E-2</v>
      </c>
      <c r="S75">
        <v>5.9834999999999999E-2</v>
      </c>
      <c r="T75">
        <v>7.1801999999999991E-2</v>
      </c>
      <c r="U75">
        <v>8.3769000000000038E-2</v>
      </c>
      <c r="W75">
        <v>2.3933999999999997E-2</v>
      </c>
      <c r="X75">
        <v>3.5900999999999995E-2</v>
      </c>
      <c r="Y75">
        <v>4.7867999999999987E-2</v>
      </c>
      <c r="Z75">
        <v>5.9834999999999999E-2</v>
      </c>
      <c r="AA75">
        <v>7.1801999999999991E-2</v>
      </c>
      <c r="AB75">
        <v>8.3769000000000038E-2</v>
      </c>
      <c r="AD75" t="s">
        <v>653</v>
      </c>
      <c r="AE75" s="60" t="s">
        <v>1362</v>
      </c>
    </row>
    <row r="76" spans="2:31" x14ac:dyDescent="0.25">
      <c r="B76">
        <v>2.3934E-2</v>
      </c>
      <c r="C76">
        <v>3.5900999999999995E-2</v>
      </c>
      <c r="D76">
        <v>4.7868000000000001E-2</v>
      </c>
      <c r="E76">
        <v>5.9835000000000006E-2</v>
      </c>
      <c r="F76">
        <v>7.1801999999999991E-2</v>
      </c>
      <c r="G76">
        <v>8.3768999999999996E-2</v>
      </c>
      <c r="I76">
        <v>2.3934E-2</v>
      </c>
      <c r="J76">
        <v>3.5901000000000002E-2</v>
      </c>
      <c r="K76">
        <v>4.7868000000000001E-2</v>
      </c>
      <c r="L76">
        <v>5.9835000000000006E-2</v>
      </c>
      <c r="M76">
        <v>7.1801999999999991E-2</v>
      </c>
      <c r="N76">
        <v>8.3768999999999996E-2</v>
      </c>
      <c r="P76">
        <v>2.3934E-2</v>
      </c>
      <c r="Q76">
        <v>3.5900999999999988E-2</v>
      </c>
      <c r="R76">
        <v>4.7868000000000001E-2</v>
      </c>
      <c r="S76">
        <v>5.9835000000000006E-2</v>
      </c>
      <c r="T76">
        <v>7.1801999999999991E-2</v>
      </c>
      <c r="U76">
        <v>8.3769000000000038E-2</v>
      </c>
      <c r="W76">
        <v>2.3934E-2</v>
      </c>
      <c r="X76">
        <v>3.5900999999999995E-2</v>
      </c>
      <c r="Y76">
        <v>4.7867999999999994E-2</v>
      </c>
      <c r="Z76">
        <v>5.9835000000000006E-2</v>
      </c>
      <c r="AA76">
        <v>7.1801999999999991E-2</v>
      </c>
      <c r="AB76">
        <v>8.3769000000000038E-2</v>
      </c>
      <c r="AD76" t="s">
        <v>656</v>
      </c>
      <c r="AE76" s="60" t="s">
        <v>1365</v>
      </c>
    </row>
    <row r="77" spans="2:31" x14ac:dyDescent="0.25">
      <c r="B77">
        <v>0</v>
      </c>
      <c r="C77">
        <v>0</v>
      </c>
      <c r="D77">
        <v>0</v>
      </c>
      <c r="E77">
        <v>0</v>
      </c>
      <c r="F77">
        <v>0</v>
      </c>
      <c r="G77">
        <v>0</v>
      </c>
      <c r="I77">
        <v>0</v>
      </c>
      <c r="J77">
        <v>0</v>
      </c>
      <c r="K77">
        <v>0</v>
      </c>
      <c r="L77">
        <v>0</v>
      </c>
      <c r="M77">
        <v>0</v>
      </c>
      <c r="N77">
        <v>0</v>
      </c>
      <c r="P77">
        <v>0</v>
      </c>
      <c r="Q77">
        <v>0</v>
      </c>
      <c r="R77">
        <v>0</v>
      </c>
      <c r="S77">
        <v>0</v>
      </c>
      <c r="T77">
        <v>0</v>
      </c>
      <c r="U77">
        <v>0</v>
      </c>
      <c r="W77">
        <v>0</v>
      </c>
      <c r="X77">
        <v>0</v>
      </c>
      <c r="Y77">
        <v>0</v>
      </c>
      <c r="Z77">
        <v>0</v>
      </c>
      <c r="AA77">
        <v>0</v>
      </c>
      <c r="AB77">
        <v>0</v>
      </c>
      <c r="AD77" t="s">
        <v>660</v>
      </c>
      <c r="AE77" s="60" t="s">
        <v>1374</v>
      </c>
    </row>
    <row r="78" spans="2:31" x14ac:dyDescent="0.25">
      <c r="B78">
        <v>-5.6912985808317868E-28</v>
      </c>
      <c r="C78">
        <v>5.8437440785326386E-29</v>
      </c>
      <c r="D78">
        <v>4.6580568741926824E-29</v>
      </c>
      <c r="E78">
        <v>5.8437440785326386E-29</v>
      </c>
      <c r="F78">
        <v>-8.5088936650735648E-30</v>
      </c>
      <c r="G78">
        <v>-8.151599529837195E-30</v>
      </c>
      <c r="I78">
        <v>-5.6743601921983591E-28</v>
      </c>
      <c r="J78">
        <v>3.2818127977266627E-29</v>
      </c>
      <c r="K78">
        <v>4.9121327036941017E-29</v>
      </c>
      <c r="L78">
        <v>5.8437440785326386E-29</v>
      </c>
      <c r="M78">
        <v>-1.0851155218289772E-29</v>
      </c>
      <c r="N78">
        <v>-2.3819609015758038E-30</v>
      </c>
      <c r="P78">
        <v>5.8225710927408534E-31</v>
      </c>
      <c r="Q78">
        <v>-5.8755035572203155E-30</v>
      </c>
      <c r="R78">
        <v>-2.3290284370963413E-30</v>
      </c>
      <c r="S78">
        <v>-1.6938388633427937E-30</v>
      </c>
      <c r="T78">
        <v>-2.9642180108498887E-29</v>
      </c>
      <c r="U78">
        <v>-3.3876777266855874E-29</v>
      </c>
      <c r="W78">
        <v>0</v>
      </c>
      <c r="X78">
        <v>-7.4105450271247225E-31</v>
      </c>
      <c r="Y78">
        <v>-4.2345971583569843E-31</v>
      </c>
      <c r="Z78">
        <v>-3.4935426556445124E-30</v>
      </c>
      <c r="AA78">
        <v>-2.7948341245156099E-29</v>
      </c>
      <c r="AB78">
        <v>-3.3876777266855874E-29</v>
      </c>
      <c r="AD78" t="s">
        <v>665</v>
      </c>
      <c r="AE78" s="60" t="s">
        <v>1378</v>
      </c>
    </row>
    <row r="79" spans="2:31" x14ac:dyDescent="0.25">
      <c r="B79">
        <v>-2.8467535510258471E-28</v>
      </c>
      <c r="C79">
        <v>2.9134743373780153E-29</v>
      </c>
      <c r="D79">
        <v>2.3241073912671956E-29</v>
      </c>
      <c r="E79">
        <v>2.9134743373780153E-29</v>
      </c>
      <c r="F79">
        <v>-3.850345379073045E-30</v>
      </c>
      <c r="G79">
        <v>-3.9754468534833609E-30</v>
      </c>
      <c r="I79">
        <v>-2.8378574461788915E-28</v>
      </c>
      <c r="J79">
        <v>1.645779396686818E-29</v>
      </c>
      <c r="K79">
        <v>2.457548963971532E-29</v>
      </c>
      <c r="L79">
        <v>2.9134743373780153E-29</v>
      </c>
      <c r="M79">
        <v>-5.9353699525783041E-30</v>
      </c>
      <c r="N79">
        <v>-2.502029488206311E-30</v>
      </c>
      <c r="P79">
        <v>2.919034402907363E-31</v>
      </c>
      <c r="Q79">
        <v>-2.9190344029073629E-30</v>
      </c>
      <c r="R79">
        <v>-1.1676137611629452E-30</v>
      </c>
      <c r="S79">
        <v>-8.3400982940210372E-31</v>
      </c>
      <c r="T79">
        <v>-1.5123378239824812E-29</v>
      </c>
      <c r="U79">
        <v>-1.6902599209215968E-29</v>
      </c>
      <c r="W79">
        <v>0</v>
      </c>
      <c r="X79">
        <v>-3.7530442323094663E-31</v>
      </c>
      <c r="Y79">
        <v>-2.0850245735052593E-31</v>
      </c>
      <c r="Z79">
        <v>-1.7375204779210494E-30</v>
      </c>
      <c r="AA79">
        <v>-1.401136513395534E-29</v>
      </c>
      <c r="AB79">
        <v>-1.6235391345694284E-29</v>
      </c>
      <c r="AD79" t="s">
        <v>668</v>
      </c>
      <c r="AE79" s="60" t="s">
        <v>1384</v>
      </c>
    </row>
    <row r="80" spans="2:31" x14ac:dyDescent="0.25">
      <c r="B80">
        <v>9.0000000000000006E-5</v>
      </c>
      <c r="C80">
        <v>1.3500000000000003E-4</v>
      </c>
      <c r="D80">
        <v>1.8000000000000001E-4</v>
      </c>
      <c r="E80">
        <v>2.2499999999999999E-4</v>
      </c>
      <c r="F80">
        <v>2.7E-4</v>
      </c>
      <c r="G80">
        <v>3.1500000000000001E-4</v>
      </c>
      <c r="I80">
        <v>9.0000000000000006E-5</v>
      </c>
      <c r="J80">
        <v>1.3500000000000003E-4</v>
      </c>
      <c r="K80">
        <v>1.8000000000000001E-4</v>
      </c>
      <c r="L80">
        <v>2.2499999999999999E-4</v>
      </c>
      <c r="M80">
        <v>2.7E-4</v>
      </c>
      <c r="N80">
        <v>3.1500000000000001E-4</v>
      </c>
      <c r="P80">
        <v>9.0000000000000006E-5</v>
      </c>
      <c r="Q80">
        <v>1.3500000000000003E-4</v>
      </c>
      <c r="R80">
        <v>1.8000000000000001E-4</v>
      </c>
      <c r="S80">
        <v>2.2499999999999999E-4</v>
      </c>
      <c r="T80">
        <v>2.7E-4</v>
      </c>
      <c r="U80">
        <v>3.1500000000000001E-4</v>
      </c>
      <c r="W80">
        <v>9.0000000000000006E-5</v>
      </c>
      <c r="X80">
        <v>1.3500000000000003E-4</v>
      </c>
      <c r="Y80">
        <v>1.8000000000000001E-4</v>
      </c>
      <c r="Z80">
        <v>2.2499999999999999E-4</v>
      </c>
      <c r="AA80">
        <v>2.7E-4</v>
      </c>
      <c r="AB80">
        <v>3.1500000000000001E-4</v>
      </c>
      <c r="AD80" t="s">
        <v>672</v>
      </c>
      <c r="AE80" t="s">
        <v>1389</v>
      </c>
    </row>
    <row r="81" spans="2:31" x14ac:dyDescent="0.25">
      <c r="B81">
        <v>9.0000000000000006E-5</v>
      </c>
      <c r="C81">
        <v>1.3500000000000003E-4</v>
      </c>
      <c r="D81">
        <v>1.8000000000000001E-4</v>
      </c>
      <c r="E81">
        <v>2.2499999999999999E-4</v>
      </c>
      <c r="F81">
        <v>2.7E-4</v>
      </c>
      <c r="G81">
        <v>3.1500000000000001E-4</v>
      </c>
      <c r="I81">
        <v>9.0000000000000006E-5</v>
      </c>
      <c r="J81">
        <v>1.3500000000000003E-4</v>
      </c>
      <c r="K81">
        <v>1.8000000000000001E-4</v>
      </c>
      <c r="L81">
        <v>2.2499999999999999E-4</v>
      </c>
      <c r="M81">
        <v>2.7E-4</v>
      </c>
      <c r="N81">
        <v>3.1500000000000001E-4</v>
      </c>
      <c r="P81">
        <v>9.0000000000000006E-5</v>
      </c>
      <c r="Q81">
        <v>1.3500000000000003E-4</v>
      </c>
      <c r="R81">
        <v>1.8000000000000001E-4</v>
      </c>
      <c r="S81">
        <v>2.2499999999999999E-4</v>
      </c>
      <c r="T81">
        <v>2.7E-4</v>
      </c>
      <c r="U81">
        <v>3.1500000000000001E-4</v>
      </c>
      <c r="W81">
        <v>9.0000000000000006E-5</v>
      </c>
      <c r="X81">
        <v>1.3500000000000003E-4</v>
      </c>
      <c r="Y81">
        <v>1.8000000000000001E-4</v>
      </c>
      <c r="Z81">
        <v>2.2499999999999999E-4</v>
      </c>
      <c r="AA81">
        <v>2.7E-4</v>
      </c>
      <c r="AB81">
        <v>3.1500000000000001E-4</v>
      </c>
      <c r="AD81" t="s">
        <v>676</v>
      </c>
      <c r="AE81" t="s">
        <v>1393</v>
      </c>
    </row>
    <row r="82" spans="2:31" x14ac:dyDescent="0.25">
      <c r="B82">
        <v>9.0000000000000006E-5</v>
      </c>
      <c r="C82">
        <v>1.3500000000000003E-4</v>
      </c>
      <c r="D82">
        <v>1.8000000000000001E-4</v>
      </c>
      <c r="E82">
        <v>2.2499999999999999E-4</v>
      </c>
      <c r="F82">
        <v>2.7E-4</v>
      </c>
      <c r="G82">
        <v>3.1500000000000001E-4</v>
      </c>
      <c r="I82">
        <v>9.0000000000000006E-5</v>
      </c>
      <c r="J82">
        <v>1.3500000000000003E-4</v>
      </c>
      <c r="K82">
        <v>1.8000000000000001E-4</v>
      </c>
      <c r="L82">
        <v>2.2499999999999999E-4</v>
      </c>
      <c r="M82">
        <v>2.7E-4</v>
      </c>
      <c r="N82">
        <v>3.1500000000000001E-4</v>
      </c>
      <c r="P82">
        <v>9.0000000000000006E-5</v>
      </c>
      <c r="Q82">
        <v>1.3500000000000003E-4</v>
      </c>
      <c r="R82">
        <v>1.8000000000000001E-4</v>
      </c>
      <c r="S82">
        <v>2.2499999999999999E-4</v>
      </c>
      <c r="T82">
        <v>2.7E-4</v>
      </c>
      <c r="U82">
        <v>3.1500000000000001E-4</v>
      </c>
      <c r="W82">
        <v>9.0000000000000006E-5</v>
      </c>
      <c r="X82">
        <v>1.3500000000000003E-4</v>
      </c>
      <c r="Y82">
        <v>1.8000000000000001E-4</v>
      </c>
      <c r="Z82">
        <v>2.2499999999999999E-4</v>
      </c>
      <c r="AA82">
        <v>2.7E-4</v>
      </c>
      <c r="AB82">
        <v>3.1500000000000001E-4</v>
      </c>
      <c r="AD82" t="s">
        <v>679</v>
      </c>
      <c r="AE82" s="69" t="s">
        <v>1397</v>
      </c>
    </row>
    <row r="83" spans="2:31" x14ac:dyDescent="0.25">
      <c r="B83">
        <v>0</v>
      </c>
      <c r="C83">
        <v>0</v>
      </c>
      <c r="D83">
        <v>0</v>
      </c>
      <c r="E83">
        <v>0</v>
      </c>
      <c r="F83">
        <v>0</v>
      </c>
      <c r="G83">
        <v>0</v>
      </c>
      <c r="I83">
        <v>0</v>
      </c>
      <c r="J83">
        <v>0</v>
      </c>
      <c r="K83">
        <v>0</v>
      </c>
      <c r="L83">
        <v>0</v>
      </c>
      <c r="M83">
        <v>0</v>
      </c>
      <c r="N83">
        <v>0</v>
      </c>
      <c r="P83">
        <v>0</v>
      </c>
      <c r="Q83">
        <v>0</v>
      </c>
      <c r="R83">
        <v>0</v>
      </c>
      <c r="S83">
        <v>0</v>
      </c>
      <c r="T83">
        <v>0</v>
      </c>
      <c r="U83">
        <v>0</v>
      </c>
      <c r="W83">
        <v>0</v>
      </c>
      <c r="X83">
        <v>0</v>
      </c>
      <c r="Y83">
        <v>0</v>
      </c>
      <c r="Z83">
        <v>0</v>
      </c>
      <c r="AA83">
        <v>0</v>
      </c>
      <c r="AB83">
        <v>0</v>
      </c>
      <c r="AD83" t="s">
        <v>682</v>
      </c>
      <c r="AE83" t="s">
        <v>1401</v>
      </c>
    </row>
    <row r="84" spans="2:31" x14ac:dyDescent="0.25">
      <c r="B84">
        <v>0.18732575000000004</v>
      </c>
      <c r="C84">
        <v>0.21098862500000001</v>
      </c>
      <c r="D84">
        <v>0.23465150000000001</v>
      </c>
      <c r="E84">
        <v>0.25831437500000004</v>
      </c>
      <c r="F84">
        <v>0.28257424999999992</v>
      </c>
      <c r="G84">
        <v>0.30633662499999997</v>
      </c>
      <c r="I84">
        <v>0.18567691666666664</v>
      </c>
      <c r="J84">
        <v>0.208515375</v>
      </c>
      <c r="K84">
        <v>0.23135383333333334</v>
      </c>
      <c r="L84">
        <v>0.25419229166666668</v>
      </c>
      <c r="M84">
        <v>0.2776277499999999</v>
      </c>
      <c r="N84">
        <v>0.30056570833333335</v>
      </c>
      <c r="P84">
        <v>0.18401491666666667</v>
      </c>
      <c r="Q84">
        <v>0.20602237500000001</v>
      </c>
      <c r="R84">
        <v>0.22802983333333332</v>
      </c>
      <c r="S84">
        <v>0.25003729166666661</v>
      </c>
      <c r="T84">
        <v>0.27264174999999996</v>
      </c>
      <c r="U84">
        <v>0.29474870833333333</v>
      </c>
      <c r="W84">
        <v>0.18234175</v>
      </c>
      <c r="X84">
        <v>0.20351262500000006</v>
      </c>
      <c r="Y84">
        <v>0.2246834999999999</v>
      </c>
      <c r="Z84">
        <v>0.24585437499999993</v>
      </c>
      <c r="AA84">
        <v>0.26762224999999989</v>
      </c>
      <c r="AB84">
        <v>0.2888926249999999</v>
      </c>
      <c r="AD84" t="s">
        <v>685</v>
      </c>
      <c r="AE84" t="s">
        <v>1407</v>
      </c>
    </row>
    <row r="85" spans="2:31" x14ac:dyDescent="0.25">
      <c r="B85">
        <v>0.21210775000000004</v>
      </c>
      <c r="C85">
        <v>0.24816162500000005</v>
      </c>
      <c r="D85">
        <v>0.28421550000000012</v>
      </c>
      <c r="E85">
        <v>0.32026937500000008</v>
      </c>
      <c r="F85">
        <v>0.35692024999999999</v>
      </c>
      <c r="G85">
        <v>0.39307362500000004</v>
      </c>
      <c r="I85">
        <v>0.21045891666666666</v>
      </c>
      <c r="J85">
        <v>0.24568837500000004</v>
      </c>
      <c r="K85">
        <v>0.28091783333333342</v>
      </c>
      <c r="L85">
        <v>0.31614729166666683</v>
      </c>
      <c r="M85">
        <v>0.35197374999999992</v>
      </c>
      <c r="N85">
        <v>0.38730270833333336</v>
      </c>
      <c r="P85">
        <v>0.20879691666666669</v>
      </c>
      <c r="Q85">
        <v>0.24319537500000005</v>
      </c>
      <c r="R85">
        <v>0.27759383333333337</v>
      </c>
      <c r="S85">
        <v>0.3119922916666667</v>
      </c>
      <c r="T85">
        <v>0.34698775000000004</v>
      </c>
      <c r="U85">
        <v>0.38148570833333345</v>
      </c>
      <c r="W85">
        <v>0.20712375000000002</v>
      </c>
      <c r="X85">
        <v>0.2406856250000001</v>
      </c>
      <c r="Y85">
        <v>0.27424749999999998</v>
      </c>
      <c r="Z85">
        <v>0.30780937499999994</v>
      </c>
      <c r="AA85">
        <v>0.34196824999999997</v>
      </c>
      <c r="AB85">
        <v>0.37562962499999997</v>
      </c>
      <c r="AD85" t="s">
        <v>689</v>
      </c>
      <c r="AE85" t="s">
        <v>1412</v>
      </c>
    </row>
    <row r="86" spans="2:31" x14ac:dyDescent="0.25">
      <c r="B86">
        <v>0.10605387500000002</v>
      </c>
      <c r="C86">
        <v>0.12408081250000004</v>
      </c>
      <c r="D86">
        <v>0.14210775000000003</v>
      </c>
      <c r="E86">
        <v>0.16013468750000004</v>
      </c>
      <c r="F86">
        <v>0.178460125</v>
      </c>
      <c r="G86">
        <v>0.19653681249999999</v>
      </c>
      <c r="I86">
        <v>0.10522945833333334</v>
      </c>
      <c r="J86">
        <v>0.12284418749999999</v>
      </c>
      <c r="K86">
        <v>0.14045891666666671</v>
      </c>
      <c r="L86">
        <v>0.15807364583333339</v>
      </c>
      <c r="M86">
        <v>0.17598687499999993</v>
      </c>
      <c r="N86">
        <v>0.19365135416666665</v>
      </c>
      <c r="P86">
        <v>0.10439845833333335</v>
      </c>
      <c r="Q86">
        <v>0.1215976875</v>
      </c>
      <c r="R86">
        <v>0.13879691666666671</v>
      </c>
      <c r="S86">
        <v>0.15599614583333332</v>
      </c>
      <c r="T86">
        <v>0.17349387499999999</v>
      </c>
      <c r="U86">
        <v>0.19074285416666673</v>
      </c>
      <c r="W86">
        <v>0.10356187500000001</v>
      </c>
      <c r="X86">
        <v>0.12034281250000003</v>
      </c>
      <c r="Y86">
        <v>0.13712374999999999</v>
      </c>
      <c r="Z86">
        <v>0.15390468749999997</v>
      </c>
      <c r="AA86">
        <v>0.17098412499999999</v>
      </c>
      <c r="AB86">
        <v>0.18781481249999996</v>
      </c>
      <c r="AD86" t="s">
        <v>692</v>
      </c>
      <c r="AE86" t="s">
        <v>1417</v>
      </c>
    </row>
    <row r="87" spans="2:31" x14ac:dyDescent="0.25">
      <c r="B87">
        <v>0</v>
      </c>
      <c r="C87">
        <v>0</v>
      </c>
      <c r="D87">
        <v>0</v>
      </c>
      <c r="E87">
        <v>0</v>
      </c>
      <c r="F87">
        <v>0</v>
      </c>
      <c r="G87">
        <v>0</v>
      </c>
      <c r="I87">
        <v>0</v>
      </c>
      <c r="J87">
        <v>0</v>
      </c>
      <c r="K87">
        <v>0</v>
      </c>
      <c r="L87">
        <v>0</v>
      </c>
      <c r="M87">
        <v>0</v>
      </c>
      <c r="N87">
        <v>0</v>
      </c>
      <c r="P87">
        <v>0</v>
      </c>
      <c r="Q87">
        <v>0</v>
      </c>
      <c r="R87">
        <v>0</v>
      </c>
      <c r="S87">
        <v>0</v>
      </c>
      <c r="T87">
        <v>0</v>
      </c>
      <c r="U87">
        <v>0</v>
      </c>
      <c r="W87">
        <v>0</v>
      </c>
      <c r="X87">
        <v>0</v>
      </c>
      <c r="Y87">
        <v>0</v>
      </c>
      <c r="Z87">
        <v>0</v>
      </c>
      <c r="AA87">
        <v>0</v>
      </c>
      <c r="AB87">
        <v>0</v>
      </c>
      <c r="AD87" t="s">
        <v>695</v>
      </c>
      <c r="AE87" t="s">
        <v>1424</v>
      </c>
    </row>
    <row r="88" spans="2:31" x14ac:dyDescent="0.25">
      <c r="B88">
        <v>0</v>
      </c>
      <c r="C88">
        <v>0</v>
      </c>
      <c r="D88">
        <v>0</v>
      </c>
      <c r="E88">
        <v>0</v>
      </c>
      <c r="F88">
        <v>0</v>
      </c>
      <c r="G88">
        <v>0</v>
      </c>
      <c r="I88">
        <v>0</v>
      </c>
      <c r="J88">
        <v>0</v>
      </c>
      <c r="K88">
        <v>0</v>
      </c>
      <c r="L88">
        <v>0</v>
      </c>
      <c r="M88">
        <v>0</v>
      </c>
      <c r="N88">
        <v>0</v>
      </c>
      <c r="P88">
        <v>0</v>
      </c>
      <c r="Q88">
        <v>0</v>
      </c>
      <c r="R88">
        <v>0</v>
      </c>
      <c r="S88">
        <v>0</v>
      </c>
      <c r="T88">
        <v>0</v>
      </c>
      <c r="U88">
        <v>0</v>
      </c>
      <c r="W88">
        <v>0</v>
      </c>
      <c r="X88">
        <v>0</v>
      </c>
      <c r="Y88">
        <v>0</v>
      </c>
      <c r="Z88">
        <v>0</v>
      </c>
      <c r="AA88">
        <v>0</v>
      </c>
      <c r="AB88">
        <v>0</v>
      </c>
      <c r="AD88" t="s">
        <v>698</v>
      </c>
      <c r="AE88" t="s">
        <v>1429</v>
      </c>
    </row>
    <row r="89" spans="2:31" x14ac:dyDescent="0.25">
      <c r="B89">
        <v>1.8310000000000002E-3</v>
      </c>
      <c r="C89">
        <v>2.7465000000000007E-3</v>
      </c>
      <c r="D89">
        <v>3.6620000000000003E-3</v>
      </c>
      <c r="E89">
        <v>4.5775000000000008E-3</v>
      </c>
      <c r="F89">
        <v>5.4930000000000005E-3</v>
      </c>
      <c r="G89">
        <v>6.408500000000001E-3</v>
      </c>
      <c r="I89">
        <v>1.8310000000000006E-3</v>
      </c>
      <c r="J89">
        <v>2.7465000000000007E-3</v>
      </c>
      <c r="K89">
        <v>3.6620000000000012E-3</v>
      </c>
      <c r="L89">
        <v>4.5775E-3</v>
      </c>
      <c r="M89">
        <v>5.4930000000000014E-3</v>
      </c>
      <c r="N89">
        <v>6.408500000000001E-3</v>
      </c>
      <c r="P89">
        <v>1.8309999999999999E-3</v>
      </c>
      <c r="Q89">
        <v>2.7465000000000007E-3</v>
      </c>
      <c r="R89">
        <v>3.6620000000000012E-3</v>
      </c>
      <c r="S89">
        <v>4.5775E-3</v>
      </c>
      <c r="T89">
        <v>5.4930000000000005E-3</v>
      </c>
      <c r="U89">
        <v>6.408500000000001E-3</v>
      </c>
      <c r="W89">
        <v>1.8310000000000002E-3</v>
      </c>
      <c r="X89">
        <v>2.7465000000000007E-3</v>
      </c>
      <c r="Y89">
        <v>3.6620000000000012E-3</v>
      </c>
      <c r="Z89">
        <v>4.5775E-3</v>
      </c>
      <c r="AA89">
        <v>5.4930000000000014E-3</v>
      </c>
      <c r="AB89">
        <v>6.4085000000000027E-3</v>
      </c>
      <c r="AD89" t="s">
        <v>701</v>
      </c>
      <c r="AE89" t="s">
        <v>1435</v>
      </c>
    </row>
    <row r="90" spans="2:31" x14ac:dyDescent="0.25">
      <c r="B90">
        <v>0</v>
      </c>
      <c r="C90">
        <v>0</v>
      </c>
      <c r="D90">
        <v>0</v>
      </c>
      <c r="E90">
        <v>0</v>
      </c>
      <c r="F90">
        <v>0</v>
      </c>
      <c r="G90">
        <v>0</v>
      </c>
      <c r="I90">
        <v>0</v>
      </c>
      <c r="J90">
        <v>0</v>
      </c>
      <c r="K90">
        <v>0</v>
      </c>
      <c r="L90">
        <v>0</v>
      </c>
      <c r="M90">
        <v>0</v>
      </c>
      <c r="N90">
        <v>0</v>
      </c>
      <c r="P90">
        <v>0</v>
      </c>
      <c r="Q90">
        <v>0</v>
      </c>
      <c r="R90">
        <v>0</v>
      </c>
      <c r="S90">
        <v>0</v>
      </c>
      <c r="T90">
        <v>0</v>
      </c>
      <c r="U90">
        <v>0</v>
      </c>
      <c r="W90">
        <v>0</v>
      </c>
      <c r="X90">
        <v>0</v>
      </c>
      <c r="Y90">
        <v>0</v>
      </c>
      <c r="Z90">
        <v>0</v>
      </c>
      <c r="AA90">
        <v>0</v>
      </c>
      <c r="AB90">
        <v>0</v>
      </c>
      <c r="AD90" t="s">
        <v>705</v>
      </c>
      <c r="AE90" t="s">
        <v>1440</v>
      </c>
    </row>
    <row r="91" spans="2:31" x14ac:dyDescent="0.25">
      <c r="B91">
        <v>0.50594512500000011</v>
      </c>
      <c r="C91">
        <v>0.58391768750000017</v>
      </c>
      <c r="D91">
        <v>0.66189025000000024</v>
      </c>
      <c r="E91">
        <v>0.73986281250000008</v>
      </c>
      <c r="F91">
        <v>0.81932787500000004</v>
      </c>
      <c r="G91">
        <v>0.89754918750000001</v>
      </c>
      <c r="I91">
        <v>0.50182304166666669</v>
      </c>
      <c r="J91">
        <v>0.5777345625000001</v>
      </c>
      <c r="K91">
        <v>0.65364608333333352</v>
      </c>
      <c r="L91">
        <v>0.72955760416666682</v>
      </c>
      <c r="M91">
        <v>0.80696162499999979</v>
      </c>
      <c r="N91">
        <v>0.88312189583333345</v>
      </c>
      <c r="P91">
        <v>0.49766804166666673</v>
      </c>
      <c r="Q91">
        <v>0.57150206250000002</v>
      </c>
      <c r="R91">
        <v>0.64533608333333359</v>
      </c>
      <c r="S91">
        <v>0.7191701041666666</v>
      </c>
      <c r="T91">
        <v>0.79449662500000007</v>
      </c>
      <c r="U91">
        <v>0.86857939583333355</v>
      </c>
      <c r="W91">
        <v>0.49348512500000002</v>
      </c>
      <c r="X91">
        <v>0.5652276875000003</v>
      </c>
      <c r="Y91">
        <v>0.63697024999999996</v>
      </c>
      <c r="Z91">
        <v>0.70871281249999984</v>
      </c>
      <c r="AA91">
        <v>0.78194787499999985</v>
      </c>
      <c r="AB91">
        <v>0.85393918749999986</v>
      </c>
      <c r="AD91" t="s">
        <v>709</v>
      </c>
      <c r="AE91" t="s">
        <v>1444</v>
      </c>
    </row>
    <row r="92" spans="2:31" x14ac:dyDescent="0.25">
      <c r="B92">
        <v>0</v>
      </c>
      <c r="C92">
        <v>0</v>
      </c>
      <c r="D92">
        <v>0</v>
      </c>
      <c r="E92">
        <v>0</v>
      </c>
      <c r="F92">
        <v>0</v>
      </c>
      <c r="G92">
        <v>0</v>
      </c>
      <c r="I92">
        <v>0</v>
      </c>
      <c r="J92">
        <v>0</v>
      </c>
      <c r="K92">
        <v>0</v>
      </c>
      <c r="L92">
        <v>0</v>
      </c>
      <c r="M92">
        <v>0</v>
      </c>
      <c r="N92">
        <v>0</v>
      </c>
      <c r="P92">
        <v>0</v>
      </c>
      <c r="Q92">
        <v>0</v>
      </c>
      <c r="R92">
        <v>0</v>
      </c>
      <c r="S92">
        <v>0</v>
      </c>
      <c r="T92">
        <v>0</v>
      </c>
      <c r="U92">
        <v>0</v>
      </c>
      <c r="W92">
        <v>0</v>
      </c>
      <c r="X92">
        <v>0</v>
      </c>
      <c r="Y92">
        <v>0</v>
      </c>
      <c r="Z92">
        <v>0</v>
      </c>
      <c r="AA92">
        <v>0</v>
      </c>
      <c r="AB92">
        <v>0</v>
      </c>
      <c r="AD92" t="s">
        <v>712</v>
      </c>
      <c r="AE92" t="s">
        <v>1446</v>
      </c>
    </row>
    <row r="93" spans="2:31" x14ac:dyDescent="0.25">
      <c r="B93">
        <v>0.42</v>
      </c>
      <c r="C93">
        <v>0.42</v>
      </c>
      <c r="D93">
        <v>0.42</v>
      </c>
      <c r="E93">
        <v>0.42</v>
      </c>
      <c r="F93">
        <v>0.42</v>
      </c>
      <c r="G93">
        <v>0.42</v>
      </c>
      <c r="I93">
        <v>0.42</v>
      </c>
      <c r="J93">
        <v>0.42</v>
      </c>
      <c r="K93">
        <v>0.42</v>
      </c>
      <c r="L93">
        <v>0.42</v>
      </c>
      <c r="M93">
        <v>0.42</v>
      </c>
      <c r="N93">
        <v>0.42</v>
      </c>
      <c r="P93">
        <v>0.42</v>
      </c>
      <c r="Q93">
        <v>0.42</v>
      </c>
      <c r="R93">
        <v>0.42</v>
      </c>
      <c r="S93">
        <v>0.42</v>
      </c>
      <c r="T93">
        <v>0.42</v>
      </c>
      <c r="U93">
        <v>0.42</v>
      </c>
      <c r="W93">
        <v>0.42</v>
      </c>
      <c r="X93">
        <v>0.42</v>
      </c>
      <c r="Y93">
        <v>0.42</v>
      </c>
      <c r="Z93">
        <v>0.42</v>
      </c>
      <c r="AA93">
        <v>0.42</v>
      </c>
      <c r="AB93">
        <v>0.42</v>
      </c>
      <c r="AD93" t="s">
        <v>254</v>
      </c>
      <c r="AE93" s="60" t="s">
        <v>1450</v>
      </c>
    </row>
    <row r="94" spans="2:31" x14ac:dyDescent="0.25">
      <c r="B94">
        <v>9.0006875E-2</v>
      </c>
      <c r="C94">
        <v>0.10001031249999992</v>
      </c>
      <c r="D94">
        <v>0.11001375000000001</v>
      </c>
      <c r="E94">
        <v>0.1200171875</v>
      </c>
      <c r="F94">
        <v>0.12972212499999997</v>
      </c>
      <c r="G94">
        <v>0.13967581249999986</v>
      </c>
      <c r="I94">
        <v>8.4230958333333286E-2</v>
      </c>
      <c r="J94">
        <v>9.1346437500000002E-2</v>
      </c>
      <c r="K94">
        <v>9.8461916666666635E-2</v>
      </c>
      <c r="L94">
        <v>0.10557739583333332</v>
      </c>
      <c r="M94">
        <v>0.11239437499999996</v>
      </c>
      <c r="N94">
        <v>0.11946010416666665</v>
      </c>
      <c r="P94">
        <v>7.8413958333333311E-2</v>
      </c>
      <c r="Q94">
        <v>8.2620937499999964E-2</v>
      </c>
      <c r="R94">
        <v>8.6827916666666616E-2</v>
      </c>
      <c r="S94">
        <v>9.103489583333331E-2</v>
      </c>
      <c r="T94">
        <v>0.23983437499999993</v>
      </c>
      <c r="U94">
        <v>0.26814010416666667</v>
      </c>
      <c r="W94">
        <v>7.2557874999999952E-2</v>
      </c>
      <c r="X94">
        <v>7.3836812500000029E-2</v>
      </c>
      <c r="Y94">
        <v>7.511574999999987E-2</v>
      </c>
      <c r="Z94">
        <v>7.6394687499999975E-2</v>
      </c>
      <c r="AA94">
        <v>0.2222661249999999</v>
      </c>
      <c r="AB94">
        <v>0.24764381250000006</v>
      </c>
      <c r="AD94" t="s">
        <v>718</v>
      </c>
      <c r="AE94" s="73" t="s">
        <v>1453</v>
      </c>
    </row>
    <row r="95" spans="2:31" x14ac:dyDescent="0.25">
      <c r="B95">
        <v>0</v>
      </c>
      <c r="C95">
        <v>0</v>
      </c>
      <c r="D95">
        <v>0</v>
      </c>
      <c r="E95">
        <v>0</v>
      </c>
      <c r="F95">
        <v>0</v>
      </c>
      <c r="G95">
        <v>0</v>
      </c>
      <c r="I95">
        <v>0</v>
      </c>
      <c r="J95">
        <v>0</v>
      </c>
      <c r="K95">
        <v>0</v>
      </c>
      <c r="L95">
        <v>0</v>
      </c>
      <c r="M95">
        <v>0</v>
      </c>
      <c r="N95">
        <v>0</v>
      </c>
      <c r="P95">
        <v>0</v>
      </c>
      <c r="Q95">
        <v>0</v>
      </c>
      <c r="R95">
        <v>0</v>
      </c>
      <c r="S95">
        <v>0</v>
      </c>
      <c r="T95">
        <v>0</v>
      </c>
      <c r="U95">
        <v>0</v>
      </c>
      <c r="W95">
        <v>0</v>
      </c>
      <c r="X95">
        <v>0</v>
      </c>
      <c r="Y95">
        <v>0</v>
      </c>
      <c r="Z95">
        <v>0</v>
      </c>
      <c r="AA95">
        <v>0</v>
      </c>
      <c r="AB95">
        <v>0</v>
      </c>
      <c r="AD95" t="s">
        <v>722</v>
      </c>
      <c r="AE95" s="60" t="s">
        <v>1456</v>
      </c>
    </row>
    <row r="96" spans="2:31" x14ac:dyDescent="0.25">
      <c r="B96">
        <v>0</v>
      </c>
      <c r="C96">
        <v>0</v>
      </c>
      <c r="D96">
        <v>0</v>
      </c>
      <c r="E96">
        <v>0</v>
      </c>
      <c r="F96">
        <v>-8.0884837543972017E-30</v>
      </c>
      <c r="G96">
        <v>-8.6277160046903468E-30</v>
      </c>
      <c r="I96">
        <v>0</v>
      </c>
      <c r="J96">
        <v>0</v>
      </c>
      <c r="K96">
        <v>0</v>
      </c>
      <c r="L96">
        <v>0</v>
      </c>
      <c r="M96">
        <v>-1.0220902198738281E-29</v>
      </c>
      <c r="N96">
        <v>-1.0294433869232802E-29</v>
      </c>
      <c r="P96">
        <v>0</v>
      </c>
      <c r="Q96">
        <v>0</v>
      </c>
      <c r="R96">
        <v>0</v>
      </c>
      <c r="S96">
        <v>0</v>
      </c>
      <c r="T96">
        <v>-3.4412821791435367E-29</v>
      </c>
      <c r="U96">
        <v>-3.9707102067040806E-29</v>
      </c>
      <c r="W96">
        <v>0</v>
      </c>
      <c r="X96">
        <v>0</v>
      </c>
      <c r="Y96">
        <v>0</v>
      </c>
      <c r="Z96">
        <v>0</v>
      </c>
      <c r="AA96">
        <v>-3.5589328519347686E-29</v>
      </c>
      <c r="AB96">
        <v>-4.1177735476931209E-29</v>
      </c>
      <c r="AD96" t="s">
        <v>726</v>
      </c>
      <c r="AE96" t="s">
        <v>1461</v>
      </c>
    </row>
    <row r="97" spans="2:31" x14ac:dyDescent="0.25">
      <c r="B97">
        <v>0</v>
      </c>
      <c r="C97">
        <v>0</v>
      </c>
      <c r="D97">
        <v>0</v>
      </c>
      <c r="E97">
        <v>0</v>
      </c>
      <c r="F97">
        <v>2.5329179777849434E-31</v>
      </c>
      <c r="G97">
        <v>5.5000504660473056E-31</v>
      </c>
      <c r="I97">
        <v>0</v>
      </c>
      <c r="J97">
        <v>0</v>
      </c>
      <c r="K97">
        <v>0</v>
      </c>
      <c r="L97">
        <v>0</v>
      </c>
      <c r="M97">
        <v>5.0417129272100299E-31</v>
      </c>
      <c r="N97">
        <v>6.8991861109189887E-31</v>
      </c>
      <c r="P97">
        <v>0</v>
      </c>
      <c r="Q97">
        <v>0</v>
      </c>
      <c r="R97">
        <v>0</v>
      </c>
      <c r="S97">
        <v>0</v>
      </c>
      <c r="T97">
        <v>0</v>
      </c>
      <c r="U97">
        <v>0</v>
      </c>
      <c r="W97">
        <v>0</v>
      </c>
      <c r="X97">
        <v>0</v>
      </c>
      <c r="Y97">
        <v>0</v>
      </c>
      <c r="Z97">
        <v>0</v>
      </c>
      <c r="AA97">
        <v>0</v>
      </c>
      <c r="AB97">
        <v>0</v>
      </c>
      <c r="AD97" t="s">
        <v>729</v>
      </c>
      <c r="AE97" t="s">
        <v>1465</v>
      </c>
    </row>
    <row r="98" spans="2:31" x14ac:dyDescent="0.25">
      <c r="B98">
        <v>0</v>
      </c>
      <c r="C98">
        <v>0</v>
      </c>
      <c r="D98">
        <v>0</v>
      </c>
      <c r="E98">
        <v>0</v>
      </c>
      <c r="F98">
        <v>-5.3254322119004571E-31</v>
      </c>
      <c r="G98">
        <v>5.2524810857100402E-31</v>
      </c>
      <c r="I98">
        <v>0</v>
      </c>
      <c r="J98">
        <v>0</v>
      </c>
      <c r="K98">
        <v>0</v>
      </c>
      <c r="L98">
        <v>0</v>
      </c>
      <c r="M98">
        <v>2.6262405428550201E-31</v>
      </c>
      <c r="N98">
        <v>-7.003308114280053E-31</v>
      </c>
      <c r="P98">
        <v>0</v>
      </c>
      <c r="Q98">
        <v>0</v>
      </c>
      <c r="R98">
        <v>0</v>
      </c>
      <c r="S98">
        <v>0</v>
      </c>
      <c r="T98">
        <v>0</v>
      </c>
      <c r="U98">
        <v>-7.0762592404704699E-31</v>
      </c>
      <c r="W98">
        <v>0</v>
      </c>
      <c r="X98">
        <v>0</v>
      </c>
      <c r="Y98">
        <v>0</v>
      </c>
      <c r="Z98">
        <v>0</v>
      </c>
      <c r="AA98">
        <v>-7.003308114280053E-31</v>
      </c>
      <c r="AB98">
        <v>-1.4071118797474002E-30</v>
      </c>
      <c r="AD98" t="s">
        <v>733</v>
      </c>
      <c r="AE98" t="s">
        <v>1469</v>
      </c>
    </row>
    <row r="99" spans="2:31" x14ac:dyDescent="0.25">
      <c r="B99">
        <v>0</v>
      </c>
      <c r="C99">
        <v>0</v>
      </c>
      <c r="D99">
        <v>0</v>
      </c>
      <c r="E99">
        <v>0</v>
      </c>
      <c r="F99">
        <v>0</v>
      </c>
      <c r="G99">
        <v>0</v>
      </c>
      <c r="I99">
        <v>0</v>
      </c>
      <c r="J99">
        <v>0</v>
      </c>
      <c r="K99">
        <v>0</v>
      </c>
      <c r="L99">
        <v>0</v>
      </c>
      <c r="M99">
        <v>0</v>
      </c>
      <c r="N99">
        <v>0</v>
      </c>
      <c r="P99">
        <v>0</v>
      </c>
      <c r="Q99">
        <v>0</v>
      </c>
      <c r="R99">
        <v>0</v>
      </c>
      <c r="S99">
        <v>0</v>
      </c>
      <c r="T99">
        <v>0</v>
      </c>
      <c r="U99">
        <v>0</v>
      </c>
      <c r="W99">
        <v>0</v>
      </c>
      <c r="X99">
        <v>0</v>
      </c>
      <c r="Y99">
        <v>0</v>
      </c>
      <c r="Z99">
        <v>0</v>
      </c>
      <c r="AA99">
        <v>0</v>
      </c>
      <c r="AB99">
        <v>0</v>
      </c>
      <c r="AD99" t="s">
        <v>737</v>
      </c>
      <c r="AE99" t="s">
        <v>1473</v>
      </c>
    </row>
    <row r="100" spans="2:31" x14ac:dyDescent="0.25">
      <c r="B100">
        <v>0</v>
      </c>
      <c r="C100">
        <v>0</v>
      </c>
      <c r="D100">
        <v>0</v>
      </c>
      <c r="E100">
        <v>0</v>
      </c>
      <c r="F100">
        <v>0</v>
      </c>
      <c r="G100">
        <v>0</v>
      </c>
      <c r="I100">
        <v>0</v>
      </c>
      <c r="J100">
        <v>0</v>
      </c>
      <c r="K100">
        <v>0</v>
      </c>
      <c r="L100">
        <v>0</v>
      </c>
      <c r="M100">
        <v>0</v>
      </c>
      <c r="N100">
        <v>0</v>
      </c>
      <c r="P100">
        <v>0</v>
      </c>
      <c r="Q100">
        <v>0</v>
      </c>
      <c r="R100">
        <v>0</v>
      </c>
      <c r="S100">
        <v>0</v>
      </c>
      <c r="T100">
        <v>0</v>
      </c>
      <c r="U100">
        <v>0</v>
      </c>
      <c r="W100">
        <v>0</v>
      </c>
      <c r="X100">
        <v>0</v>
      </c>
      <c r="Y100">
        <v>0</v>
      </c>
      <c r="Z100">
        <v>0</v>
      </c>
      <c r="AA100">
        <v>0</v>
      </c>
      <c r="AB100">
        <v>0</v>
      </c>
      <c r="AD100" t="s">
        <v>741</v>
      </c>
      <c r="AE100" t="s">
        <v>1476</v>
      </c>
    </row>
    <row r="101" spans="2:31" x14ac:dyDescent="0.25">
      <c r="B101">
        <v>0</v>
      </c>
      <c r="C101">
        <v>0</v>
      </c>
      <c r="D101">
        <v>0</v>
      </c>
      <c r="E101">
        <v>0</v>
      </c>
      <c r="F101">
        <v>0</v>
      </c>
      <c r="G101">
        <v>0</v>
      </c>
      <c r="I101">
        <v>0</v>
      </c>
      <c r="J101">
        <v>0</v>
      </c>
      <c r="K101">
        <v>0</v>
      </c>
      <c r="L101">
        <v>0</v>
      </c>
      <c r="M101">
        <v>0</v>
      </c>
      <c r="N101">
        <v>0</v>
      </c>
      <c r="P101">
        <v>0</v>
      </c>
      <c r="Q101">
        <v>0</v>
      </c>
      <c r="R101">
        <v>0</v>
      </c>
      <c r="S101">
        <v>0</v>
      </c>
      <c r="T101">
        <v>0</v>
      </c>
      <c r="U101">
        <v>0</v>
      </c>
      <c r="W101">
        <v>0</v>
      </c>
      <c r="X101">
        <v>0</v>
      </c>
      <c r="Y101">
        <v>0</v>
      </c>
      <c r="Z101">
        <v>0</v>
      </c>
      <c r="AA101">
        <v>0</v>
      </c>
      <c r="AB101">
        <v>0</v>
      </c>
      <c r="AD101" t="s">
        <v>746</v>
      </c>
      <c r="AE101" t="s">
        <v>1480</v>
      </c>
    </row>
    <row r="102" spans="2:31" x14ac:dyDescent="0.25">
      <c r="B102">
        <v>0.25718687499999998</v>
      </c>
      <c r="C102">
        <v>0.35078031250000002</v>
      </c>
      <c r="D102">
        <v>0.44437375000000007</v>
      </c>
      <c r="E102">
        <v>0.53796718749999994</v>
      </c>
      <c r="F102">
        <v>0.63723212499999982</v>
      </c>
      <c r="G102">
        <v>0.73177081249999998</v>
      </c>
      <c r="I102">
        <v>0.26131395833333332</v>
      </c>
      <c r="J102">
        <v>0.35697093749999992</v>
      </c>
      <c r="K102">
        <v>0.45262791666666669</v>
      </c>
      <c r="L102">
        <v>0.5482848958333334</v>
      </c>
      <c r="M102">
        <v>0.64961337499999994</v>
      </c>
      <c r="N102">
        <v>0.74621560416666666</v>
      </c>
      <c r="P102">
        <v>0.26546895833333334</v>
      </c>
      <c r="Q102">
        <v>0.36320343749999995</v>
      </c>
      <c r="R102">
        <v>0.46093791666666672</v>
      </c>
      <c r="S102">
        <v>0.55867239583333328</v>
      </c>
      <c r="T102">
        <v>0.662078375</v>
      </c>
      <c r="U102">
        <v>0.76075810416666678</v>
      </c>
      <c r="W102">
        <v>0.26965187500000004</v>
      </c>
      <c r="X102">
        <v>0.3694778125</v>
      </c>
      <c r="Y102">
        <v>0.46930374999999985</v>
      </c>
      <c r="Z102">
        <v>0.56912968750000004</v>
      </c>
      <c r="AA102">
        <v>0.67462712499999977</v>
      </c>
      <c r="AB102">
        <v>0.77539831250000013</v>
      </c>
      <c r="AD102" t="s">
        <v>751</v>
      </c>
      <c r="AE102" t="s">
        <v>1507</v>
      </c>
    </row>
    <row r="103" spans="2:31" x14ac:dyDescent="0.25">
      <c r="B103">
        <v>-0.39542575000000008</v>
      </c>
      <c r="C103">
        <v>-0.52313862500000019</v>
      </c>
      <c r="D103">
        <v>-0.65085150000000014</v>
      </c>
      <c r="E103">
        <v>-0.77856437500000031</v>
      </c>
      <c r="F103">
        <v>-0.91284425000000036</v>
      </c>
      <c r="G103">
        <v>-1.0416516250000001</v>
      </c>
      <c r="I103">
        <v>-0.39377691666666675</v>
      </c>
      <c r="J103">
        <v>-0.52066537499999999</v>
      </c>
      <c r="K103">
        <v>-0.6475538333333335</v>
      </c>
      <c r="L103">
        <v>-0.77444229166666712</v>
      </c>
      <c r="M103">
        <v>-0.90789774999999984</v>
      </c>
      <c r="N103">
        <v>-1.0358807083333335</v>
      </c>
      <c r="P103">
        <v>-0.39211491666666687</v>
      </c>
      <c r="Q103">
        <v>-0.51817237499999991</v>
      </c>
      <c r="R103">
        <v>-0.64422983333333395</v>
      </c>
      <c r="S103">
        <v>-0.77028729166666698</v>
      </c>
      <c r="T103">
        <v>-0.90291175000000012</v>
      </c>
      <c r="U103">
        <v>-1.0300637083333339</v>
      </c>
      <c r="W103">
        <v>-0.39044175000000014</v>
      </c>
      <c r="X103">
        <v>-0.51566262500000037</v>
      </c>
      <c r="Y103">
        <v>-0.64088350000000016</v>
      </c>
      <c r="Z103">
        <v>-0.76610437500000028</v>
      </c>
      <c r="AA103">
        <v>-0.89789224999999995</v>
      </c>
      <c r="AB103">
        <v>-1.0242076250000001</v>
      </c>
      <c r="AD103" t="s">
        <v>756</v>
      </c>
      <c r="AE103" t="s">
        <v>1508</v>
      </c>
    </row>
    <row r="104" spans="2:31" x14ac:dyDescent="0.25">
      <c r="B104">
        <v>-4.8963999999999813E-2</v>
      </c>
      <c r="C104">
        <v>-7.3446000000000317E-2</v>
      </c>
      <c r="D104">
        <v>-9.7928000000000043E-2</v>
      </c>
      <c r="E104">
        <v>-0.12240999999999921</v>
      </c>
      <c r="F104">
        <v>-0.1480860000000008</v>
      </c>
      <c r="G104">
        <v>-0.17276700000000036</v>
      </c>
      <c r="I104">
        <v>-5.8862999999999832E-2</v>
      </c>
      <c r="J104">
        <v>-8.8294500000000331E-2</v>
      </c>
      <c r="K104">
        <v>-0.11772599999999997</v>
      </c>
      <c r="L104">
        <v>-0.14715749999999986</v>
      </c>
      <c r="M104">
        <v>-0.17778300000000083</v>
      </c>
      <c r="N104">
        <v>-0.20741350000000086</v>
      </c>
      <c r="P104">
        <v>-6.883499999999998E-2</v>
      </c>
      <c r="Q104">
        <v>-0.10325250000000016</v>
      </c>
      <c r="R104">
        <v>-0.13767000000000035</v>
      </c>
      <c r="S104">
        <v>-0.17208750000000006</v>
      </c>
      <c r="T104">
        <v>-0.20769900000000008</v>
      </c>
      <c r="U104">
        <v>-0.24231550000000029</v>
      </c>
      <c r="W104">
        <v>-7.8873999999999875E-2</v>
      </c>
      <c r="X104">
        <v>-0.11831100000000051</v>
      </c>
      <c r="Y104">
        <v>-0.1577480000000005</v>
      </c>
      <c r="Z104">
        <v>-0.19718500000000022</v>
      </c>
      <c r="AA104">
        <v>-0.23781599999999969</v>
      </c>
      <c r="AB104">
        <v>-0.27745200000000009</v>
      </c>
      <c r="AD104" t="s">
        <v>760</v>
      </c>
      <c r="AE104" t="s">
        <v>1509</v>
      </c>
    </row>
    <row r="105" spans="2:31" x14ac:dyDescent="0.25">
      <c r="B105">
        <v>0.36324075000000006</v>
      </c>
      <c r="C105">
        <v>0.47486112500000005</v>
      </c>
      <c r="D105">
        <v>0.5864815000000001</v>
      </c>
      <c r="E105">
        <v>0.69810187500000009</v>
      </c>
      <c r="F105">
        <v>0.8156922499999999</v>
      </c>
      <c r="G105">
        <v>0.92830762500000008</v>
      </c>
      <c r="I105">
        <v>0.36654341666666668</v>
      </c>
      <c r="J105">
        <v>0.47981512500000001</v>
      </c>
      <c r="K105">
        <v>0.59308683333333345</v>
      </c>
      <c r="L105">
        <v>0.70635854166666689</v>
      </c>
      <c r="M105">
        <v>0.82560024999999992</v>
      </c>
      <c r="N105">
        <v>0.93986695833333356</v>
      </c>
      <c r="P105">
        <v>0.36986741666666673</v>
      </c>
      <c r="Q105">
        <v>0.484801125</v>
      </c>
      <c r="R105">
        <v>0.59973483333333344</v>
      </c>
      <c r="S105">
        <v>0.71466854166666682</v>
      </c>
      <c r="T105">
        <v>0.83557225000000002</v>
      </c>
      <c r="U105">
        <v>0.95150095833333359</v>
      </c>
      <c r="W105">
        <v>0.37321375000000007</v>
      </c>
      <c r="X105">
        <v>0.48982062500000012</v>
      </c>
      <c r="Y105">
        <v>0.6064274999999999</v>
      </c>
      <c r="Z105">
        <v>0.72303437500000012</v>
      </c>
      <c r="AA105">
        <v>0.84561124999999993</v>
      </c>
      <c r="AB105">
        <v>0.96321312500000011</v>
      </c>
      <c r="AD105" t="s">
        <v>765</v>
      </c>
      <c r="AE105" t="s">
        <v>1510</v>
      </c>
    </row>
    <row r="106" spans="2:31" x14ac:dyDescent="0.25">
      <c r="B106">
        <v>0</v>
      </c>
      <c r="C106">
        <v>0</v>
      </c>
      <c r="D106">
        <v>0</v>
      </c>
      <c r="E106">
        <v>0</v>
      </c>
      <c r="F106">
        <v>0</v>
      </c>
      <c r="G106">
        <v>0</v>
      </c>
      <c r="I106">
        <v>0</v>
      </c>
      <c r="J106">
        <v>0</v>
      </c>
      <c r="K106">
        <v>0</v>
      </c>
      <c r="L106">
        <v>0</v>
      </c>
      <c r="M106">
        <v>0</v>
      </c>
      <c r="N106">
        <v>0</v>
      </c>
      <c r="P106">
        <v>0</v>
      </c>
      <c r="Q106">
        <v>0</v>
      </c>
      <c r="R106">
        <v>0</v>
      </c>
      <c r="S106">
        <v>0</v>
      </c>
      <c r="T106">
        <v>0</v>
      </c>
      <c r="U106">
        <v>0</v>
      </c>
      <c r="W106">
        <v>0</v>
      </c>
      <c r="X106">
        <v>0</v>
      </c>
      <c r="Y106">
        <v>0</v>
      </c>
      <c r="Z106">
        <v>0</v>
      </c>
      <c r="AA106">
        <v>0</v>
      </c>
      <c r="AB106">
        <v>0</v>
      </c>
      <c r="AD106" t="s">
        <v>770</v>
      </c>
      <c r="AE106" t="s">
        <v>1511</v>
      </c>
    </row>
    <row r="107" spans="2:31" x14ac:dyDescent="0.25">
      <c r="B107">
        <v>0</v>
      </c>
      <c r="C107">
        <v>0</v>
      </c>
      <c r="D107">
        <v>0</v>
      </c>
      <c r="E107">
        <v>0</v>
      </c>
      <c r="F107">
        <v>0</v>
      </c>
      <c r="G107">
        <v>0</v>
      </c>
      <c r="I107">
        <v>0</v>
      </c>
      <c r="J107">
        <v>0</v>
      </c>
      <c r="K107">
        <v>0</v>
      </c>
      <c r="L107">
        <v>0</v>
      </c>
      <c r="M107">
        <v>0</v>
      </c>
      <c r="N107">
        <v>0</v>
      </c>
      <c r="P107">
        <v>0</v>
      </c>
      <c r="Q107">
        <v>0</v>
      </c>
      <c r="R107">
        <v>0</v>
      </c>
      <c r="S107">
        <v>0</v>
      </c>
      <c r="T107">
        <v>0</v>
      </c>
      <c r="U107">
        <v>0</v>
      </c>
      <c r="W107">
        <v>0</v>
      </c>
      <c r="X107">
        <v>0</v>
      </c>
      <c r="Y107">
        <v>0</v>
      </c>
      <c r="Z107">
        <v>0</v>
      </c>
      <c r="AA107">
        <v>0</v>
      </c>
      <c r="AB107">
        <v>0</v>
      </c>
      <c r="AD107" t="s">
        <v>774</v>
      </c>
      <c r="AE107" t="s">
        <v>1512</v>
      </c>
    </row>
    <row r="108" spans="2:31" x14ac:dyDescent="0.25">
      <c r="B108">
        <v>8.7430000000000424E-3</v>
      </c>
      <c r="C108">
        <v>1.3114500000000034E-2</v>
      </c>
      <c r="D108">
        <v>1.7486000000000106E-2</v>
      </c>
      <c r="E108">
        <v>2.1857500000000082E-2</v>
      </c>
      <c r="F108">
        <v>2.6228999999999891E-2</v>
      </c>
      <c r="G108">
        <v>3.0600499999999985E-2</v>
      </c>
      <c r="I108">
        <v>8.7429999999999626E-3</v>
      </c>
      <c r="J108">
        <v>1.3114499999999994E-2</v>
      </c>
      <c r="K108">
        <v>1.7486000000000061E-2</v>
      </c>
      <c r="L108">
        <v>2.1857500000000158E-2</v>
      </c>
      <c r="M108">
        <v>2.622899999999986E-2</v>
      </c>
      <c r="N108">
        <v>3.0600500000000006E-2</v>
      </c>
      <c r="P108">
        <v>8.7430000000000164E-3</v>
      </c>
      <c r="Q108">
        <v>1.3114500000000046E-2</v>
      </c>
      <c r="R108">
        <v>1.7486000000000015E-2</v>
      </c>
      <c r="S108">
        <v>2.1857500000000005E-2</v>
      </c>
      <c r="T108">
        <v>2.622899999999995E-2</v>
      </c>
      <c r="U108">
        <v>3.0600500000000082E-2</v>
      </c>
      <c r="W108">
        <v>8.742999999999999E-3</v>
      </c>
      <c r="X108">
        <v>1.3114500000000071E-2</v>
      </c>
      <c r="Y108">
        <v>1.7485999999999925E-2</v>
      </c>
      <c r="Z108">
        <v>2.1857499999999957E-2</v>
      </c>
      <c r="AA108">
        <v>2.6228999999999829E-2</v>
      </c>
      <c r="AB108">
        <v>3.0600499999999791E-2</v>
      </c>
      <c r="AD108" t="s">
        <v>778</v>
      </c>
      <c r="AE108" t="s">
        <v>1513</v>
      </c>
    </row>
    <row r="109" spans="2:31" x14ac:dyDescent="0.25">
      <c r="B109">
        <v>0</v>
      </c>
      <c r="C109">
        <v>0</v>
      </c>
      <c r="D109">
        <v>0</v>
      </c>
      <c r="E109">
        <v>0</v>
      </c>
      <c r="F109">
        <v>0</v>
      </c>
      <c r="G109">
        <v>0</v>
      </c>
      <c r="I109">
        <v>0</v>
      </c>
      <c r="J109">
        <v>0</v>
      </c>
      <c r="K109">
        <v>0</v>
      </c>
      <c r="L109">
        <v>0</v>
      </c>
      <c r="M109">
        <v>0</v>
      </c>
      <c r="N109">
        <v>0</v>
      </c>
      <c r="P109">
        <v>0</v>
      </c>
      <c r="Q109">
        <v>0</v>
      </c>
      <c r="R109">
        <v>0</v>
      </c>
      <c r="S109">
        <v>0</v>
      </c>
      <c r="T109">
        <v>0</v>
      </c>
      <c r="U109">
        <v>0</v>
      </c>
      <c r="W109">
        <v>0</v>
      </c>
      <c r="X109">
        <v>0</v>
      </c>
      <c r="Y109">
        <v>0</v>
      </c>
      <c r="Z109">
        <v>0</v>
      </c>
      <c r="AA109">
        <v>0</v>
      </c>
      <c r="AB109">
        <v>0</v>
      </c>
      <c r="AD109" t="s">
        <v>781</v>
      </c>
      <c r="AE109" t="s">
        <v>1514</v>
      </c>
    </row>
    <row r="110" spans="2:31" x14ac:dyDescent="0.25">
      <c r="B110">
        <v>0</v>
      </c>
      <c r="C110">
        <v>0</v>
      </c>
      <c r="D110">
        <v>0</v>
      </c>
      <c r="E110">
        <v>0</v>
      </c>
      <c r="F110">
        <v>0</v>
      </c>
      <c r="G110">
        <v>0</v>
      </c>
      <c r="I110">
        <v>0</v>
      </c>
      <c r="J110">
        <v>0</v>
      </c>
      <c r="K110">
        <v>0</v>
      </c>
      <c r="L110">
        <v>0</v>
      </c>
      <c r="M110">
        <v>0</v>
      </c>
      <c r="N110">
        <v>0</v>
      </c>
      <c r="P110">
        <v>0</v>
      </c>
      <c r="Q110">
        <v>0</v>
      </c>
      <c r="R110">
        <v>0</v>
      </c>
      <c r="S110">
        <v>0</v>
      </c>
      <c r="T110">
        <v>0</v>
      </c>
      <c r="U110">
        <v>0</v>
      </c>
      <c r="W110">
        <v>0</v>
      </c>
      <c r="X110">
        <v>0</v>
      </c>
      <c r="Y110">
        <v>0</v>
      </c>
      <c r="Z110">
        <v>0</v>
      </c>
      <c r="AA110">
        <v>0</v>
      </c>
      <c r="AB110">
        <v>0</v>
      </c>
      <c r="AD110" t="s">
        <v>785</v>
      </c>
      <c r="AE110" t="s">
        <v>1515</v>
      </c>
    </row>
    <row r="111" spans="2:31" x14ac:dyDescent="0.25">
      <c r="B111">
        <v>2.3933999999999997E-2</v>
      </c>
      <c r="C111">
        <v>3.5900999999999988E-2</v>
      </c>
      <c r="D111">
        <v>4.7867999999999994E-2</v>
      </c>
      <c r="E111">
        <v>5.9834999999999992E-2</v>
      </c>
      <c r="F111">
        <v>7.1802000000000005E-2</v>
      </c>
      <c r="G111">
        <v>8.3768999999999996E-2</v>
      </c>
      <c r="I111">
        <v>2.3933999999999997E-2</v>
      </c>
      <c r="J111">
        <v>3.5901000000000002E-2</v>
      </c>
      <c r="K111">
        <v>4.7867999999999994E-2</v>
      </c>
      <c r="L111">
        <v>5.9834999999999992E-2</v>
      </c>
      <c r="M111">
        <v>7.1801999999999977E-2</v>
      </c>
      <c r="N111">
        <v>8.3768999999999996E-2</v>
      </c>
      <c r="P111">
        <v>2.3933999999999997E-2</v>
      </c>
      <c r="Q111">
        <v>3.5900999999999982E-2</v>
      </c>
      <c r="R111">
        <v>4.7868000000000001E-2</v>
      </c>
      <c r="S111">
        <v>5.9834999999999992E-2</v>
      </c>
      <c r="T111">
        <v>7.1801999999999977E-2</v>
      </c>
      <c r="U111">
        <v>8.3769000000000038E-2</v>
      </c>
      <c r="W111">
        <v>2.3933999999999997E-2</v>
      </c>
      <c r="X111">
        <v>3.5900999999999988E-2</v>
      </c>
      <c r="Y111">
        <v>4.786799999999998E-2</v>
      </c>
      <c r="Z111">
        <v>5.9834999999999999E-2</v>
      </c>
      <c r="AA111">
        <v>7.1801999999999977E-2</v>
      </c>
      <c r="AB111">
        <v>8.3769000000000024E-2</v>
      </c>
      <c r="AD111" t="s">
        <v>788</v>
      </c>
      <c r="AE111" s="60" t="s">
        <v>1516</v>
      </c>
    </row>
    <row r="112" spans="2:31" x14ac:dyDescent="0.25">
      <c r="B112">
        <v>0</v>
      </c>
      <c r="C112">
        <v>0</v>
      </c>
      <c r="D112">
        <v>0</v>
      </c>
      <c r="E112">
        <v>0</v>
      </c>
      <c r="F112">
        <v>0</v>
      </c>
      <c r="G112">
        <v>0</v>
      </c>
      <c r="I112">
        <v>0</v>
      </c>
      <c r="J112">
        <v>0</v>
      </c>
      <c r="K112">
        <v>0</v>
      </c>
      <c r="L112">
        <v>0</v>
      </c>
      <c r="M112">
        <v>0</v>
      </c>
      <c r="N112">
        <v>0</v>
      </c>
      <c r="P112">
        <v>0</v>
      </c>
      <c r="Q112">
        <v>0</v>
      </c>
      <c r="R112">
        <v>0</v>
      </c>
      <c r="S112">
        <v>0</v>
      </c>
      <c r="T112">
        <v>0</v>
      </c>
      <c r="U112">
        <v>0</v>
      </c>
      <c r="W112">
        <v>0</v>
      </c>
      <c r="X112">
        <v>0</v>
      </c>
      <c r="Y112">
        <v>0</v>
      </c>
      <c r="Z112">
        <v>0</v>
      </c>
      <c r="AA112">
        <v>0</v>
      </c>
      <c r="AB112">
        <v>0</v>
      </c>
      <c r="AD112" t="s">
        <v>792</v>
      </c>
      <c r="AE112" t="s">
        <v>1519</v>
      </c>
    </row>
    <row r="113" spans="2:31" x14ac:dyDescent="0.25">
      <c r="B113">
        <v>0</v>
      </c>
      <c r="C113">
        <v>0</v>
      </c>
      <c r="D113">
        <v>0</v>
      </c>
      <c r="E113">
        <v>0</v>
      </c>
      <c r="F113">
        <v>0</v>
      </c>
      <c r="G113">
        <v>0</v>
      </c>
      <c r="I113">
        <v>0</v>
      </c>
      <c r="J113">
        <v>0</v>
      </c>
      <c r="K113">
        <v>0</v>
      </c>
      <c r="L113">
        <v>0</v>
      </c>
      <c r="M113">
        <v>0</v>
      </c>
      <c r="N113">
        <v>0</v>
      </c>
      <c r="P113">
        <v>0</v>
      </c>
      <c r="Q113">
        <v>0</v>
      </c>
      <c r="R113">
        <v>0</v>
      </c>
      <c r="S113">
        <v>0</v>
      </c>
      <c r="T113">
        <v>0</v>
      </c>
      <c r="U113">
        <v>0</v>
      </c>
      <c r="W113">
        <v>0</v>
      </c>
      <c r="X113">
        <v>0</v>
      </c>
      <c r="Y113">
        <v>0</v>
      </c>
      <c r="Z113">
        <v>0</v>
      </c>
      <c r="AA113">
        <v>0</v>
      </c>
      <c r="AB113">
        <v>0</v>
      </c>
      <c r="AD113" t="s">
        <v>795</v>
      </c>
      <c r="AE113" t="s">
        <v>1520</v>
      </c>
    </row>
    <row r="114" spans="2:31" x14ac:dyDescent="0.25">
      <c r="B114">
        <v>0</v>
      </c>
      <c r="C114">
        <v>0</v>
      </c>
      <c r="D114">
        <v>0</v>
      </c>
      <c r="E114">
        <v>0</v>
      </c>
      <c r="F114">
        <v>0</v>
      </c>
      <c r="G114">
        <v>0</v>
      </c>
      <c r="I114">
        <v>0</v>
      </c>
      <c r="J114">
        <v>0</v>
      </c>
      <c r="K114">
        <v>0</v>
      </c>
      <c r="L114">
        <v>0</v>
      </c>
      <c r="M114">
        <v>0</v>
      </c>
      <c r="N114">
        <v>0</v>
      </c>
      <c r="P114">
        <v>0</v>
      </c>
      <c r="Q114">
        <v>0</v>
      </c>
      <c r="R114">
        <v>0</v>
      </c>
      <c r="S114">
        <v>0</v>
      </c>
      <c r="T114">
        <v>0</v>
      </c>
      <c r="U114">
        <v>0</v>
      </c>
      <c r="W114">
        <v>0</v>
      </c>
      <c r="X114">
        <v>0</v>
      </c>
      <c r="Y114">
        <v>0</v>
      </c>
      <c r="Z114">
        <v>0</v>
      </c>
      <c r="AA114">
        <v>0</v>
      </c>
      <c r="AB114">
        <v>0</v>
      </c>
      <c r="AD114" t="s">
        <v>798</v>
      </c>
      <c r="AE114" t="s">
        <v>1521</v>
      </c>
    </row>
    <row r="115" spans="2:31" x14ac:dyDescent="0.25">
      <c r="B115">
        <v>0</v>
      </c>
      <c r="C115">
        <v>0</v>
      </c>
      <c r="D115">
        <v>0</v>
      </c>
      <c r="E115">
        <v>0</v>
      </c>
      <c r="F115">
        <v>0</v>
      </c>
      <c r="G115">
        <v>0</v>
      </c>
      <c r="I115">
        <v>0</v>
      </c>
      <c r="J115">
        <v>0</v>
      </c>
      <c r="K115">
        <v>0</v>
      </c>
      <c r="L115">
        <v>0</v>
      </c>
      <c r="M115">
        <v>0</v>
      </c>
      <c r="N115">
        <v>0</v>
      </c>
      <c r="P115">
        <v>0</v>
      </c>
      <c r="Q115">
        <v>0</v>
      </c>
      <c r="R115">
        <v>0</v>
      </c>
      <c r="S115">
        <v>0</v>
      </c>
      <c r="T115">
        <v>0</v>
      </c>
      <c r="U115">
        <v>0</v>
      </c>
      <c r="W115">
        <v>0</v>
      </c>
      <c r="X115">
        <v>0</v>
      </c>
      <c r="Y115">
        <v>0</v>
      </c>
      <c r="Z115">
        <v>0</v>
      </c>
      <c r="AA115">
        <v>0</v>
      </c>
      <c r="AB115">
        <v>0</v>
      </c>
      <c r="AD115" t="s">
        <v>802</v>
      </c>
      <c r="AE115" t="s">
        <v>1523</v>
      </c>
    </row>
    <row r="116" spans="2:31" x14ac:dyDescent="0.25">
      <c r="B116">
        <v>2.434388851653955E-30</v>
      </c>
      <c r="C116">
        <v>-6.4334349287382327E-30</v>
      </c>
      <c r="D116">
        <v>-1.7194035444289265E-31</v>
      </c>
      <c r="E116">
        <v>1.0660301975459344E-30</v>
      </c>
      <c r="F116">
        <v>0</v>
      </c>
      <c r="G116">
        <v>0</v>
      </c>
      <c r="I116">
        <v>-1.7595229604656014E-30</v>
      </c>
      <c r="J116">
        <v>-1.3834034351217736E-30</v>
      </c>
      <c r="K116">
        <v>-1.6477617300777211E-31</v>
      </c>
      <c r="L116">
        <v>4.4217327817563891E-30</v>
      </c>
      <c r="M116">
        <v>0</v>
      </c>
      <c r="N116">
        <v>0</v>
      </c>
      <c r="P116">
        <v>1.9945081115375545E-30</v>
      </c>
      <c r="Q116">
        <v>-2.6364187681243538E-30</v>
      </c>
      <c r="R116">
        <v>-4.5850761184771373E-31</v>
      </c>
      <c r="S116">
        <v>-6.8776141777157059E-31</v>
      </c>
      <c r="T116">
        <v>-2.1091350144994831E-30</v>
      </c>
      <c r="U116">
        <v>-2.2925380592385685E-30</v>
      </c>
      <c r="W116">
        <v>6.6483603717918488E-31</v>
      </c>
      <c r="X116">
        <v>4.5850761184771373E-31</v>
      </c>
      <c r="Y116">
        <v>2.2925380592385686E-31</v>
      </c>
      <c r="Z116">
        <v>-1.9715827309451688E-30</v>
      </c>
      <c r="AA116">
        <v>-2.2925380592385685E-30</v>
      </c>
      <c r="AB116">
        <v>-1.3296720743583698E-30</v>
      </c>
      <c r="AD116" t="s">
        <v>805</v>
      </c>
      <c r="AE116" t="s">
        <v>1524</v>
      </c>
    </row>
    <row r="117" spans="2:31" x14ac:dyDescent="0.25">
      <c r="B117">
        <v>0</v>
      </c>
      <c r="C117">
        <v>0</v>
      </c>
      <c r="D117">
        <v>0</v>
      </c>
      <c r="E117">
        <v>0</v>
      </c>
      <c r="F117">
        <v>0</v>
      </c>
      <c r="G117">
        <v>0</v>
      </c>
      <c r="I117">
        <v>0</v>
      </c>
      <c r="J117">
        <v>0</v>
      </c>
      <c r="K117">
        <v>0</v>
      </c>
      <c r="L117">
        <v>0</v>
      </c>
      <c r="M117">
        <v>0</v>
      </c>
      <c r="N117">
        <v>0</v>
      </c>
      <c r="P117">
        <v>0</v>
      </c>
      <c r="Q117">
        <v>0</v>
      </c>
      <c r="R117">
        <v>0</v>
      </c>
      <c r="S117">
        <v>0</v>
      </c>
      <c r="T117">
        <v>0</v>
      </c>
      <c r="U117">
        <v>0</v>
      </c>
      <c r="W117">
        <v>0</v>
      </c>
      <c r="X117">
        <v>0</v>
      </c>
      <c r="Y117">
        <v>0</v>
      </c>
      <c r="Z117">
        <v>0</v>
      </c>
      <c r="AA117">
        <v>0</v>
      </c>
      <c r="AB117">
        <v>0</v>
      </c>
      <c r="AD117" t="s">
        <v>809</v>
      </c>
      <c r="AE117" t="s">
        <v>1526</v>
      </c>
    </row>
    <row r="118" spans="2:31" x14ac:dyDescent="0.25">
      <c r="B118">
        <v>0</v>
      </c>
      <c r="C118">
        <v>0</v>
      </c>
      <c r="D118">
        <v>0</v>
      </c>
      <c r="E118">
        <v>0</v>
      </c>
      <c r="F118">
        <v>0</v>
      </c>
      <c r="G118">
        <v>0</v>
      </c>
      <c r="I118">
        <v>0</v>
      </c>
      <c r="J118">
        <v>0</v>
      </c>
      <c r="K118">
        <v>0</v>
      </c>
      <c r="L118">
        <v>0</v>
      </c>
      <c r="M118">
        <v>0</v>
      </c>
      <c r="N118">
        <v>0</v>
      </c>
      <c r="P118">
        <v>0</v>
      </c>
      <c r="Q118">
        <v>0</v>
      </c>
      <c r="R118">
        <v>0</v>
      </c>
      <c r="S118">
        <v>0</v>
      </c>
      <c r="T118">
        <v>0</v>
      </c>
      <c r="U118">
        <v>0</v>
      </c>
      <c r="W118">
        <v>0</v>
      </c>
      <c r="X118">
        <v>0</v>
      </c>
      <c r="Y118">
        <v>0</v>
      </c>
      <c r="Z118">
        <v>0</v>
      </c>
      <c r="AA118">
        <v>0</v>
      </c>
      <c r="AB118">
        <v>0</v>
      </c>
      <c r="AD118" t="s">
        <v>813</v>
      </c>
      <c r="AE118" t="s">
        <v>1528</v>
      </c>
    </row>
    <row r="119" spans="2:31" x14ac:dyDescent="0.25">
      <c r="B119">
        <v>0</v>
      </c>
      <c r="C119">
        <v>0</v>
      </c>
      <c r="D119">
        <v>0</v>
      </c>
      <c r="E119">
        <v>0</v>
      </c>
      <c r="F119">
        <v>0</v>
      </c>
      <c r="G119">
        <v>0</v>
      </c>
      <c r="I119">
        <v>0</v>
      </c>
      <c r="J119">
        <v>0</v>
      </c>
      <c r="K119">
        <v>0</v>
      </c>
      <c r="L119">
        <v>0</v>
      </c>
      <c r="M119">
        <v>0</v>
      </c>
      <c r="N119">
        <v>0</v>
      </c>
      <c r="P119">
        <v>0</v>
      </c>
      <c r="Q119">
        <v>0</v>
      </c>
      <c r="R119">
        <v>0</v>
      </c>
      <c r="S119">
        <v>0</v>
      </c>
      <c r="T119">
        <v>0</v>
      </c>
      <c r="U119">
        <v>0</v>
      </c>
      <c r="W119">
        <v>0</v>
      </c>
      <c r="X119">
        <v>0</v>
      </c>
      <c r="Y119">
        <v>0</v>
      </c>
      <c r="Z119">
        <v>0</v>
      </c>
      <c r="AA119">
        <v>0</v>
      </c>
      <c r="AB119">
        <v>0</v>
      </c>
      <c r="AD119" t="s">
        <v>816</v>
      </c>
      <c r="AE119" t="s">
        <v>1529</v>
      </c>
    </row>
    <row r="120" spans="2:31" x14ac:dyDescent="0.25">
      <c r="B120">
        <v>0</v>
      </c>
      <c r="C120">
        <v>0</v>
      </c>
      <c r="D120">
        <v>0</v>
      </c>
      <c r="E120">
        <v>0</v>
      </c>
      <c r="F120">
        <v>0</v>
      </c>
      <c r="G120">
        <v>0</v>
      </c>
      <c r="I120">
        <v>0</v>
      </c>
      <c r="J120">
        <v>0</v>
      </c>
      <c r="K120">
        <v>0</v>
      </c>
      <c r="L120">
        <v>0</v>
      </c>
      <c r="M120">
        <v>0</v>
      </c>
      <c r="N120">
        <v>0</v>
      </c>
      <c r="P120">
        <v>0</v>
      </c>
      <c r="Q120">
        <v>0</v>
      </c>
      <c r="R120">
        <v>0</v>
      </c>
      <c r="S120">
        <v>0</v>
      </c>
      <c r="T120">
        <v>0</v>
      </c>
      <c r="U120">
        <v>0</v>
      </c>
      <c r="W120">
        <v>0</v>
      </c>
      <c r="X120">
        <v>0</v>
      </c>
      <c r="Y120">
        <v>0</v>
      </c>
      <c r="Z120">
        <v>0</v>
      </c>
      <c r="AA120">
        <v>0</v>
      </c>
      <c r="AB120">
        <v>0</v>
      </c>
      <c r="AD120" t="s">
        <v>820</v>
      </c>
      <c r="AE120" t="s">
        <v>1530</v>
      </c>
    </row>
    <row r="121" spans="2:31" x14ac:dyDescent="0.25">
      <c r="B121">
        <v>0</v>
      </c>
      <c r="C121">
        <v>0</v>
      </c>
      <c r="D121">
        <v>0</v>
      </c>
      <c r="E121">
        <v>0</v>
      </c>
      <c r="F121">
        <v>0</v>
      </c>
      <c r="G121">
        <v>0</v>
      </c>
      <c r="I121">
        <v>0</v>
      </c>
      <c r="J121">
        <v>0</v>
      </c>
      <c r="K121">
        <v>0</v>
      </c>
      <c r="L121">
        <v>0</v>
      </c>
      <c r="M121">
        <v>0</v>
      </c>
      <c r="N121">
        <v>0</v>
      </c>
      <c r="P121">
        <v>0</v>
      </c>
      <c r="Q121">
        <v>0</v>
      </c>
      <c r="R121">
        <v>0</v>
      </c>
      <c r="S121">
        <v>0</v>
      </c>
      <c r="T121">
        <v>0</v>
      </c>
      <c r="U121">
        <v>0</v>
      </c>
      <c r="W121">
        <v>0</v>
      </c>
      <c r="X121">
        <v>0</v>
      </c>
      <c r="Y121">
        <v>0</v>
      </c>
      <c r="Z121">
        <v>0</v>
      </c>
      <c r="AA121">
        <v>0</v>
      </c>
      <c r="AB121">
        <v>0</v>
      </c>
      <c r="AD121" t="s">
        <v>825</v>
      </c>
      <c r="AE121" t="s">
        <v>1531</v>
      </c>
    </row>
    <row r="122" spans="2:31" x14ac:dyDescent="0.25">
      <c r="B122">
        <v>-3.9800000000000002E-4</v>
      </c>
      <c r="C122">
        <v>-5.9700000000000009E-4</v>
      </c>
      <c r="D122">
        <v>-7.9600000000000005E-4</v>
      </c>
      <c r="E122">
        <v>-9.9500000000000001E-4</v>
      </c>
      <c r="F122">
        <v>0</v>
      </c>
      <c r="G122">
        <v>0</v>
      </c>
      <c r="I122">
        <v>-3.9800000000000002E-4</v>
      </c>
      <c r="J122">
        <v>-5.9700000000000009E-4</v>
      </c>
      <c r="K122">
        <v>-7.9600000000000005E-4</v>
      </c>
      <c r="L122">
        <v>-9.9500000000000001E-4</v>
      </c>
      <c r="M122">
        <v>0</v>
      </c>
      <c r="N122">
        <v>0</v>
      </c>
      <c r="P122">
        <v>-3.9800000000000002E-4</v>
      </c>
      <c r="Q122">
        <v>-5.9700000000000009E-4</v>
      </c>
      <c r="R122">
        <v>-7.9600000000000005E-4</v>
      </c>
      <c r="S122">
        <v>-9.9500000000000001E-4</v>
      </c>
      <c r="T122">
        <v>0</v>
      </c>
      <c r="U122">
        <v>0</v>
      </c>
      <c r="W122">
        <v>-3.9800000000000002E-4</v>
      </c>
      <c r="X122">
        <v>-5.9700000000000009E-4</v>
      </c>
      <c r="Y122">
        <v>-7.9600000000000005E-4</v>
      </c>
      <c r="Z122">
        <v>-9.9500000000000001E-4</v>
      </c>
      <c r="AA122">
        <v>0</v>
      </c>
      <c r="AB122">
        <v>0</v>
      </c>
      <c r="AD122" t="s">
        <v>829</v>
      </c>
      <c r="AE122" t="s">
        <v>1537</v>
      </c>
    </row>
    <row r="123" spans="2:31" x14ac:dyDescent="0.25">
      <c r="B123">
        <v>0</v>
      </c>
      <c r="C123">
        <v>0</v>
      </c>
      <c r="D123">
        <v>0</v>
      </c>
      <c r="E123">
        <v>0</v>
      </c>
      <c r="F123">
        <v>0</v>
      </c>
      <c r="G123">
        <v>0</v>
      </c>
      <c r="I123">
        <v>0</v>
      </c>
      <c r="J123">
        <v>0</v>
      </c>
      <c r="K123">
        <v>0</v>
      </c>
      <c r="L123">
        <v>0</v>
      </c>
      <c r="M123">
        <v>0</v>
      </c>
      <c r="N123">
        <v>0</v>
      </c>
      <c r="P123">
        <v>0</v>
      </c>
      <c r="Q123">
        <v>0</v>
      </c>
      <c r="R123">
        <v>0</v>
      </c>
      <c r="S123">
        <v>0</v>
      </c>
      <c r="T123">
        <v>0</v>
      </c>
      <c r="U123">
        <v>0</v>
      </c>
      <c r="W123">
        <v>0</v>
      </c>
      <c r="X123">
        <v>0</v>
      </c>
      <c r="Y123">
        <v>0</v>
      </c>
      <c r="Z123">
        <v>0</v>
      </c>
      <c r="AA123">
        <v>0</v>
      </c>
      <c r="AB123">
        <v>0</v>
      </c>
      <c r="AD123" t="s">
        <v>832</v>
      </c>
      <c r="AE123" t="s">
        <v>1538</v>
      </c>
    </row>
    <row r="124" spans="2:31" x14ac:dyDescent="0.25">
      <c r="B124">
        <v>0</v>
      </c>
      <c r="C124">
        <v>0</v>
      </c>
      <c r="D124">
        <v>0</v>
      </c>
      <c r="E124">
        <v>0</v>
      </c>
      <c r="F124">
        <v>0</v>
      </c>
      <c r="G124">
        <v>0</v>
      </c>
      <c r="I124">
        <v>0</v>
      </c>
      <c r="J124">
        <v>0</v>
      </c>
      <c r="K124">
        <v>0</v>
      </c>
      <c r="L124">
        <v>0</v>
      </c>
      <c r="M124">
        <v>0</v>
      </c>
      <c r="N124">
        <v>0</v>
      </c>
      <c r="P124">
        <v>0</v>
      </c>
      <c r="Q124">
        <v>0</v>
      </c>
      <c r="R124">
        <v>0</v>
      </c>
      <c r="S124">
        <v>0</v>
      </c>
      <c r="T124">
        <v>0</v>
      </c>
      <c r="U124">
        <v>0</v>
      </c>
      <c r="W124">
        <v>0</v>
      </c>
      <c r="X124">
        <v>0</v>
      </c>
      <c r="Y124">
        <v>0</v>
      </c>
      <c r="Z124">
        <v>0</v>
      </c>
      <c r="AA124">
        <v>0</v>
      </c>
      <c r="AB124">
        <v>0</v>
      </c>
      <c r="AD124" t="s">
        <v>837</v>
      </c>
      <c r="AE124" t="s">
        <v>1539</v>
      </c>
    </row>
    <row r="125" spans="2:31" x14ac:dyDescent="0.25">
      <c r="B125">
        <v>0.15877987500000001</v>
      </c>
      <c r="C125">
        <v>0.20316981249999999</v>
      </c>
      <c r="D125">
        <v>0.24755975000000005</v>
      </c>
      <c r="E125">
        <v>0.2919496875</v>
      </c>
      <c r="F125">
        <v>0.33723512499999997</v>
      </c>
      <c r="G125">
        <v>0.38177431250000005</v>
      </c>
      <c r="I125">
        <v>0.1629069583333333</v>
      </c>
      <c r="J125">
        <v>0.20936043749999997</v>
      </c>
      <c r="K125">
        <v>0.2558139166666667</v>
      </c>
      <c r="L125">
        <v>0.30226739583333345</v>
      </c>
      <c r="M125">
        <v>0.34961637499999987</v>
      </c>
      <c r="N125">
        <v>0.39621910416666672</v>
      </c>
      <c r="P125">
        <v>0.16706195833333334</v>
      </c>
      <c r="Q125">
        <v>0.21559293749999997</v>
      </c>
      <c r="R125">
        <v>0.26412391666666674</v>
      </c>
      <c r="S125">
        <v>0.31265489583333334</v>
      </c>
      <c r="T125">
        <v>0.36208137499999993</v>
      </c>
      <c r="U125">
        <v>0.41076160416666679</v>
      </c>
      <c r="W125">
        <v>0.17124487500000002</v>
      </c>
      <c r="X125">
        <v>0.2218673125</v>
      </c>
      <c r="Y125">
        <v>0.27248975000000009</v>
      </c>
      <c r="Z125">
        <v>0.32311218750000004</v>
      </c>
      <c r="AA125">
        <v>0.37463012499999998</v>
      </c>
      <c r="AB125">
        <v>0.42540181249999998</v>
      </c>
      <c r="AD125" t="s">
        <v>840</v>
      </c>
      <c r="AE125" t="s">
        <v>1540</v>
      </c>
    </row>
    <row r="126" spans="2:31" x14ac:dyDescent="0.25">
      <c r="B126">
        <v>6.7270000000000003E-3</v>
      </c>
      <c r="C126">
        <v>1.0090500000000001E-2</v>
      </c>
      <c r="D126">
        <v>1.3454000000000001E-2</v>
      </c>
      <c r="E126">
        <v>1.6817499999999999E-2</v>
      </c>
      <c r="F126">
        <v>2.0180999999999998E-2</v>
      </c>
      <c r="G126">
        <v>2.3544499999999999E-2</v>
      </c>
      <c r="I126">
        <v>6.7270000000000003E-3</v>
      </c>
      <c r="J126">
        <v>1.0090500000000001E-2</v>
      </c>
      <c r="K126">
        <v>1.3454000000000001E-2</v>
      </c>
      <c r="L126">
        <v>1.6817499999999999E-2</v>
      </c>
      <c r="M126">
        <v>2.0180999999999998E-2</v>
      </c>
      <c r="N126">
        <v>2.3544499999999999E-2</v>
      </c>
      <c r="P126">
        <v>6.7270000000000003E-3</v>
      </c>
      <c r="Q126">
        <v>1.0090500000000001E-2</v>
      </c>
      <c r="R126">
        <v>1.3454000000000001E-2</v>
      </c>
      <c r="S126">
        <v>1.6817499999999999E-2</v>
      </c>
      <c r="T126">
        <v>2.0180999999999998E-2</v>
      </c>
      <c r="U126">
        <v>2.3544499999999999E-2</v>
      </c>
      <c r="W126">
        <v>6.7270000000000003E-3</v>
      </c>
      <c r="X126">
        <v>1.0090500000000001E-2</v>
      </c>
      <c r="Y126">
        <v>1.3454000000000001E-2</v>
      </c>
      <c r="Z126">
        <v>1.6817499999999999E-2</v>
      </c>
      <c r="AA126">
        <v>2.0180999999999998E-2</v>
      </c>
      <c r="AB126">
        <v>2.3544499999999999E-2</v>
      </c>
      <c r="AD126" t="s">
        <v>844</v>
      </c>
      <c r="AE126" t="s">
        <v>1542</v>
      </c>
    </row>
    <row r="127" spans="2:31" x14ac:dyDescent="0.25">
      <c r="B127">
        <v>1.7027E-2</v>
      </c>
      <c r="C127">
        <v>2.5540500000000004E-2</v>
      </c>
      <c r="D127">
        <v>3.4054000000000001E-2</v>
      </c>
      <c r="E127">
        <v>4.2567500000000001E-2</v>
      </c>
      <c r="F127">
        <v>5.1081000000000001E-2</v>
      </c>
      <c r="G127">
        <v>5.9594500000000009E-2</v>
      </c>
      <c r="I127">
        <v>1.7027E-2</v>
      </c>
      <c r="J127">
        <v>2.5540500000000004E-2</v>
      </c>
      <c r="K127">
        <v>3.4054000000000001E-2</v>
      </c>
      <c r="L127">
        <v>4.2567500000000001E-2</v>
      </c>
      <c r="M127">
        <v>5.1081000000000001E-2</v>
      </c>
      <c r="N127">
        <v>5.9594500000000009E-2</v>
      </c>
      <c r="P127">
        <v>1.7027E-2</v>
      </c>
      <c r="Q127">
        <v>2.5540500000000004E-2</v>
      </c>
      <c r="R127">
        <v>3.4054000000000001E-2</v>
      </c>
      <c r="S127">
        <v>4.2567500000000001E-2</v>
      </c>
      <c r="T127">
        <v>5.1081000000000001E-2</v>
      </c>
      <c r="U127">
        <v>5.9594500000000009E-2</v>
      </c>
      <c r="W127">
        <v>1.7027E-2</v>
      </c>
      <c r="X127">
        <v>2.5540500000000004E-2</v>
      </c>
      <c r="Y127">
        <v>3.4054000000000001E-2</v>
      </c>
      <c r="Z127">
        <v>4.2567500000000001E-2</v>
      </c>
      <c r="AA127">
        <v>5.1081000000000001E-2</v>
      </c>
      <c r="AB127">
        <v>5.9594500000000009E-2</v>
      </c>
      <c r="AD127" t="s">
        <v>847</v>
      </c>
      <c r="AE127" t="s">
        <v>1544</v>
      </c>
    </row>
    <row r="128" spans="2:31" s="30" customFormat="1" x14ac:dyDescent="0.25">
      <c r="B128" s="30">
        <v>0.1</v>
      </c>
      <c r="C128" s="30">
        <v>0.15000000000000002</v>
      </c>
      <c r="D128" s="30">
        <v>0.2</v>
      </c>
      <c r="E128" s="30">
        <v>0.25</v>
      </c>
      <c r="F128" s="30">
        <v>0.3</v>
      </c>
      <c r="G128" s="30">
        <v>0.35000000000000003</v>
      </c>
      <c r="I128" s="30">
        <v>0.1</v>
      </c>
      <c r="J128" s="30">
        <v>0.15000000000000002</v>
      </c>
      <c r="K128" s="30">
        <v>0.2</v>
      </c>
      <c r="L128" s="30">
        <v>0.25</v>
      </c>
      <c r="M128" s="30">
        <v>0.3</v>
      </c>
      <c r="N128" s="30">
        <v>0.35000000000000003</v>
      </c>
      <c r="P128" s="30">
        <v>0.1</v>
      </c>
      <c r="Q128" s="30">
        <v>0.15000000000000002</v>
      </c>
      <c r="R128" s="30">
        <v>0.2</v>
      </c>
      <c r="S128" s="30">
        <v>0.25</v>
      </c>
      <c r="T128" s="30">
        <v>0.3</v>
      </c>
      <c r="U128" s="30">
        <v>0.35000000000000003</v>
      </c>
      <c r="W128" s="30">
        <v>0.1</v>
      </c>
      <c r="X128" s="30">
        <v>0.15000000000000002</v>
      </c>
      <c r="Y128" s="30">
        <v>0.2</v>
      </c>
      <c r="Z128" s="30">
        <v>0.25</v>
      </c>
      <c r="AA128" s="30">
        <v>0.3</v>
      </c>
      <c r="AB128" s="30">
        <v>0.35000000000000003</v>
      </c>
      <c r="AD128" s="30" t="s">
        <v>850</v>
      </c>
      <c r="AE128" s="91" t="s">
        <v>1613</v>
      </c>
    </row>
    <row r="129" spans="2:31" x14ac:dyDescent="0.25">
      <c r="B129">
        <v>-2.3719389749999999</v>
      </c>
      <c r="C129">
        <v>-3.2485084625000002</v>
      </c>
      <c r="D129">
        <v>-4.1250779500000005</v>
      </c>
      <c r="E129">
        <v>-5.0016474375</v>
      </c>
      <c r="F129">
        <v>-5.933128984999998</v>
      </c>
      <c r="G129">
        <v>-6.8188504824999994</v>
      </c>
      <c r="I129">
        <v>-2.4084223916666665</v>
      </c>
      <c r="J129">
        <v>-3.303233587499999</v>
      </c>
      <c r="K129">
        <v>-4.1980447833333336</v>
      </c>
      <c r="L129">
        <v>-5.092855979166667</v>
      </c>
      <c r="M129">
        <v>-6.0425792349999989</v>
      </c>
      <c r="N129">
        <v>-6.9465424408333334</v>
      </c>
      <c r="P129">
        <v>-2.4451525916666665</v>
      </c>
      <c r="Q129">
        <v>-3.3583288874999995</v>
      </c>
      <c r="R129">
        <v>-4.2715051833333337</v>
      </c>
      <c r="S129">
        <v>-5.1846814791666667</v>
      </c>
      <c r="T129">
        <v>-6.152769835</v>
      </c>
      <c r="U129">
        <v>-7.075098140833334</v>
      </c>
      <c r="W129">
        <v>-2.4821295750000001</v>
      </c>
      <c r="X129">
        <v>-3.4137943625</v>
      </c>
      <c r="Y129">
        <v>-4.3454591499999982</v>
      </c>
      <c r="Z129">
        <v>-5.2771239375000007</v>
      </c>
      <c r="AA129">
        <v>-6.2637007849999975</v>
      </c>
      <c r="AB129">
        <v>-7.2045175825000012</v>
      </c>
      <c r="AD129" t="s">
        <v>292</v>
      </c>
      <c r="AE129" t="s">
        <v>1551</v>
      </c>
    </row>
    <row r="130" spans="2:31" x14ac:dyDescent="0.25">
      <c r="B130">
        <v>-7.3099269749999998</v>
      </c>
      <c r="C130">
        <v>-9.9834904625000007</v>
      </c>
      <c r="D130">
        <v>-12.657053950000002</v>
      </c>
      <c r="E130">
        <v>-15.330617437499997</v>
      </c>
      <c r="F130">
        <v>-18.167985784999996</v>
      </c>
      <c r="G130">
        <v>-20.8688500825</v>
      </c>
      <c r="I130">
        <v>-7.4256503916666663</v>
      </c>
      <c r="J130">
        <v>-10.157075587499998</v>
      </c>
      <c r="K130">
        <v>-12.888500783333335</v>
      </c>
      <c r="L130">
        <v>-15.619925979166668</v>
      </c>
      <c r="M130">
        <v>-18.515156034999997</v>
      </c>
      <c r="N130">
        <v>-21.273882040833335</v>
      </c>
      <c r="P130">
        <v>-7.5421565916666671</v>
      </c>
      <c r="Q130">
        <v>-10.331834887499998</v>
      </c>
      <c r="R130">
        <v>-13.121513183333334</v>
      </c>
      <c r="S130">
        <v>-15.911191479166664</v>
      </c>
      <c r="T130">
        <v>-18.864674635</v>
      </c>
      <c r="U130">
        <v>-21.681653740833337</v>
      </c>
      <c r="W130">
        <v>-7.6594455750000003</v>
      </c>
      <c r="X130">
        <v>-10.507768362499998</v>
      </c>
      <c r="Y130">
        <v>-13.356091149999996</v>
      </c>
      <c r="Z130">
        <v>-16.2044139375</v>
      </c>
      <c r="AA130">
        <v>-19.216541584999995</v>
      </c>
      <c r="AB130">
        <v>-22.092165182500004</v>
      </c>
      <c r="AD130" t="s">
        <v>293</v>
      </c>
      <c r="AE130" t="s">
        <v>1553</v>
      </c>
    </row>
    <row r="131" spans="2:31" s="30" customFormat="1" x14ac:dyDescent="0.25">
      <c r="B131" s="30">
        <v>0.38882233006641576</v>
      </c>
      <c r="C131" s="30">
        <v>0.42761806935786917</v>
      </c>
      <c r="D131" s="30">
        <v>0.45007158951220672</v>
      </c>
      <c r="E131" s="30">
        <v>0.46471235757292356</v>
      </c>
      <c r="F131" s="30">
        <v>0.47078605774936422</v>
      </c>
      <c r="G131" s="30">
        <v>0.47829182856346847</v>
      </c>
      <c r="I131" s="30">
        <v>0.38268143285495498</v>
      </c>
      <c r="J131" s="30">
        <v>0.42020227487006573</v>
      </c>
      <c r="K131" s="30">
        <v>0.44186404027590725</v>
      </c>
      <c r="L131" s="30">
        <v>0.45596732994080968</v>
      </c>
      <c r="M131" s="30">
        <v>0.4618131515534144</v>
      </c>
      <c r="N131" s="30">
        <v>0.46903334377583966</v>
      </c>
      <c r="P131" s="30">
        <v>0.37669187624730138</v>
      </c>
      <c r="Q131" s="30">
        <v>0.41299168596112212</v>
      </c>
      <c r="R131" s="30">
        <v>0.43389791286064372</v>
      </c>
      <c r="S131" s="30">
        <v>0.44748944437659599</v>
      </c>
      <c r="T131" s="30">
        <v>0.4531185601704632</v>
      </c>
      <c r="U131" s="30">
        <v>0.46006739603962482</v>
      </c>
      <c r="W131" s="30">
        <v>0.37084852460232287</v>
      </c>
      <c r="X131" s="30">
        <v>0.40597836981077184</v>
      </c>
      <c r="Y131" s="30">
        <v>0.42616322584253818</v>
      </c>
      <c r="Z131" s="30">
        <v>0.43926719250610169</v>
      </c>
      <c r="AA131" s="30">
        <v>0.44469009454667285</v>
      </c>
      <c r="AB131" s="30">
        <v>0.45138091527636637</v>
      </c>
      <c r="AD131" s="30" t="s">
        <v>1614</v>
      </c>
    </row>
    <row r="132" spans="2:31" x14ac:dyDescent="0.25">
      <c r="B132">
        <v>1.4123611479007243</v>
      </c>
      <c r="C132">
        <v>1.3537279832373716</v>
      </c>
      <c r="D132">
        <v>1.3197933046225165</v>
      </c>
      <c r="E132">
        <v>1.2976662726293138</v>
      </c>
      <c r="F132">
        <v>1.2800551290473627</v>
      </c>
      <c r="G132">
        <v>1.2685770040876017</v>
      </c>
      <c r="I132">
        <v>1.402693598935508</v>
      </c>
      <c r="J132">
        <v>1.3441293802804328</v>
      </c>
      <c r="K132">
        <v>1.3103187220555517</v>
      </c>
      <c r="L132">
        <v>1.2883056728985371</v>
      </c>
      <c r="M132">
        <v>1.2709101779192893</v>
      </c>
      <c r="N132">
        <v>1.2595112633471748</v>
      </c>
      <c r="P132">
        <v>1.3932605114690906</v>
      </c>
      <c r="Q132">
        <v>1.3347922264639911</v>
      </c>
      <c r="R132">
        <v>1.301118462265797</v>
      </c>
      <c r="S132">
        <v>1.2792265144953954</v>
      </c>
      <c r="T132">
        <v>1.2620443161279811</v>
      </c>
      <c r="U132">
        <v>1.2507273377989265</v>
      </c>
      <c r="W132">
        <v>1.384057685488002</v>
      </c>
      <c r="X132">
        <v>1.3257105255812895</v>
      </c>
      <c r="Y132">
        <v>1.2921854981981289</v>
      </c>
      <c r="Z132">
        <v>1.2704211199666158</v>
      </c>
      <c r="AA132">
        <v>1.2534498223741006</v>
      </c>
      <c r="AB132">
        <v>1.2422172056248832</v>
      </c>
      <c r="AD132" t="s">
        <v>1615</v>
      </c>
    </row>
    <row r="133" spans="2:31" x14ac:dyDescent="0.25">
      <c r="B133">
        <v>0.61737160965154236</v>
      </c>
      <c r="C133">
        <v>0.57919388648700165</v>
      </c>
      <c r="D133">
        <v>0.55709805090872266</v>
      </c>
      <c r="E133">
        <v>0.54269051028321325</v>
      </c>
      <c r="F133">
        <v>0.5292186501112135</v>
      </c>
      <c r="G133">
        <v>0.52171295435481724</v>
      </c>
      <c r="I133">
        <v>0.62341468237042441</v>
      </c>
      <c r="J133">
        <v>0.58649154736861464</v>
      </c>
      <c r="K133">
        <v>0.565174853885688</v>
      </c>
      <c r="L133">
        <v>0.55129622962514746</v>
      </c>
      <c r="M133">
        <v>0.53819146657810102</v>
      </c>
      <c r="N133">
        <v>0.53097134655759826</v>
      </c>
      <c r="P133">
        <v>0.62930882534131816</v>
      </c>
      <c r="Q133">
        <v>0.5935872715962387</v>
      </c>
      <c r="R133">
        <v>0.57301408089122641</v>
      </c>
      <c r="S133">
        <v>0.55963906247232331</v>
      </c>
      <c r="T133">
        <v>0.54688597101513836</v>
      </c>
      <c r="U133">
        <v>0.5399372046343357</v>
      </c>
      <c r="W133">
        <v>0.63505909239459213</v>
      </c>
      <c r="X133">
        <v>0.60048886562031378</v>
      </c>
      <c r="Y133">
        <v>0.58062555434513397</v>
      </c>
      <c r="Z133">
        <v>0.56773033387052052</v>
      </c>
      <c r="AA133">
        <v>0.55531435235427284</v>
      </c>
      <c r="AB133">
        <v>0.54862359853278619</v>
      </c>
      <c r="AD133" t="s">
        <v>1616</v>
      </c>
    </row>
    <row r="134" spans="2:31" x14ac:dyDescent="0.25">
      <c r="B134">
        <v>-9.2226283903484578</v>
      </c>
      <c r="C134">
        <v>-9.2608061135129986</v>
      </c>
      <c r="D134">
        <v>-9.2829019490912774</v>
      </c>
      <c r="E134">
        <v>-9.2973094897167883</v>
      </c>
      <c r="F134">
        <v>-9.3107813498887868</v>
      </c>
      <c r="G134">
        <v>-9.3182870456451816</v>
      </c>
      <c r="I134">
        <v>-9.2165853176295762</v>
      </c>
      <c r="J134">
        <v>-9.2535084526313849</v>
      </c>
      <c r="K134">
        <v>-9.2748251461143116</v>
      </c>
      <c r="L134">
        <v>-9.2887037703748518</v>
      </c>
      <c r="M134">
        <v>-9.3018085334218981</v>
      </c>
      <c r="N134">
        <v>-9.309028653442402</v>
      </c>
      <c r="P134">
        <v>-9.210691174658681</v>
      </c>
      <c r="Q134">
        <v>-9.2464127284037616</v>
      </c>
      <c r="R134">
        <v>-9.2669859191087731</v>
      </c>
      <c r="S134">
        <v>-9.2803609375276768</v>
      </c>
      <c r="T134">
        <v>-9.2931140289848617</v>
      </c>
      <c r="U134">
        <v>-9.3000627953656636</v>
      </c>
      <c r="W134">
        <v>-9.2049409076054065</v>
      </c>
      <c r="X134">
        <v>-9.2395111343796863</v>
      </c>
      <c r="Y134">
        <v>-9.2593744456548652</v>
      </c>
      <c r="Z134">
        <v>-9.2722696661294801</v>
      </c>
      <c r="AA134">
        <v>-9.2846856476457269</v>
      </c>
      <c r="AB134">
        <v>-9.2913764014672129</v>
      </c>
      <c r="AD134" t="s">
        <v>1617</v>
      </c>
    </row>
    <row r="135" spans="2:31" x14ac:dyDescent="0.25">
      <c r="B135">
        <v>1.8930894911755936E-29</v>
      </c>
      <c r="C135">
        <v>-3.6680706980886973E-29</v>
      </c>
      <c r="D135">
        <v>-7.7385468625404905E-31</v>
      </c>
      <c r="E135">
        <v>3.9631792507640051E-30</v>
      </c>
      <c r="F135">
        <v>0</v>
      </c>
      <c r="G135">
        <v>0</v>
      </c>
      <c r="I135">
        <v>-1.3466735353043374E-29</v>
      </c>
      <c r="J135">
        <v>-7.7507902733497677E-30</v>
      </c>
      <c r="K135">
        <v>-7.2808665546416078E-31</v>
      </c>
      <c r="L135">
        <v>1.6129325521673677E-29</v>
      </c>
      <c r="M135">
        <v>0</v>
      </c>
      <c r="N135">
        <v>0</v>
      </c>
      <c r="P135">
        <v>1.5026300054510866E-29</v>
      </c>
      <c r="Q135">
        <v>-1.4517587092629619E-29</v>
      </c>
      <c r="R135">
        <v>-1.9894549581144112E-30</v>
      </c>
      <c r="S135">
        <v>-2.4621277976180802E-30</v>
      </c>
      <c r="T135">
        <v>-6.3712548065007652E-30</v>
      </c>
      <c r="U135">
        <v>-6.0269829442035614E-30</v>
      </c>
      <c r="W135">
        <v>4.9310692698071155E-30</v>
      </c>
      <c r="X135">
        <v>2.4819223040501991E-30</v>
      </c>
      <c r="Y135">
        <v>9.7699541469190019E-31</v>
      </c>
      <c r="Z135">
        <v>-6.9284128881263775E-30</v>
      </c>
      <c r="AA135">
        <v>-6.7964597754309657E-30</v>
      </c>
      <c r="AB135">
        <v>-3.4296491310931749E-30</v>
      </c>
      <c r="AD135" t="s">
        <v>1618</v>
      </c>
    </row>
    <row r="136" spans="2:31" x14ac:dyDescent="0.25">
      <c r="B136">
        <v>0</v>
      </c>
      <c r="C136">
        <v>0</v>
      </c>
      <c r="D136">
        <v>0</v>
      </c>
      <c r="E136">
        <v>0</v>
      </c>
      <c r="F136">
        <v>0</v>
      </c>
      <c r="G136">
        <v>0</v>
      </c>
      <c r="I136">
        <v>0</v>
      </c>
      <c r="J136">
        <v>0</v>
      </c>
      <c r="K136">
        <v>0</v>
      </c>
      <c r="L136">
        <v>0</v>
      </c>
      <c r="M136">
        <v>0</v>
      </c>
      <c r="N136">
        <v>0</v>
      </c>
      <c r="P136">
        <v>0</v>
      </c>
      <c r="Q136">
        <v>0</v>
      </c>
      <c r="R136">
        <v>0</v>
      </c>
      <c r="S136">
        <v>0</v>
      </c>
      <c r="T136">
        <v>0</v>
      </c>
      <c r="U136">
        <v>0</v>
      </c>
      <c r="W136">
        <v>0</v>
      </c>
      <c r="X136">
        <v>0</v>
      </c>
      <c r="Y136">
        <v>0</v>
      </c>
      <c r="Z136">
        <v>0</v>
      </c>
      <c r="AA136">
        <v>0</v>
      </c>
      <c r="AB136">
        <v>0</v>
      </c>
      <c r="AD136" t="s">
        <v>1619</v>
      </c>
    </row>
    <row r="137" spans="2:31" x14ac:dyDescent="0.25">
      <c r="B137">
        <v>0</v>
      </c>
      <c r="C137">
        <v>0</v>
      </c>
      <c r="D137">
        <v>0</v>
      </c>
      <c r="E137">
        <v>0</v>
      </c>
      <c r="F137">
        <v>0</v>
      </c>
      <c r="G137">
        <v>0</v>
      </c>
      <c r="I137">
        <v>0</v>
      </c>
      <c r="J137">
        <v>0</v>
      </c>
      <c r="K137">
        <v>0</v>
      </c>
      <c r="L137">
        <v>0</v>
      </c>
      <c r="M137">
        <v>0</v>
      </c>
      <c r="N137">
        <v>0</v>
      </c>
      <c r="P137">
        <v>0</v>
      </c>
      <c r="Q137">
        <v>0</v>
      </c>
      <c r="R137">
        <v>0</v>
      </c>
      <c r="S137">
        <v>0</v>
      </c>
      <c r="T137">
        <v>0</v>
      </c>
      <c r="U137">
        <v>0</v>
      </c>
      <c r="W137">
        <v>0</v>
      </c>
      <c r="X137">
        <v>0</v>
      </c>
      <c r="Y137">
        <v>0</v>
      </c>
      <c r="Z137">
        <v>0</v>
      </c>
      <c r="AA137">
        <v>0</v>
      </c>
      <c r="AB137">
        <v>0</v>
      </c>
      <c r="AD137" t="s">
        <v>1620</v>
      </c>
    </row>
    <row r="138" spans="2:31" x14ac:dyDescent="0.25">
      <c r="B138">
        <v>0</v>
      </c>
      <c r="C138">
        <v>0</v>
      </c>
      <c r="D138">
        <v>0</v>
      </c>
      <c r="E138">
        <v>0</v>
      </c>
      <c r="F138">
        <v>0</v>
      </c>
      <c r="G138">
        <v>0</v>
      </c>
      <c r="I138">
        <v>0</v>
      </c>
      <c r="J138">
        <v>0</v>
      </c>
      <c r="K138">
        <v>0</v>
      </c>
      <c r="L138">
        <v>0</v>
      </c>
      <c r="M138">
        <v>0</v>
      </c>
      <c r="N138">
        <v>0</v>
      </c>
      <c r="P138">
        <v>0</v>
      </c>
      <c r="Q138">
        <v>0</v>
      </c>
      <c r="R138">
        <v>0</v>
      </c>
      <c r="S138">
        <v>0</v>
      </c>
      <c r="T138">
        <v>0</v>
      </c>
      <c r="U138">
        <v>0</v>
      </c>
      <c r="W138">
        <v>0</v>
      </c>
      <c r="X138">
        <v>0</v>
      </c>
      <c r="Y138">
        <v>0</v>
      </c>
      <c r="Z138">
        <v>0</v>
      </c>
      <c r="AA138">
        <v>0</v>
      </c>
      <c r="AB138">
        <v>0</v>
      </c>
      <c r="AD138" t="s">
        <v>1621</v>
      </c>
    </row>
    <row r="139" spans="2:31" x14ac:dyDescent="0.25">
      <c r="B139">
        <v>0</v>
      </c>
      <c r="C139">
        <v>0</v>
      </c>
      <c r="D139">
        <v>0</v>
      </c>
      <c r="E139">
        <v>0</v>
      </c>
      <c r="F139">
        <v>0</v>
      </c>
      <c r="G139">
        <v>0</v>
      </c>
      <c r="I139">
        <v>0</v>
      </c>
      <c r="J139">
        <v>0</v>
      </c>
      <c r="K139">
        <v>0</v>
      </c>
      <c r="L139">
        <v>0</v>
      </c>
      <c r="M139">
        <v>0</v>
      </c>
      <c r="N139">
        <v>0</v>
      </c>
      <c r="P139">
        <v>0</v>
      </c>
      <c r="Q139">
        <v>0</v>
      </c>
      <c r="R139">
        <v>0</v>
      </c>
      <c r="S139">
        <v>0</v>
      </c>
      <c r="T139">
        <v>0</v>
      </c>
      <c r="U139">
        <v>0</v>
      </c>
      <c r="W139">
        <v>0</v>
      </c>
      <c r="X139">
        <v>0</v>
      </c>
      <c r="Y139">
        <v>0</v>
      </c>
      <c r="Z139">
        <v>0</v>
      </c>
      <c r="AA139">
        <v>0</v>
      </c>
      <c r="AB139">
        <v>0</v>
      </c>
      <c r="AD139" t="s">
        <v>1622</v>
      </c>
    </row>
    <row r="140" spans="2:31" x14ac:dyDescent="0.25">
      <c r="B140">
        <v>0</v>
      </c>
      <c r="C140">
        <v>0</v>
      </c>
      <c r="D140">
        <v>0</v>
      </c>
      <c r="E140">
        <v>0</v>
      </c>
      <c r="F140">
        <v>0</v>
      </c>
      <c r="G140">
        <v>0</v>
      </c>
      <c r="I140">
        <v>0</v>
      </c>
      <c r="J140">
        <v>0</v>
      </c>
      <c r="K140">
        <v>0</v>
      </c>
      <c r="L140">
        <v>0</v>
      </c>
      <c r="M140">
        <v>0</v>
      </c>
      <c r="N140">
        <v>0</v>
      </c>
      <c r="P140">
        <v>0</v>
      </c>
      <c r="Q140">
        <v>0</v>
      </c>
      <c r="R140">
        <v>0</v>
      </c>
      <c r="S140">
        <v>0</v>
      </c>
      <c r="T140">
        <v>0</v>
      </c>
      <c r="U140">
        <v>0</v>
      </c>
      <c r="W140">
        <v>0</v>
      </c>
      <c r="X140">
        <v>0</v>
      </c>
      <c r="Y140">
        <v>0</v>
      </c>
      <c r="Z140">
        <v>0</v>
      </c>
      <c r="AA140">
        <v>0</v>
      </c>
      <c r="AB140">
        <v>0</v>
      </c>
      <c r="AD140" t="s">
        <v>1623</v>
      </c>
    </row>
    <row r="141" spans="2:31" x14ac:dyDescent="0.25">
      <c r="B141">
        <v>0</v>
      </c>
      <c r="C141">
        <v>0</v>
      </c>
      <c r="D141">
        <v>0</v>
      </c>
      <c r="E141">
        <v>0</v>
      </c>
      <c r="F141">
        <v>0</v>
      </c>
      <c r="G141">
        <v>0</v>
      </c>
      <c r="I141">
        <v>0</v>
      </c>
      <c r="J141">
        <v>0</v>
      </c>
      <c r="K141">
        <v>0</v>
      </c>
      <c r="L141">
        <v>0</v>
      </c>
      <c r="M141">
        <v>0</v>
      </c>
      <c r="N141">
        <v>0</v>
      </c>
      <c r="P141">
        <v>0</v>
      </c>
      <c r="Q141">
        <v>0</v>
      </c>
      <c r="R141">
        <v>0</v>
      </c>
      <c r="S141">
        <v>0</v>
      </c>
      <c r="T141">
        <v>0</v>
      </c>
      <c r="U141">
        <v>0</v>
      </c>
      <c r="W141">
        <v>0</v>
      </c>
      <c r="X141">
        <v>0</v>
      </c>
      <c r="Y141">
        <v>0</v>
      </c>
      <c r="Z141">
        <v>0</v>
      </c>
      <c r="AA141">
        <v>0</v>
      </c>
      <c r="AB141">
        <v>0</v>
      </c>
      <c r="AD141" t="s">
        <v>1624</v>
      </c>
    </row>
    <row r="142" spans="2:31" x14ac:dyDescent="0.25">
      <c r="B142">
        <v>0</v>
      </c>
      <c r="C142">
        <v>0</v>
      </c>
      <c r="D142">
        <v>0</v>
      </c>
      <c r="E142">
        <v>0</v>
      </c>
      <c r="F142">
        <v>0</v>
      </c>
      <c r="G142">
        <v>0</v>
      </c>
      <c r="I142">
        <v>0</v>
      </c>
      <c r="J142">
        <v>0</v>
      </c>
      <c r="K142">
        <v>0</v>
      </c>
      <c r="L142">
        <v>0</v>
      </c>
      <c r="M142">
        <v>0</v>
      </c>
      <c r="N142">
        <v>0</v>
      </c>
      <c r="P142">
        <v>0</v>
      </c>
      <c r="Q142">
        <v>0</v>
      </c>
      <c r="R142">
        <v>0</v>
      </c>
      <c r="S142">
        <v>0</v>
      </c>
      <c r="T142">
        <v>0</v>
      </c>
      <c r="U142">
        <v>0</v>
      </c>
      <c r="W142">
        <v>0</v>
      </c>
      <c r="X142">
        <v>0</v>
      </c>
      <c r="Y142">
        <v>0</v>
      </c>
      <c r="Z142">
        <v>0</v>
      </c>
      <c r="AA142">
        <v>0</v>
      </c>
      <c r="AB142">
        <v>0</v>
      </c>
      <c r="AD142" t="s">
        <v>1625</v>
      </c>
    </row>
    <row r="143" spans="2:31" x14ac:dyDescent="0.25">
      <c r="B143">
        <v>0</v>
      </c>
      <c r="C143">
        <v>0</v>
      </c>
      <c r="D143">
        <v>0</v>
      </c>
      <c r="E143">
        <v>0</v>
      </c>
      <c r="F143">
        <v>0</v>
      </c>
      <c r="G143">
        <v>0</v>
      </c>
      <c r="I143">
        <v>0</v>
      </c>
      <c r="J143">
        <v>0</v>
      </c>
      <c r="K143">
        <v>0</v>
      </c>
      <c r="L143">
        <v>0</v>
      </c>
      <c r="M143">
        <v>0</v>
      </c>
      <c r="N143">
        <v>0</v>
      </c>
      <c r="P143">
        <v>0</v>
      </c>
      <c r="Q143">
        <v>0</v>
      </c>
      <c r="R143">
        <v>0</v>
      </c>
      <c r="S143">
        <v>0</v>
      </c>
      <c r="T143">
        <v>0</v>
      </c>
      <c r="U143">
        <v>0</v>
      </c>
      <c r="W143">
        <v>0</v>
      </c>
      <c r="X143">
        <v>0</v>
      </c>
      <c r="Y143">
        <v>0</v>
      </c>
      <c r="Z143">
        <v>0</v>
      </c>
      <c r="AA143">
        <v>0</v>
      </c>
      <c r="AB143">
        <v>0</v>
      </c>
      <c r="AD143" t="s">
        <v>1626</v>
      </c>
    </row>
    <row r="144" spans="2:31" x14ac:dyDescent="0.25">
      <c r="B144">
        <v>1.8930894911755936E-29</v>
      </c>
      <c r="C144">
        <v>-3.6680706980886973E-29</v>
      </c>
      <c r="D144">
        <v>-7.7385468625404905E-31</v>
      </c>
      <c r="E144">
        <v>3.9631792507640051E-30</v>
      </c>
      <c r="F144">
        <v>0</v>
      </c>
      <c r="G144">
        <v>0</v>
      </c>
      <c r="I144">
        <v>-1.3466735353043374E-29</v>
      </c>
      <c r="J144">
        <v>-7.7507902733497677E-30</v>
      </c>
      <c r="K144">
        <v>-7.2808665546416078E-31</v>
      </c>
      <c r="L144">
        <v>1.6129325521673677E-29</v>
      </c>
      <c r="M144">
        <v>0</v>
      </c>
      <c r="N144">
        <v>0</v>
      </c>
      <c r="P144">
        <v>1.5026300054510866E-29</v>
      </c>
      <c r="Q144">
        <v>-1.4517587092629619E-29</v>
      </c>
      <c r="R144">
        <v>-1.9894549581144112E-30</v>
      </c>
      <c r="S144">
        <v>-2.4621277976180802E-30</v>
      </c>
      <c r="T144">
        <v>-6.3712548065007652E-30</v>
      </c>
      <c r="U144">
        <v>-6.0269829442035614E-30</v>
      </c>
      <c r="W144">
        <v>4.9310692698071155E-30</v>
      </c>
      <c r="X144">
        <v>2.4819223040501991E-30</v>
      </c>
      <c r="Y144">
        <v>9.7699541469190019E-31</v>
      </c>
      <c r="Z144">
        <v>-6.9284128881263775E-30</v>
      </c>
      <c r="AA144">
        <v>-6.7964597754309657E-30</v>
      </c>
      <c r="AB144">
        <v>-3.4296491310931749E-30</v>
      </c>
      <c r="AD144" t="s">
        <v>1627</v>
      </c>
    </row>
    <row r="145" spans="2:31" x14ac:dyDescent="0.25">
      <c r="B145">
        <v>-6.1900514946573388E-3</v>
      </c>
      <c r="C145">
        <v>-6.8076796641772771E-3</v>
      </c>
      <c r="D145">
        <v>-7.1651397050343313E-3</v>
      </c>
      <c r="E145">
        <v>-7.3982207325609438E-3</v>
      </c>
      <c r="F145">
        <v>0</v>
      </c>
      <c r="G145">
        <v>0</v>
      </c>
      <c r="I145">
        <v>-6.0922884110508838E-3</v>
      </c>
      <c r="J145">
        <v>-6.6896202159314466E-3</v>
      </c>
      <c r="K145">
        <v>-7.0344755211924435E-3</v>
      </c>
      <c r="L145">
        <v>-7.2589998926576903E-3</v>
      </c>
      <c r="M145">
        <v>0</v>
      </c>
      <c r="N145">
        <v>0</v>
      </c>
      <c r="P145">
        <v>-5.9969346698570377E-3</v>
      </c>
      <c r="Q145">
        <v>-6.5748276405010637E-3</v>
      </c>
      <c r="R145">
        <v>-6.9076547727414481E-3</v>
      </c>
      <c r="S145">
        <v>-7.1240319544754079E-3</v>
      </c>
      <c r="T145">
        <v>0</v>
      </c>
      <c r="U145">
        <v>0</v>
      </c>
      <c r="W145">
        <v>-5.90390851166898E-3</v>
      </c>
      <c r="X145">
        <v>-6.4631756473874881E-3</v>
      </c>
      <c r="Y145">
        <v>-6.7845185554132074E-3</v>
      </c>
      <c r="Z145">
        <v>-6.9931337046971387E-3</v>
      </c>
      <c r="AA145">
        <v>0</v>
      </c>
      <c r="AB145">
        <v>0</v>
      </c>
      <c r="AD145" t="s">
        <v>1628</v>
      </c>
    </row>
    <row r="146" spans="2:31" x14ac:dyDescent="0.25">
      <c r="B146">
        <f>B131*24.6/16</f>
        <v>0.59781433247711424</v>
      </c>
      <c r="C146">
        <f t="shared" ref="C146:G146" si="0">C131*24.6/16</f>
        <v>0.65746278163772387</v>
      </c>
      <c r="D146">
        <f t="shared" si="0"/>
        <v>0.69198506887501787</v>
      </c>
      <c r="E146">
        <f t="shared" si="0"/>
        <v>0.71449524976836998</v>
      </c>
      <c r="F146">
        <f t="shared" si="0"/>
        <v>0.72383356378964747</v>
      </c>
      <c r="G146">
        <f t="shared" si="0"/>
        <v>0.73537368641633283</v>
      </c>
      <c r="I146">
        <f>I131*24.6/16</f>
        <v>0.58837270301449329</v>
      </c>
      <c r="J146">
        <f t="shared" ref="J146:N146" si="1">J131*24.6/16</f>
        <v>0.64606099761272606</v>
      </c>
      <c r="K146">
        <f t="shared" si="1"/>
        <v>0.6793659619242074</v>
      </c>
      <c r="L146">
        <f t="shared" si="1"/>
        <v>0.70104976978399491</v>
      </c>
      <c r="M146">
        <f t="shared" si="1"/>
        <v>0.71003772051337466</v>
      </c>
      <c r="N146">
        <f t="shared" si="1"/>
        <v>0.72113876605535354</v>
      </c>
      <c r="P146">
        <f>P131*24.6/16</f>
        <v>0.57916375973022594</v>
      </c>
      <c r="Q146">
        <f t="shared" ref="Q146:U146" si="2">Q131*24.6/16</f>
        <v>0.63497471716522536</v>
      </c>
      <c r="R146">
        <f t="shared" si="2"/>
        <v>0.66711804102323979</v>
      </c>
      <c r="S146">
        <f t="shared" si="2"/>
        <v>0.68801502072901632</v>
      </c>
      <c r="T146">
        <f t="shared" si="2"/>
        <v>0.6966697862620872</v>
      </c>
      <c r="U146">
        <f t="shared" si="2"/>
        <v>0.70735362141092317</v>
      </c>
      <c r="W146">
        <f>W131*24.6/16</f>
        <v>0.57017960657607147</v>
      </c>
      <c r="X146">
        <f t="shared" ref="X146:AB146" si="3">X131*24.6/16</f>
        <v>0.62419174358406171</v>
      </c>
      <c r="Y146">
        <f t="shared" si="3"/>
        <v>0.65522595973290254</v>
      </c>
      <c r="Z146">
        <f t="shared" si="3"/>
        <v>0.67537330847813137</v>
      </c>
      <c r="AA146">
        <f t="shared" si="3"/>
        <v>0.68371102036550957</v>
      </c>
      <c r="AB146">
        <f t="shared" si="3"/>
        <v>0.69399815723741332</v>
      </c>
      <c r="AD146" t="s">
        <v>1629</v>
      </c>
    </row>
    <row r="151" spans="2:31" x14ac:dyDescent="0.25">
      <c r="AE151" s="60"/>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4247-3221-4088-BA24-6C2DF7CAC044}">
  <sheetPr codeName="Sheet1"/>
  <dimension ref="A1:AA151"/>
  <sheetViews>
    <sheetView workbookViewId="0">
      <selection activeCell="I119" sqref="I119"/>
    </sheetView>
  </sheetViews>
  <sheetFormatPr defaultRowHeight="15" x14ac:dyDescent="0.25"/>
  <sheetData>
    <row r="1" spans="1:24" x14ac:dyDescent="0.25">
      <c r="A1" t="s">
        <v>871</v>
      </c>
      <c r="B1">
        <v>0</v>
      </c>
      <c r="C1">
        <v>0</v>
      </c>
      <c r="D1">
        <v>0</v>
      </c>
      <c r="E1">
        <v>0</v>
      </c>
      <c r="F1">
        <v>0</v>
      </c>
      <c r="G1">
        <v>0</v>
      </c>
      <c r="H1" t="s">
        <v>870</v>
      </c>
      <c r="I1" s="30">
        <v>0.28383122727272725</v>
      </c>
      <c r="J1" s="30">
        <v>0.38756502272727289</v>
      </c>
      <c r="K1" s="30">
        <v>0.49129881818181814</v>
      </c>
      <c r="L1" s="30">
        <v>0.60607749999999982</v>
      </c>
      <c r="M1" s="30">
        <v>0.73803899999999967</v>
      </c>
      <c r="N1" s="30">
        <v>0.86104549999999991</v>
      </c>
      <c r="O1" t="s">
        <v>872</v>
      </c>
      <c r="P1">
        <v>0</v>
      </c>
      <c r="Q1">
        <v>0</v>
      </c>
      <c r="R1">
        <v>0</v>
      </c>
      <c r="S1">
        <v>0</v>
      </c>
      <c r="T1">
        <v>0</v>
      </c>
      <c r="U1">
        <v>0</v>
      </c>
      <c r="W1" t="s">
        <v>343</v>
      </c>
      <c r="X1" t="s">
        <v>987</v>
      </c>
    </row>
    <row r="2" spans="1:24" x14ac:dyDescent="0.25">
      <c r="B2" s="30">
        <v>0.34690483333333327</v>
      </c>
      <c r="C2" s="30">
        <v>0.47369058333333347</v>
      </c>
      <c r="D2" s="30">
        <v>0.60047633333333328</v>
      </c>
      <c r="E2" s="30">
        <v>0.7272620833333332</v>
      </c>
      <c r="F2" s="30">
        <v>0.86160983333333319</v>
      </c>
      <c r="G2" s="30">
        <v>0.98965591666666686</v>
      </c>
      <c r="I2">
        <v>0</v>
      </c>
      <c r="J2">
        <v>0</v>
      </c>
      <c r="K2">
        <v>0</v>
      </c>
      <c r="L2">
        <v>0</v>
      </c>
      <c r="M2">
        <v>0</v>
      </c>
      <c r="N2">
        <v>0</v>
      </c>
      <c r="P2">
        <v>0</v>
      </c>
      <c r="Q2">
        <v>0</v>
      </c>
      <c r="R2">
        <v>0</v>
      </c>
      <c r="S2">
        <v>0</v>
      </c>
      <c r="T2">
        <v>0</v>
      </c>
      <c r="U2">
        <v>0</v>
      </c>
      <c r="W2" t="s">
        <v>348</v>
      </c>
      <c r="X2" t="s">
        <v>992</v>
      </c>
    </row>
    <row r="3" spans="1:24" x14ac:dyDescent="0.25">
      <c r="B3">
        <v>0</v>
      </c>
      <c r="C3">
        <v>0</v>
      </c>
      <c r="D3">
        <v>0</v>
      </c>
      <c r="E3">
        <v>0</v>
      </c>
      <c r="F3">
        <v>0</v>
      </c>
      <c r="G3">
        <v>0</v>
      </c>
      <c r="I3">
        <v>0</v>
      </c>
      <c r="J3">
        <v>0</v>
      </c>
      <c r="K3">
        <v>0</v>
      </c>
      <c r="L3">
        <v>0</v>
      </c>
      <c r="M3">
        <v>0</v>
      </c>
      <c r="N3">
        <v>0</v>
      </c>
      <c r="P3" s="30">
        <v>0.260178625</v>
      </c>
      <c r="Q3" s="30">
        <v>0.35526793750000007</v>
      </c>
      <c r="R3" s="30">
        <v>0.45035724999999993</v>
      </c>
      <c r="S3" s="30">
        <v>0.54544656250000001</v>
      </c>
      <c r="T3" s="30">
        <v>0.64620737499999992</v>
      </c>
      <c r="U3" s="30">
        <v>0.74224193750000012</v>
      </c>
      <c r="W3" t="s">
        <v>353</v>
      </c>
      <c r="X3" t="s">
        <v>997</v>
      </c>
    </row>
    <row r="4" spans="1:24" x14ac:dyDescent="0.25">
      <c r="B4">
        <v>0.34690483333333327</v>
      </c>
      <c r="C4">
        <v>0.47369058333333347</v>
      </c>
      <c r="D4">
        <v>0.60047633333333328</v>
      </c>
      <c r="E4">
        <v>0.72726208333333309</v>
      </c>
      <c r="F4">
        <v>0.86160983333333319</v>
      </c>
      <c r="G4">
        <v>0.98965591666666675</v>
      </c>
      <c r="I4">
        <v>0.28383122727272725</v>
      </c>
      <c r="J4">
        <v>0.38756502272727283</v>
      </c>
      <c r="K4">
        <v>0.49129881818181814</v>
      </c>
      <c r="L4">
        <v>0.60607749999999982</v>
      </c>
      <c r="M4">
        <v>0.73803899999999967</v>
      </c>
      <c r="N4">
        <v>0.8610454999999998</v>
      </c>
      <c r="P4">
        <v>0</v>
      </c>
      <c r="Q4">
        <v>4.5994238183201482E-31</v>
      </c>
      <c r="R4">
        <v>0</v>
      </c>
      <c r="S4">
        <v>4.5994238183201482E-31</v>
      </c>
      <c r="T4">
        <v>0</v>
      </c>
      <c r="U4">
        <v>0</v>
      </c>
      <c r="W4" t="s">
        <v>357</v>
      </c>
      <c r="X4" t="s">
        <v>999</v>
      </c>
    </row>
    <row r="5" spans="1:24" x14ac:dyDescent="0.25">
      <c r="B5">
        <v>0</v>
      </c>
      <c r="C5">
        <v>0</v>
      </c>
      <c r="D5">
        <v>0</v>
      </c>
      <c r="E5">
        <v>0</v>
      </c>
      <c r="F5">
        <v>0</v>
      </c>
      <c r="G5">
        <v>0</v>
      </c>
      <c r="I5">
        <v>0</v>
      </c>
      <c r="J5">
        <v>0</v>
      </c>
      <c r="K5">
        <v>0</v>
      </c>
      <c r="L5">
        <v>0</v>
      </c>
      <c r="M5">
        <v>0</v>
      </c>
      <c r="N5">
        <v>0</v>
      </c>
      <c r="P5">
        <v>0</v>
      </c>
      <c r="Q5">
        <v>0</v>
      </c>
      <c r="R5">
        <v>0</v>
      </c>
      <c r="S5">
        <v>0</v>
      </c>
      <c r="T5">
        <v>0</v>
      </c>
      <c r="U5">
        <v>0</v>
      </c>
      <c r="W5" t="s">
        <v>361</v>
      </c>
      <c r="X5" t="s">
        <v>1005</v>
      </c>
    </row>
    <row r="6" spans="1:24" x14ac:dyDescent="0.25">
      <c r="B6">
        <v>0</v>
      </c>
      <c r="C6">
        <v>0</v>
      </c>
      <c r="D6">
        <v>0</v>
      </c>
      <c r="E6">
        <v>0</v>
      </c>
      <c r="F6">
        <v>0</v>
      </c>
      <c r="G6">
        <v>0</v>
      </c>
      <c r="I6">
        <v>0</v>
      </c>
      <c r="J6">
        <v>0</v>
      </c>
      <c r="K6">
        <v>0</v>
      </c>
      <c r="L6">
        <v>0</v>
      </c>
      <c r="M6">
        <v>0</v>
      </c>
      <c r="N6">
        <v>0</v>
      </c>
      <c r="P6">
        <v>0</v>
      </c>
      <c r="Q6">
        <v>0</v>
      </c>
      <c r="R6">
        <v>0</v>
      </c>
      <c r="S6">
        <v>0</v>
      </c>
      <c r="T6">
        <v>0</v>
      </c>
      <c r="U6">
        <v>0</v>
      </c>
      <c r="W6" t="s">
        <v>366</v>
      </c>
      <c r="X6" t="s">
        <v>1009</v>
      </c>
    </row>
    <row r="7" spans="1:24" x14ac:dyDescent="0.25">
      <c r="B7">
        <v>0</v>
      </c>
      <c r="C7">
        <v>0</v>
      </c>
      <c r="D7">
        <v>0</v>
      </c>
      <c r="E7">
        <v>0</v>
      </c>
      <c r="F7">
        <v>0</v>
      </c>
      <c r="G7">
        <v>0</v>
      </c>
      <c r="I7">
        <v>0</v>
      </c>
      <c r="J7">
        <v>0</v>
      </c>
      <c r="K7">
        <v>0</v>
      </c>
      <c r="L7">
        <v>0</v>
      </c>
      <c r="M7">
        <v>0</v>
      </c>
      <c r="N7">
        <v>0</v>
      </c>
      <c r="P7">
        <v>0</v>
      </c>
      <c r="Q7">
        <v>0</v>
      </c>
      <c r="R7">
        <v>0</v>
      </c>
      <c r="S7">
        <v>0</v>
      </c>
      <c r="T7">
        <v>0</v>
      </c>
      <c r="U7">
        <v>0</v>
      </c>
      <c r="W7" t="s">
        <v>371</v>
      </c>
      <c r="X7" t="s">
        <v>1027</v>
      </c>
    </row>
    <row r="8" spans="1:24" x14ac:dyDescent="0.25">
      <c r="B8">
        <v>0</v>
      </c>
      <c r="C8">
        <v>0</v>
      </c>
      <c r="D8">
        <v>0</v>
      </c>
      <c r="E8">
        <v>0</v>
      </c>
      <c r="F8">
        <v>0</v>
      </c>
      <c r="G8">
        <v>0</v>
      </c>
      <c r="I8">
        <v>0</v>
      </c>
      <c r="J8">
        <v>0</v>
      </c>
      <c r="K8">
        <v>0</v>
      </c>
      <c r="L8">
        <v>0</v>
      </c>
      <c r="M8">
        <v>0</v>
      </c>
      <c r="N8">
        <v>0</v>
      </c>
      <c r="P8">
        <v>0</v>
      </c>
      <c r="Q8">
        <v>0</v>
      </c>
      <c r="R8">
        <v>0</v>
      </c>
      <c r="S8">
        <v>0</v>
      </c>
      <c r="T8">
        <v>0</v>
      </c>
      <c r="U8">
        <v>0</v>
      </c>
      <c r="W8" t="s">
        <v>375</v>
      </c>
      <c r="X8" t="s">
        <v>1031</v>
      </c>
    </row>
    <row r="9" spans="1:24" x14ac:dyDescent="0.25">
      <c r="B9">
        <v>0</v>
      </c>
      <c r="C9">
        <v>0</v>
      </c>
      <c r="D9">
        <v>0</v>
      </c>
      <c r="E9">
        <v>0</v>
      </c>
      <c r="F9">
        <v>0</v>
      </c>
      <c r="G9">
        <v>0</v>
      </c>
      <c r="I9">
        <v>0</v>
      </c>
      <c r="J9">
        <v>0</v>
      </c>
      <c r="K9">
        <v>0</v>
      </c>
      <c r="L9">
        <v>0</v>
      </c>
      <c r="M9">
        <v>0</v>
      </c>
      <c r="N9">
        <v>0</v>
      </c>
      <c r="P9">
        <v>0</v>
      </c>
      <c r="Q9">
        <v>0</v>
      </c>
      <c r="R9">
        <v>0</v>
      </c>
      <c r="S9">
        <v>0</v>
      </c>
      <c r="T9">
        <v>0</v>
      </c>
      <c r="U9">
        <v>0</v>
      </c>
      <c r="W9" t="s">
        <v>380</v>
      </c>
      <c r="X9" t="s">
        <v>1035</v>
      </c>
    </row>
    <row r="10" spans="1:24" x14ac:dyDescent="0.25">
      <c r="B10">
        <v>0</v>
      </c>
      <c r="C10">
        <v>0</v>
      </c>
      <c r="D10">
        <v>0</v>
      </c>
      <c r="E10">
        <v>0</v>
      </c>
      <c r="F10">
        <v>0</v>
      </c>
      <c r="G10">
        <v>0</v>
      </c>
      <c r="I10">
        <v>0</v>
      </c>
      <c r="J10">
        <v>0</v>
      </c>
      <c r="K10">
        <v>0</v>
      </c>
      <c r="L10">
        <v>0</v>
      </c>
      <c r="M10">
        <v>0</v>
      </c>
      <c r="N10">
        <v>0</v>
      </c>
      <c r="P10">
        <v>0</v>
      </c>
      <c r="Q10">
        <v>0</v>
      </c>
      <c r="R10">
        <v>0</v>
      </c>
      <c r="S10">
        <v>0</v>
      </c>
      <c r="T10">
        <v>0</v>
      </c>
      <c r="U10">
        <v>0</v>
      </c>
      <c r="W10" t="s">
        <v>385</v>
      </c>
      <c r="X10" t="s">
        <v>1036</v>
      </c>
    </row>
    <row r="11" spans="1:24" x14ac:dyDescent="0.25">
      <c r="B11">
        <v>0</v>
      </c>
      <c r="C11">
        <v>0</v>
      </c>
      <c r="D11">
        <v>0</v>
      </c>
      <c r="E11">
        <v>0</v>
      </c>
      <c r="F11">
        <v>0</v>
      </c>
      <c r="G11">
        <v>0</v>
      </c>
      <c r="I11">
        <v>0</v>
      </c>
      <c r="J11">
        <v>0</v>
      </c>
      <c r="K11">
        <v>0</v>
      </c>
      <c r="L11">
        <v>0</v>
      </c>
      <c r="M11">
        <v>0</v>
      </c>
      <c r="N11">
        <v>0</v>
      </c>
      <c r="P11">
        <v>0</v>
      </c>
      <c r="Q11">
        <v>0</v>
      </c>
      <c r="R11">
        <v>0</v>
      </c>
      <c r="S11">
        <v>0</v>
      </c>
      <c r="T11">
        <v>0</v>
      </c>
      <c r="U11">
        <v>0</v>
      </c>
      <c r="W11" t="s">
        <v>390</v>
      </c>
      <c r="X11" t="s">
        <v>1040</v>
      </c>
    </row>
    <row r="12" spans="1:24" x14ac:dyDescent="0.25">
      <c r="B12">
        <v>0.34690483333333327</v>
      </c>
      <c r="C12">
        <v>0.47369058333333341</v>
      </c>
      <c r="D12">
        <v>0.60047633333333328</v>
      </c>
      <c r="E12">
        <v>0.7272620833333332</v>
      </c>
      <c r="F12">
        <v>0.86160983333333319</v>
      </c>
      <c r="G12">
        <v>0.98965591666666664</v>
      </c>
      <c r="I12">
        <v>0.28383122727272725</v>
      </c>
      <c r="J12">
        <v>0.38756502272727289</v>
      </c>
      <c r="K12">
        <v>0.4912988181818182</v>
      </c>
      <c r="L12">
        <v>0.60607749999999982</v>
      </c>
      <c r="M12">
        <v>0.73803899999999978</v>
      </c>
      <c r="N12">
        <v>0.86104549999999991</v>
      </c>
      <c r="P12">
        <v>0.260178625</v>
      </c>
      <c r="Q12">
        <v>0.35526793750000007</v>
      </c>
      <c r="R12">
        <v>0.45035724999999993</v>
      </c>
      <c r="S12">
        <v>0.54544656250000001</v>
      </c>
      <c r="T12">
        <v>0.64620737500000003</v>
      </c>
      <c r="U12">
        <v>0.74224193750000023</v>
      </c>
      <c r="W12" t="s">
        <v>394</v>
      </c>
      <c r="X12" t="s">
        <v>1044</v>
      </c>
    </row>
    <row r="13" spans="1:24" x14ac:dyDescent="0.25">
      <c r="B13">
        <v>0.29940383333333331</v>
      </c>
      <c r="C13">
        <v>0.4024390833333335</v>
      </c>
      <c r="D13">
        <v>0.50547433333333336</v>
      </c>
      <c r="E13">
        <v>0.60850958333333327</v>
      </c>
      <c r="F13">
        <v>0.71671883333333331</v>
      </c>
      <c r="G13">
        <v>0.82061641666666685</v>
      </c>
      <c r="I13">
        <v>0.23633022727272729</v>
      </c>
      <c r="J13">
        <v>0.31631352272727287</v>
      </c>
      <c r="K13">
        <v>0.39629681818181817</v>
      </c>
      <c r="L13">
        <v>0.4721382812499999</v>
      </c>
      <c r="M13">
        <v>0.5476554374999999</v>
      </c>
      <c r="N13">
        <v>0.62143134374999986</v>
      </c>
      <c r="P13">
        <v>0.21267762499999998</v>
      </c>
      <c r="Q13">
        <v>0.28401643750000005</v>
      </c>
      <c r="R13">
        <v>0.35535525000000001</v>
      </c>
      <c r="S13">
        <v>0.42669406250000003</v>
      </c>
      <c r="T13">
        <v>0.50131637500000004</v>
      </c>
      <c r="U13">
        <v>0.57320243750000022</v>
      </c>
      <c r="W13" t="s">
        <v>399</v>
      </c>
      <c r="X13" t="s">
        <v>1046</v>
      </c>
    </row>
    <row r="14" spans="1:24" x14ac:dyDescent="0.25">
      <c r="B14">
        <v>0.29940383333333331</v>
      </c>
      <c r="C14">
        <v>0.40243908333333345</v>
      </c>
      <c r="D14">
        <v>0.50547433333333336</v>
      </c>
      <c r="E14">
        <v>0.60850958333333327</v>
      </c>
      <c r="F14">
        <v>0.71671883333333331</v>
      </c>
      <c r="G14">
        <v>0.82061641666666674</v>
      </c>
      <c r="I14">
        <v>0.23633022727272729</v>
      </c>
      <c r="J14">
        <v>0.31631352272727281</v>
      </c>
      <c r="K14">
        <v>0.39629681818181817</v>
      </c>
      <c r="L14">
        <v>0.47213828124999996</v>
      </c>
      <c r="M14">
        <v>0.5476554374999999</v>
      </c>
      <c r="N14">
        <v>0.62143134374999986</v>
      </c>
      <c r="P14">
        <v>0.21267762499999998</v>
      </c>
      <c r="Q14">
        <v>0.28401643750000005</v>
      </c>
      <c r="R14">
        <v>0.35535524999999996</v>
      </c>
      <c r="S14">
        <v>0.42669406250000008</v>
      </c>
      <c r="T14">
        <v>0.50131637499999993</v>
      </c>
      <c r="U14">
        <v>0.57320243750000011</v>
      </c>
      <c r="W14" t="s">
        <v>404</v>
      </c>
      <c r="X14" t="s">
        <v>1051</v>
      </c>
    </row>
    <row r="15" spans="1:24" x14ac:dyDescent="0.25">
      <c r="B15">
        <v>-0.29940383333333331</v>
      </c>
      <c r="C15">
        <v>-0.40243908333333345</v>
      </c>
      <c r="D15">
        <v>-0.50547433333333336</v>
      </c>
      <c r="E15">
        <v>-0.60850958333333327</v>
      </c>
      <c r="F15">
        <v>-0.71671883333333319</v>
      </c>
      <c r="G15">
        <v>-0.82061641666666685</v>
      </c>
      <c r="I15">
        <v>-0.23633022727272726</v>
      </c>
      <c r="J15">
        <v>-0.31631352272727281</v>
      </c>
      <c r="K15">
        <v>-0.39629681818181817</v>
      </c>
      <c r="L15">
        <v>-0.4721382812499999</v>
      </c>
      <c r="M15">
        <v>-0.5476554374999999</v>
      </c>
      <c r="N15">
        <v>-0.62143134374999986</v>
      </c>
      <c r="P15">
        <v>-0.21267762499999998</v>
      </c>
      <c r="Q15">
        <v>-0.28401643750000005</v>
      </c>
      <c r="R15">
        <v>-0.35535525000000001</v>
      </c>
      <c r="S15">
        <v>-0.42669406250000003</v>
      </c>
      <c r="T15">
        <v>-0.50131637499999993</v>
      </c>
      <c r="U15">
        <v>-0.57320243750000022</v>
      </c>
      <c r="W15" t="s">
        <v>409</v>
      </c>
      <c r="X15" t="s">
        <v>1055</v>
      </c>
    </row>
    <row r="16" spans="1:24" x14ac:dyDescent="0.25">
      <c r="B16">
        <v>0.29940383333333326</v>
      </c>
      <c r="C16">
        <v>0.4024390833333335</v>
      </c>
      <c r="D16">
        <v>0.50547433333333336</v>
      </c>
      <c r="E16">
        <v>0.60850958333333316</v>
      </c>
      <c r="F16">
        <v>0.71671883333333331</v>
      </c>
      <c r="G16">
        <v>0.82061641666666663</v>
      </c>
      <c r="I16">
        <v>0.23633022727272723</v>
      </c>
      <c r="J16">
        <v>0.31631352272727276</v>
      </c>
      <c r="K16">
        <v>0.39629681818181817</v>
      </c>
      <c r="L16">
        <v>0.47213828124999985</v>
      </c>
      <c r="M16">
        <v>0.54765543749999979</v>
      </c>
      <c r="N16">
        <v>0.62143134374999986</v>
      </c>
      <c r="P16">
        <v>0.21267762499999998</v>
      </c>
      <c r="Q16">
        <v>0.2840164375</v>
      </c>
      <c r="R16">
        <v>0.35535524999999996</v>
      </c>
      <c r="S16">
        <v>0.42669406250000003</v>
      </c>
      <c r="T16">
        <v>0.50131637499999993</v>
      </c>
      <c r="U16">
        <v>0.57320243750000022</v>
      </c>
      <c r="W16" t="s">
        <v>413</v>
      </c>
      <c r="X16" t="s">
        <v>1060</v>
      </c>
    </row>
    <row r="17" spans="2:24" x14ac:dyDescent="0.25">
      <c r="B17">
        <v>4.7501000000000002E-2</v>
      </c>
      <c r="C17">
        <v>7.1251500000000037E-2</v>
      </c>
      <c r="D17">
        <v>9.5002000000000003E-2</v>
      </c>
      <c r="E17">
        <v>0.11875249999999997</v>
      </c>
      <c r="F17">
        <v>0.14489099999999999</v>
      </c>
      <c r="G17">
        <v>0.16903950000000001</v>
      </c>
      <c r="I17">
        <v>4.7500999999999995E-2</v>
      </c>
      <c r="J17">
        <v>7.1251500000000023E-2</v>
      </c>
      <c r="K17">
        <v>9.5002000000000003E-2</v>
      </c>
      <c r="L17">
        <v>0.13393921874999995</v>
      </c>
      <c r="M17">
        <v>0.1903835624999998</v>
      </c>
      <c r="N17">
        <v>0.23961415624999999</v>
      </c>
      <c r="P17">
        <v>4.7501000000000002E-2</v>
      </c>
      <c r="Q17">
        <v>7.1251500000000009E-2</v>
      </c>
      <c r="R17">
        <v>9.5001999999999989E-2</v>
      </c>
      <c r="S17">
        <v>0.11875250000000001</v>
      </c>
      <c r="T17">
        <v>0.14489099999999999</v>
      </c>
      <c r="U17">
        <v>0.16903950000000004</v>
      </c>
      <c r="W17" t="s">
        <v>418</v>
      </c>
      <c r="X17" t="s">
        <v>1065</v>
      </c>
    </row>
    <row r="18" spans="2:24" x14ac:dyDescent="0.25">
      <c r="B18">
        <v>4.7500999999999995E-2</v>
      </c>
      <c r="C18">
        <v>7.1251500000000023E-2</v>
      </c>
      <c r="D18">
        <v>9.5002000000000003E-2</v>
      </c>
      <c r="E18">
        <v>0.11875249999999996</v>
      </c>
      <c r="F18">
        <v>0.14489099999999996</v>
      </c>
      <c r="G18">
        <v>0.16903949999999998</v>
      </c>
      <c r="I18">
        <v>4.7500999999999995E-2</v>
      </c>
      <c r="J18">
        <v>7.1251500000000023E-2</v>
      </c>
      <c r="K18">
        <v>9.5001999999999989E-2</v>
      </c>
      <c r="L18">
        <v>0.13393921874999995</v>
      </c>
      <c r="M18">
        <v>0.1903835624999998</v>
      </c>
      <c r="N18">
        <v>0.23961415624999999</v>
      </c>
      <c r="P18">
        <v>4.7500999999999995E-2</v>
      </c>
      <c r="Q18">
        <v>7.1251499999999995E-2</v>
      </c>
      <c r="R18">
        <v>9.5001999999999975E-2</v>
      </c>
      <c r="S18">
        <v>0.1187525</v>
      </c>
      <c r="T18">
        <v>0.14489099999999999</v>
      </c>
      <c r="U18">
        <v>0.16903950000000004</v>
      </c>
      <c r="W18" t="s">
        <v>423</v>
      </c>
      <c r="X18" t="s">
        <v>1070</v>
      </c>
    </row>
    <row r="19" spans="2:24" x14ac:dyDescent="0.25">
      <c r="B19">
        <v>4.7501000000000002E-2</v>
      </c>
      <c r="C19">
        <v>7.1251500000000023E-2</v>
      </c>
      <c r="D19">
        <v>9.5001999999999989E-2</v>
      </c>
      <c r="E19">
        <v>0.11875249999999996</v>
      </c>
      <c r="F19">
        <v>0.14489099999999996</v>
      </c>
      <c r="G19">
        <v>0.16903949999999998</v>
      </c>
      <c r="I19">
        <v>0</v>
      </c>
      <c r="J19">
        <v>0</v>
      </c>
      <c r="K19">
        <v>0</v>
      </c>
      <c r="L19">
        <v>0</v>
      </c>
      <c r="M19">
        <v>0</v>
      </c>
      <c r="N19">
        <v>0</v>
      </c>
      <c r="P19">
        <v>0</v>
      </c>
      <c r="Q19">
        <v>0</v>
      </c>
      <c r="R19">
        <v>0</v>
      </c>
      <c r="S19">
        <v>0</v>
      </c>
      <c r="T19">
        <v>0</v>
      </c>
      <c r="U19">
        <v>0</v>
      </c>
      <c r="W19" t="s">
        <v>427</v>
      </c>
      <c r="X19" t="s">
        <v>1075</v>
      </c>
    </row>
    <row r="20" spans="2:24" x14ac:dyDescent="0.25">
      <c r="B20">
        <v>0</v>
      </c>
      <c r="C20">
        <v>0</v>
      </c>
      <c r="D20">
        <v>0</v>
      </c>
      <c r="E20">
        <v>0</v>
      </c>
      <c r="F20">
        <v>0</v>
      </c>
      <c r="G20">
        <v>0</v>
      </c>
      <c r="I20">
        <v>4.7500999999999988E-2</v>
      </c>
      <c r="J20">
        <v>7.1251500000000023E-2</v>
      </c>
      <c r="K20">
        <v>9.5001999999999989E-2</v>
      </c>
      <c r="L20">
        <v>0.13393921874999992</v>
      </c>
      <c r="M20">
        <v>0.19038356249999977</v>
      </c>
      <c r="N20">
        <v>0.23961415624999996</v>
      </c>
      <c r="P20">
        <v>4.7500999999999995E-2</v>
      </c>
      <c r="Q20">
        <v>7.1251499999999995E-2</v>
      </c>
      <c r="R20">
        <v>9.5001999999999989E-2</v>
      </c>
      <c r="S20">
        <v>0.11875249999999998</v>
      </c>
      <c r="T20">
        <v>0.14489099999999999</v>
      </c>
      <c r="U20">
        <v>0.16903950000000004</v>
      </c>
      <c r="W20" t="s">
        <v>432</v>
      </c>
      <c r="X20" t="s">
        <v>1080</v>
      </c>
    </row>
    <row r="21" spans="2:24" x14ac:dyDescent="0.25">
      <c r="B21">
        <v>4.7501000000000002E-2</v>
      </c>
      <c r="C21">
        <v>7.1251500000000037E-2</v>
      </c>
      <c r="D21">
        <v>9.5002000000000003E-2</v>
      </c>
      <c r="E21">
        <v>0.11875249999999997</v>
      </c>
      <c r="F21">
        <v>0.14489099999999999</v>
      </c>
      <c r="G21">
        <v>0.16903950000000001</v>
      </c>
      <c r="I21">
        <v>4.7500999999999995E-2</v>
      </c>
      <c r="J21">
        <v>7.1251500000000037E-2</v>
      </c>
      <c r="K21">
        <v>9.5002000000000003E-2</v>
      </c>
      <c r="L21">
        <v>0.13393921874999992</v>
      </c>
      <c r="M21">
        <v>0.19038356249999983</v>
      </c>
      <c r="N21">
        <v>0.23961415625000002</v>
      </c>
      <c r="P21">
        <v>4.7501000000000002E-2</v>
      </c>
      <c r="Q21">
        <v>7.1251500000000009E-2</v>
      </c>
      <c r="R21">
        <v>9.5001999999999989E-2</v>
      </c>
      <c r="S21">
        <v>0.11875250000000001</v>
      </c>
      <c r="T21">
        <v>0.14489100000000002</v>
      </c>
      <c r="U21">
        <v>0.16903950000000006</v>
      </c>
      <c r="W21" t="s">
        <v>437</v>
      </c>
      <c r="X21" t="s">
        <v>1081</v>
      </c>
    </row>
    <row r="22" spans="2:24" x14ac:dyDescent="0.25">
      <c r="B22">
        <v>4.9789999999999999E-3</v>
      </c>
      <c r="C22">
        <v>7.4685000000000012E-3</v>
      </c>
      <c r="D22">
        <v>9.9579999999999998E-3</v>
      </c>
      <c r="E22">
        <v>1.2447500000000004E-2</v>
      </c>
      <c r="F22">
        <v>1.4937000000000002E-2</v>
      </c>
      <c r="G22">
        <v>1.7426500000000001E-2</v>
      </c>
      <c r="I22">
        <v>4.9789999999999999E-3</v>
      </c>
      <c r="J22">
        <v>7.4685000000000003E-3</v>
      </c>
      <c r="K22">
        <v>9.9579999999999998E-3</v>
      </c>
      <c r="L22">
        <v>1.24475E-2</v>
      </c>
      <c r="M22">
        <v>1.4937000000000001E-2</v>
      </c>
      <c r="N22">
        <v>1.7426500000000004E-2</v>
      </c>
      <c r="P22">
        <v>4.9790000000000008E-3</v>
      </c>
      <c r="Q22">
        <v>7.4685000000000012E-3</v>
      </c>
      <c r="R22">
        <v>9.9580000000000033E-3</v>
      </c>
      <c r="S22">
        <v>1.2447500000000004E-2</v>
      </c>
      <c r="T22">
        <v>1.4937000000000001E-2</v>
      </c>
      <c r="U22">
        <v>1.7426500000000001E-2</v>
      </c>
      <c r="W22" t="s">
        <v>442</v>
      </c>
      <c r="X22" t="s">
        <v>1086</v>
      </c>
    </row>
    <row r="23" spans="2:24" x14ac:dyDescent="0.25">
      <c r="B23">
        <v>4.2521999999999997E-2</v>
      </c>
      <c r="C23">
        <v>6.3783000000000034E-2</v>
      </c>
      <c r="D23">
        <v>8.5043999999999995E-2</v>
      </c>
      <c r="E23">
        <v>0.10630499999999997</v>
      </c>
      <c r="F23">
        <v>0.12995399999999999</v>
      </c>
      <c r="G23">
        <v>0.15161300000000003</v>
      </c>
      <c r="I23">
        <v>4.2521999999999997E-2</v>
      </c>
      <c r="J23">
        <v>6.3783000000000034E-2</v>
      </c>
      <c r="K23">
        <v>8.5043999999999995E-2</v>
      </c>
      <c r="L23">
        <v>0.12149171874999995</v>
      </c>
      <c r="M23">
        <v>0.17544656249999985</v>
      </c>
      <c r="N23">
        <v>0.22218765625</v>
      </c>
      <c r="P23">
        <v>4.2521999999999997E-2</v>
      </c>
      <c r="Q23">
        <v>6.3783000000000006E-2</v>
      </c>
      <c r="R23">
        <v>8.5043999999999981E-2</v>
      </c>
      <c r="S23">
        <v>0.10630499999999998</v>
      </c>
      <c r="T23">
        <v>0.12995400000000001</v>
      </c>
      <c r="U23">
        <v>0.15161300000000005</v>
      </c>
      <c r="W23" t="s">
        <v>447</v>
      </c>
      <c r="X23" t="s">
        <v>1090</v>
      </c>
    </row>
    <row r="24" spans="2:24" x14ac:dyDescent="0.25">
      <c r="B24">
        <v>3.6927000000000001E-2</v>
      </c>
      <c r="C24">
        <v>5.5390500000000037E-2</v>
      </c>
      <c r="D24">
        <v>7.3854000000000003E-2</v>
      </c>
      <c r="E24">
        <v>9.2317499999999983E-2</v>
      </c>
      <c r="F24">
        <v>0.11316899999999998</v>
      </c>
      <c r="G24">
        <v>0.13203050000000002</v>
      </c>
      <c r="I24">
        <v>3.6927000000000001E-2</v>
      </c>
      <c r="J24">
        <v>5.5390500000000037E-2</v>
      </c>
      <c r="K24">
        <v>7.3854000000000003E-2</v>
      </c>
      <c r="L24">
        <v>0.10750421874999996</v>
      </c>
      <c r="M24">
        <v>0.15866156249999985</v>
      </c>
      <c r="N24">
        <v>0.20260515625</v>
      </c>
      <c r="P24">
        <v>3.6927000000000001E-2</v>
      </c>
      <c r="Q24">
        <v>5.5390500000000002E-2</v>
      </c>
      <c r="R24">
        <v>7.3853999999999989E-2</v>
      </c>
      <c r="S24">
        <v>9.2317500000000011E-2</v>
      </c>
      <c r="T24">
        <v>0.11316900000000002</v>
      </c>
      <c r="U24">
        <v>0.13203050000000005</v>
      </c>
      <c r="W24" t="s">
        <v>452</v>
      </c>
      <c r="X24" t="s">
        <v>1096</v>
      </c>
    </row>
    <row r="25" spans="2:24" x14ac:dyDescent="0.25">
      <c r="B25">
        <v>3.0084E-2</v>
      </c>
      <c r="C25">
        <v>4.5126000000000027E-2</v>
      </c>
      <c r="D25">
        <v>6.0168000000000006E-2</v>
      </c>
      <c r="E25">
        <v>7.5209999999999985E-2</v>
      </c>
      <c r="F25">
        <v>9.2639999999999986E-2</v>
      </c>
      <c r="G25">
        <v>0.10808</v>
      </c>
      <c r="I25">
        <v>3.0083999999999993E-2</v>
      </c>
      <c r="J25">
        <v>4.5126000000000027E-2</v>
      </c>
      <c r="K25">
        <v>6.0168000000000006E-2</v>
      </c>
      <c r="L25">
        <v>9.0396718749999966E-2</v>
      </c>
      <c r="M25">
        <v>0.13813256249999986</v>
      </c>
      <c r="N25">
        <v>0.17865465624999999</v>
      </c>
      <c r="P25">
        <v>3.0084000000000003E-2</v>
      </c>
      <c r="Q25">
        <v>4.5126000000000006E-2</v>
      </c>
      <c r="R25">
        <v>6.0167999999999985E-2</v>
      </c>
      <c r="S25">
        <v>7.5210000000000013E-2</v>
      </c>
      <c r="T25">
        <v>9.2640000000000028E-2</v>
      </c>
      <c r="U25">
        <v>0.10808000000000004</v>
      </c>
      <c r="W25" t="s">
        <v>457</v>
      </c>
      <c r="X25" t="s">
        <v>1101</v>
      </c>
    </row>
    <row r="26" spans="2:24" x14ac:dyDescent="0.25">
      <c r="B26">
        <v>3.5109999999999995E-2</v>
      </c>
      <c r="C26">
        <v>5.2665000000000017E-2</v>
      </c>
      <c r="D26">
        <v>7.0220000000000005E-2</v>
      </c>
      <c r="E26">
        <v>8.7774999999999978E-2</v>
      </c>
      <c r="F26">
        <v>0.10771799999999998</v>
      </c>
      <c r="G26">
        <v>0.125671</v>
      </c>
      <c r="I26">
        <v>3.5109999999999995E-2</v>
      </c>
      <c r="J26">
        <v>5.2665000000000017E-2</v>
      </c>
      <c r="K26">
        <v>7.0220000000000005E-2</v>
      </c>
      <c r="L26">
        <v>8.7774999999999964E-2</v>
      </c>
      <c r="M26">
        <v>0.10771799999999994</v>
      </c>
      <c r="N26">
        <v>0.12567099999999998</v>
      </c>
      <c r="P26">
        <v>3.5109999999999995E-2</v>
      </c>
      <c r="Q26">
        <v>5.2664999999999997E-2</v>
      </c>
      <c r="R26">
        <v>7.0219999999999977E-2</v>
      </c>
      <c r="S26">
        <v>8.7774999999999992E-2</v>
      </c>
      <c r="T26">
        <v>0.10771799999999999</v>
      </c>
      <c r="U26">
        <v>0.12567100000000003</v>
      </c>
      <c r="W26" t="s">
        <v>462</v>
      </c>
      <c r="X26" t="s">
        <v>1105</v>
      </c>
    </row>
    <row r="27" spans="2:24" x14ac:dyDescent="0.25">
      <c r="B27">
        <v>3.5109999999999995E-2</v>
      </c>
      <c r="C27">
        <v>5.2665000000000017E-2</v>
      </c>
      <c r="D27">
        <v>7.0220000000000005E-2</v>
      </c>
      <c r="E27">
        <v>8.7774999999999964E-2</v>
      </c>
      <c r="F27">
        <v>0.10771799999999999</v>
      </c>
      <c r="G27">
        <v>0.125671</v>
      </c>
      <c r="I27">
        <v>3.5109999999999995E-2</v>
      </c>
      <c r="J27">
        <v>5.2665000000000017E-2</v>
      </c>
      <c r="K27">
        <v>7.0219999999999991E-2</v>
      </c>
      <c r="L27">
        <v>8.777499999999995E-2</v>
      </c>
      <c r="M27">
        <v>0.10771799999999992</v>
      </c>
      <c r="N27">
        <v>0.125671</v>
      </c>
      <c r="P27">
        <v>3.5109999999999995E-2</v>
      </c>
      <c r="Q27">
        <v>5.266500000000001E-2</v>
      </c>
      <c r="R27">
        <v>7.0219999999999977E-2</v>
      </c>
      <c r="S27">
        <v>8.7774999999999978E-2</v>
      </c>
      <c r="T27">
        <v>0.10771799999999999</v>
      </c>
      <c r="U27">
        <v>0.12567100000000003</v>
      </c>
      <c r="W27" t="s">
        <v>466</v>
      </c>
      <c r="X27" t="s">
        <v>1111</v>
      </c>
    </row>
    <row r="28" spans="2:24" x14ac:dyDescent="0.25">
      <c r="B28">
        <v>1.2390999999999998E-2</v>
      </c>
      <c r="C28">
        <v>1.8586500000000006E-2</v>
      </c>
      <c r="D28">
        <v>2.4781999999999998E-2</v>
      </c>
      <c r="E28">
        <v>3.0977499999999984E-2</v>
      </c>
      <c r="F28">
        <v>3.8366999999999998E-2</v>
      </c>
      <c r="G28">
        <v>4.4761499999999989E-2</v>
      </c>
      <c r="I28">
        <v>1.2390999999999998E-2</v>
      </c>
      <c r="J28">
        <v>1.8586500000000006E-2</v>
      </c>
      <c r="K28">
        <v>2.4781999999999998E-2</v>
      </c>
      <c r="L28">
        <v>4.6164218749999979E-2</v>
      </c>
      <c r="M28">
        <v>8.3859562499999846E-2</v>
      </c>
      <c r="N28">
        <v>0.11533615624999995</v>
      </c>
      <c r="P28">
        <v>1.2390999999999998E-2</v>
      </c>
      <c r="Q28">
        <v>1.8586499999999999E-2</v>
      </c>
      <c r="R28">
        <v>2.4781999999999992E-2</v>
      </c>
      <c r="S28">
        <v>3.0977499999999995E-2</v>
      </c>
      <c r="T28">
        <v>3.8367000000000005E-2</v>
      </c>
      <c r="U28">
        <v>4.476150000000001E-2</v>
      </c>
      <c r="W28" t="s">
        <v>470</v>
      </c>
      <c r="X28" t="s">
        <v>1116</v>
      </c>
    </row>
    <row r="29" spans="2:24" x14ac:dyDescent="0.25">
      <c r="B29">
        <v>1.2391000000000001E-2</v>
      </c>
      <c r="C29">
        <v>1.8586500000000009E-2</v>
      </c>
      <c r="D29">
        <v>2.4782000000000005E-2</v>
      </c>
      <c r="E29">
        <v>3.0977499999999991E-2</v>
      </c>
      <c r="F29">
        <v>3.8367000000000012E-2</v>
      </c>
      <c r="G29">
        <v>4.4761500000000003E-2</v>
      </c>
      <c r="I29">
        <v>1.2390999999999999E-2</v>
      </c>
      <c r="J29">
        <v>1.8586500000000009E-2</v>
      </c>
      <c r="K29">
        <v>2.4782000000000002E-2</v>
      </c>
      <c r="L29">
        <v>4.6164218749999986E-2</v>
      </c>
      <c r="M29">
        <v>8.385956249999986E-2</v>
      </c>
      <c r="N29">
        <v>0.11533615624999997</v>
      </c>
      <c r="P29">
        <v>1.2391000000000001E-2</v>
      </c>
      <c r="Q29">
        <v>1.8586500000000002E-2</v>
      </c>
      <c r="R29">
        <v>2.4781999999999998E-2</v>
      </c>
      <c r="S29">
        <v>3.0977499999999998E-2</v>
      </c>
      <c r="T29">
        <v>3.8367000000000019E-2</v>
      </c>
      <c r="U29">
        <v>4.4761500000000017E-2</v>
      </c>
      <c r="W29" t="s">
        <v>473</v>
      </c>
      <c r="X29" t="s">
        <v>1120</v>
      </c>
    </row>
    <row r="30" spans="2:24" x14ac:dyDescent="0.25">
      <c r="B30">
        <v>1.2391000000000001E-2</v>
      </c>
      <c r="C30">
        <v>1.8586500000000006E-2</v>
      </c>
      <c r="D30">
        <v>2.4782000000000005E-2</v>
      </c>
      <c r="E30">
        <v>3.0977499999999988E-2</v>
      </c>
      <c r="F30">
        <v>3.7172999999999991E-2</v>
      </c>
      <c r="G30">
        <v>4.3368500000000018E-2</v>
      </c>
      <c r="I30">
        <v>1.2391000000000001E-2</v>
      </c>
      <c r="J30">
        <v>1.8586500000000013E-2</v>
      </c>
      <c r="K30">
        <v>2.4782000000000005E-2</v>
      </c>
      <c r="L30">
        <v>4.6164218749999986E-2</v>
      </c>
      <c r="M30">
        <v>8.2665562499999859E-2</v>
      </c>
      <c r="N30">
        <v>0.11394315625</v>
      </c>
      <c r="P30">
        <v>1.2390999999999999E-2</v>
      </c>
      <c r="Q30">
        <v>1.8586500000000002E-2</v>
      </c>
      <c r="R30">
        <v>2.4781999999999998E-2</v>
      </c>
      <c r="S30">
        <v>3.0977499999999998E-2</v>
      </c>
      <c r="T30">
        <v>3.7173000000000005E-2</v>
      </c>
      <c r="U30">
        <v>4.3368500000000018E-2</v>
      </c>
      <c r="W30" t="s">
        <v>477</v>
      </c>
      <c r="X30" t="s">
        <v>1125</v>
      </c>
    </row>
    <row r="31" spans="2:24" x14ac:dyDescent="0.25">
      <c r="B31">
        <v>1.2391000000000001E-2</v>
      </c>
      <c r="C31">
        <v>1.8586500000000006E-2</v>
      </c>
      <c r="D31">
        <v>2.4782000000000005E-2</v>
      </c>
      <c r="E31">
        <v>3.0977499999999988E-2</v>
      </c>
      <c r="F31">
        <v>3.7172999999999991E-2</v>
      </c>
      <c r="G31">
        <v>4.3368500000000018E-2</v>
      </c>
      <c r="I31">
        <v>1.2391000000000001E-2</v>
      </c>
      <c r="J31">
        <v>1.8586500000000013E-2</v>
      </c>
      <c r="K31">
        <v>2.4782000000000005E-2</v>
      </c>
      <c r="L31">
        <v>4.6164218749999986E-2</v>
      </c>
      <c r="M31">
        <v>8.2665562499999845E-2</v>
      </c>
      <c r="N31">
        <v>0.11394315624999998</v>
      </c>
      <c r="P31">
        <v>1.2390999999999999E-2</v>
      </c>
      <c r="Q31">
        <v>1.8586499999999999E-2</v>
      </c>
      <c r="R31">
        <v>2.4781999999999995E-2</v>
      </c>
      <c r="S31">
        <v>3.0977499999999995E-2</v>
      </c>
      <c r="T31">
        <v>3.7173000000000012E-2</v>
      </c>
      <c r="U31">
        <v>4.3368500000000011E-2</v>
      </c>
      <c r="W31" t="s">
        <v>482</v>
      </c>
      <c r="X31" t="s">
        <v>1129</v>
      </c>
    </row>
    <row r="32" spans="2:24" x14ac:dyDescent="0.25">
      <c r="B32">
        <v>1.2391000000000001E-2</v>
      </c>
      <c r="C32">
        <v>1.8586500000000006E-2</v>
      </c>
      <c r="D32">
        <v>2.4782000000000005E-2</v>
      </c>
      <c r="E32">
        <v>3.0977499999999988E-2</v>
      </c>
      <c r="F32">
        <v>3.7172999999999991E-2</v>
      </c>
      <c r="G32">
        <v>4.3368500000000011E-2</v>
      </c>
      <c r="I32">
        <v>1.2391000000000001E-2</v>
      </c>
      <c r="J32">
        <v>1.8586500000000013E-2</v>
      </c>
      <c r="K32">
        <v>2.4782000000000005E-2</v>
      </c>
      <c r="L32">
        <v>4.6164218749999986E-2</v>
      </c>
      <c r="M32">
        <v>8.2665562499999859E-2</v>
      </c>
      <c r="N32">
        <v>0.11394315624999998</v>
      </c>
      <c r="P32">
        <v>1.2390999999999999E-2</v>
      </c>
      <c r="Q32">
        <v>1.8586499999999995E-2</v>
      </c>
      <c r="R32">
        <v>2.4781999999999995E-2</v>
      </c>
      <c r="S32">
        <v>3.0977500000000002E-2</v>
      </c>
      <c r="T32">
        <v>3.7173000000000005E-2</v>
      </c>
      <c r="U32">
        <v>4.3368500000000011E-2</v>
      </c>
      <c r="W32" t="s">
        <v>486</v>
      </c>
      <c r="X32" t="s">
        <v>1133</v>
      </c>
    </row>
    <row r="33" spans="2:24" x14ac:dyDescent="0.25">
      <c r="B33">
        <v>1.2391000000000001E-2</v>
      </c>
      <c r="C33">
        <v>1.8586500000000006E-2</v>
      </c>
      <c r="D33">
        <v>2.4782000000000005E-2</v>
      </c>
      <c r="E33">
        <v>3.0977499999999988E-2</v>
      </c>
      <c r="F33">
        <v>3.7172999999999991E-2</v>
      </c>
      <c r="G33">
        <v>4.3368500000000011E-2</v>
      </c>
      <c r="I33">
        <v>1.2391000000000001E-2</v>
      </c>
      <c r="J33">
        <v>1.8586500000000013E-2</v>
      </c>
      <c r="K33">
        <v>2.4782000000000005E-2</v>
      </c>
      <c r="L33">
        <v>4.6164218749999986E-2</v>
      </c>
      <c r="M33">
        <v>8.2665562499999859E-2</v>
      </c>
      <c r="N33">
        <v>0.11394315624999998</v>
      </c>
      <c r="P33">
        <v>1.2390999999999999E-2</v>
      </c>
      <c r="Q33">
        <v>1.8586499999999995E-2</v>
      </c>
      <c r="R33">
        <v>2.4781999999999995E-2</v>
      </c>
      <c r="S33">
        <v>3.0977500000000002E-2</v>
      </c>
      <c r="T33">
        <v>3.7173000000000005E-2</v>
      </c>
      <c r="U33">
        <v>4.3368500000000011E-2</v>
      </c>
      <c r="W33" t="s">
        <v>489</v>
      </c>
      <c r="X33" t="s">
        <v>1137</v>
      </c>
    </row>
    <row r="34" spans="2:24" x14ac:dyDescent="0.25">
      <c r="B34">
        <v>1.2391000000000003E-2</v>
      </c>
      <c r="C34">
        <v>1.8586500000000006E-2</v>
      </c>
      <c r="D34">
        <v>2.4782000000000005E-2</v>
      </c>
      <c r="E34">
        <v>3.0977499999999995E-2</v>
      </c>
      <c r="F34">
        <v>3.7172999999999991E-2</v>
      </c>
      <c r="G34">
        <v>4.3368500000000018E-2</v>
      </c>
      <c r="I34">
        <v>1.2391000000000001E-2</v>
      </c>
      <c r="J34">
        <v>1.8586500000000013E-2</v>
      </c>
      <c r="K34">
        <v>2.4782000000000005E-2</v>
      </c>
      <c r="L34">
        <v>4.6164218749999986E-2</v>
      </c>
      <c r="M34">
        <v>8.2665562499999873E-2</v>
      </c>
      <c r="N34">
        <v>0.11394315625</v>
      </c>
      <c r="P34">
        <v>1.2391000000000001E-2</v>
      </c>
      <c r="Q34">
        <v>1.8586500000000002E-2</v>
      </c>
      <c r="R34">
        <v>2.4781999999999995E-2</v>
      </c>
      <c r="S34">
        <v>3.0977499999999998E-2</v>
      </c>
      <c r="T34">
        <v>3.7173000000000005E-2</v>
      </c>
      <c r="U34">
        <v>4.3368500000000018E-2</v>
      </c>
      <c r="W34" t="s">
        <v>493</v>
      </c>
      <c r="X34" s="60" t="s">
        <v>1142</v>
      </c>
    </row>
    <row r="35" spans="2:24" x14ac:dyDescent="0.25">
      <c r="B35">
        <v>1.2391000000000003E-2</v>
      </c>
      <c r="C35">
        <v>1.8586500000000006E-2</v>
      </c>
      <c r="D35">
        <v>2.4782000000000005E-2</v>
      </c>
      <c r="E35">
        <v>3.0977499999999995E-2</v>
      </c>
      <c r="F35">
        <v>3.7172999999999991E-2</v>
      </c>
      <c r="G35">
        <v>4.3368500000000011E-2</v>
      </c>
      <c r="I35">
        <v>1.2391000000000001E-2</v>
      </c>
      <c r="J35">
        <v>1.8586500000000009E-2</v>
      </c>
      <c r="K35">
        <v>2.4782000000000005E-2</v>
      </c>
      <c r="L35">
        <v>4.6164218749999986E-2</v>
      </c>
      <c r="M35">
        <v>8.2665562499999873E-2</v>
      </c>
      <c r="N35">
        <v>0.11394315625</v>
      </c>
      <c r="P35">
        <v>1.2391000000000001E-2</v>
      </c>
      <c r="Q35">
        <v>1.8586499999999999E-2</v>
      </c>
      <c r="R35">
        <v>2.4781999999999998E-2</v>
      </c>
      <c r="S35">
        <v>3.0977499999999998E-2</v>
      </c>
      <c r="T35">
        <v>3.7173000000000005E-2</v>
      </c>
      <c r="U35">
        <v>4.3368500000000011E-2</v>
      </c>
      <c r="W35" t="s">
        <v>497</v>
      </c>
      <c r="X35" t="s">
        <v>1147</v>
      </c>
    </row>
    <row r="36" spans="2:24" x14ac:dyDescent="0.25">
      <c r="B36">
        <v>1.2391000000000001E-2</v>
      </c>
      <c r="C36">
        <v>1.8586500000000006E-2</v>
      </c>
      <c r="D36">
        <v>2.4782000000000005E-2</v>
      </c>
      <c r="E36">
        <v>3.0977499999999991E-2</v>
      </c>
      <c r="F36">
        <v>3.7172999999999991E-2</v>
      </c>
      <c r="G36">
        <v>4.3368500000000011E-2</v>
      </c>
      <c r="I36">
        <v>1.2390999999999999E-2</v>
      </c>
      <c r="J36">
        <v>1.8586500000000006E-2</v>
      </c>
      <c r="K36">
        <v>2.4782000000000005E-2</v>
      </c>
      <c r="L36">
        <v>4.6164218749999986E-2</v>
      </c>
      <c r="M36">
        <v>8.2665562499999859E-2</v>
      </c>
      <c r="N36">
        <v>0.11394315624999998</v>
      </c>
      <c r="P36">
        <v>1.2391000000000001E-2</v>
      </c>
      <c r="Q36">
        <v>1.8586500000000002E-2</v>
      </c>
      <c r="R36">
        <v>2.4781999999999995E-2</v>
      </c>
      <c r="S36">
        <v>3.0977499999999995E-2</v>
      </c>
      <c r="T36">
        <v>3.7172999999999998E-2</v>
      </c>
      <c r="U36">
        <v>4.3368500000000011E-2</v>
      </c>
      <c r="W36" t="s">
        <v>502</v>
      </c>
      <c r="X36" t="s">
        <v>1152</v>
      </c>
    </row>
    <row r="37" spans="2:24" x14ac:dyDescent="0.25">
      <c r="B37">
        <v>1.2391000000000001E-2</v>
      </c>
      <c r="C37">
        <v>1.8586500000000006E-2</v>
      </c>
      <c r="D37">
        <v>2.4782000000000005E-2</v>
      </c>
      <c r="E37">
        <v>3.0977499999999991E-2</v>
      </c>
      <c r="F37">
        <v>3.7172999999999991E-2</v>
      </c>
      <c r="G37">
        <v>4.3368500000000004E-2</v>
      </c>
      <c r="I37">
        <v>1.2390999999999999E-2</v>
      </c>
      <c r="J37">
        <v>1.8586500000000006E-2</v>
      </c>
      <c r="K37">
        <v>2.4782000000000005E-2</v>
      </c>
      <c r="L37">
        <v>4.6164218749999986E-2</v>
      </c>
      <c r="M37">
        <v>8.2665562499999873E-2</v>
      </c>
      <c r="N37">
        <v>0.11394315625000001</v>
      </c>
      <c r="P37">
        <v>1.2391000000000001E-2</v>
      </c>
      <c r="Q37">
        <v>1.8586500000000002E-2</v>
      </c>
      <c r="R37">
        <v>2.4781999999999998E-2</v>
      </c>
      <c r="S37">
        <v>3.0977499999999998E-2</v>
      </c>
      <c r="T37">
        <v>3.7172999999999998E-2</v>
      </c>
      <c r="U37">
        <v>4.3368500000000018E-2</v>
      </c>
      <c r="W37" t="s">
        <v>505</v>
      </c>
      <c r="X37" t="s">
        <v>1156</v>
      </c>
    </row>
    <row r="38" spans="2:24" x14ac:dyDescent="0.25">
      <c r="B38">
        <v>1.2391000000000001E-2</v>
      </c>
      <c r="C38">
        <v>1.8586500000000006E-2</v>
      </c>
      <c r="D38">
        <v>2.4782000000000002E-2</v>
      </c>
      <c r="E38">
        <v>3.0977499999999995E-2</v>
      </c>
      <c r="F38">
        <v>3.7172999999999991E-2</v>
      </c>
      <c r="G38">
        <v>4.3368500000000004E-2</v>
      </c>
      <c r="I38">
        <v>1.2390999999999999E-2</v>
      </c>
      <c r="J38">
        <v>1.8586500000000009E-2</v>
      </c>
      <c r="K38">
        <v>2.4782000000000002E-2</v>
      </c>
      <c r="L38">
        <v>4.6164218749999986E-2</v>
      </c>
      <c r="M38">
        <v>8.2665562499999859E-2</v>
      </c>
      <c r="N38">
        <v>0.11394315625000001</v>
      </c>
      <c r="P38">
        <v>1.2391000000000001E-2</v>
      </c>
      <c r="Q38">
        <v>1.8586500000000002E-2</v>
      </c>
      <c r="R38">
        <v>2.4781999999999998E-2</v>
      </c>
      <c r="S38">
        <v>3.0977500000000002E-2</v>
      </c>
      <c r="T38">
        <v>3.7173000000000005E-2</v>
      </c>
      <c r="U38">
        <v>4.3368500000000018E-2</v>
      </c>
      <c r="W38" t="s">
        <v>510</v>
      </c>
      <c r="X38" t="s">
        <v>1160</v>
      </c>
    </row>
    <row r="39" spans="2:24" x14ac:dyDescent="0.25">
      <c r="B39">
        <v>1.2390999999999999E-2</v>
      </c>
      <c r="C39">
        <v>1.8586500000000002E-2</v>
      </c>
      <c r="D39">
        <v>2.4781999999999998E-2</v>
      </c>
      <c r="E39">
        <v>3.0977499999999991E-2</v>
      </c>
      <c r="F39">
        <v>3.7172999999999984E-2</v>
      </c>
      <c r="G39">
        <v>4.3368500000000004E-2</v>
      </c>
      <c r="I39">
        <v>1.2390999999999998E-2</v>
      </c>
      <c r="J39">
        <v>1.8586500000000006E-2</v>
      </c>
      <c r="K39">
        <v>2.4781999999999998E-2</v>
      </c>
      <c r="L39">
        <v>4.6164218749999979E-2</v>
      </c>
      <c r="M39">
        <v>8.2665562499999845E-2</v>
      </c>
      <c r="N39">
        <v>0.11394315625</v>
      </c>
      <c r="P39">
        <v>1.2390999999999999E-2</v>
      </c>
      <c r="Q39">
        <v>1.8586500000000002E-2</v>
      </c>
      <c r="R39">
        <v>2.4781999999999995E-2</v>
      </c>
      <c r="S39">
        <v>3.0977499999999998E-2</v>
      </c>
      <c r="T39">
        <v>3.7172999999999998E-2</v>
      </c>
      <c r="U39">
        <v>4.3368500000000011E-2</v>
      </c>
      <c r="W39" t="s">
        <v>514</v>
      </c>
      <c r="X39" t="s">
        <v>1162</v>
      </c>
    </row>
    <row r="40" spans="2:24" x14ac:dyDescent="0.25">
      <c r="B40">
        <v>0</v>
      </c>
      <c r="C40">
        <v>0</v>
      </c>
      <c r="D40">
        <v>0</v>
      </c>
      <c r="E40">
        <v>0</v>
      </c>
      <c r="F40">
        <v>0</v>
      </c>
      <c r="G40">
        <v>0</v>
      </c>
      <c r="I40">
        <v>0</v>
      </c>
      <c r="J40">
        <v>0</v>
      </c>
      <c r="K40">
        <v>0</v>
      </c>
      <c r="L40">
        <v>3.0373437499999996E-2</v>
      </c>
      <c r="M40">
        <v>9.098512499999975E-2</v>
      </c>
      <c r="N40">
        <v>0.14114931249999993</v>
      </c>
      <c r="P40">
        <v>0</v>
      </c>
      <c r="Q40">
        <v>0</v>
      </c>
      <c r="R40">
        <v>0</v>
      </c>
      <c r="S40">
        <v>0</v>
      </c>
      <c r="T40">
        <v>0</v>
      </c>
      <c r="U40">
        <v>0</v>
      </c>
      <c r="W40" t="s">
        <v>518</v>
      </c>
      <c r="X40" t="s">
        <v>1167</v>
      </c>
    </row>
    <row r="41" spans="2:24" x14ac:dyDescent="0.25">
      <c r="B41">
        <v>2.8269999999999979E-3</v>
      </c>
      <c r="C41">
        <v>4.2405000000000038E-3</v>
      </c>
      <c r="D41">
        <v>5.6539999999999967E-3</v>
      </c>
      <c r="E41">
        <v>7.0674999999999922E-3</v>
      </c>
      <c r="F41">
        <v>8.4809999999999868E-3</v>
      </c>
      <c r="G41">
        <v>9.8945000000000144E-3</v>
      </c>
      <c r="I41">
        <v>2.8269999999999988E-3</v>
      </c>
      <c r="J41">
        <v>4.2405000000000003E-3</v>
      </c>
      <c r="K41">
        <v>5.6539999999999976E-3</v>
      </c>
      <c r="L41">
        <v>7.0674999999999939E-3</v>
      </c>
      <c r="M41">
        <v>8.480999999999992E-3</v>
      </c>
      <c r="N41">
        <v>9.8945000000000109E-3</v>
      </c>
      <c r="P41">
        <v>2.8269999999999997E-3</v>
      </c>
      <c r="Q41">
        <v>4.2405000000000003E-3</v>
      </c>
      <c r="R41">
        <v>5.6539999999999958E-3</v>
      </c>
      <c r="S41">
        <v>7.0674999999999965E-3</v>
      </c>
      <c r="T41">
        <v>8.4809999999999868E-3</v>
      </c>
      <c r="U41">
        <v>9.8945000000000179E-3</v>
      </c>
      <c r="W41" t="s">
        <v>521</v>
      </c>
      <c r="X41" t="s">
        <v>1172</v>
      </c>
    </row>
    <row r="42" spans="2:24" x14ac:dyDescent="0.25">
      <c r="B42">
        <v>2.8269999999999975E-3</v>
      </c>
      <c r="C42">
        <v>4.2405000000000029E-3</v>
      </c>
      <c r="D42">
        <v>5.6539999999999967E-3</v>
      </c>
      <c r="E42">
        <v>7.0674999999999913E-3</v>
      </c>
      <c r="F42">
        <v>8.4809999999999868E-3</v>
      </c>
      <c r="G42">
        <v>9.8945000000000144E-3</v>
      </c>
      <c r="I42">
        <v>2.8269999999999988E-3</v>
      </c>
      <c r="J42">
        <v>4.2405000000000003E-3</v>
      </c>
      <c r="K42">
        <v>5.6539999999999976E-3</v>
      </c>
      <c r="L42">
        <v>7.0674999999999939E-3</v>
      </c>
      <c r="M42">
        <v>8.4809999999999903E-3</v>
      </c>
      <c r="N42">
        <v>9.8945000000000109E-3</v>
      </c>
      <c r="P42">
        <v>2.8269999999999992E-3</v>
      </c>
      <c r="Q42">
        <v>4.2405000000000003E-3</v>
      </c>
      <c r="R42">
        <v>5.6539999999999958E-3</v>
      </c>
      <c r="S42">
        <v>7.0674999999999957E-3</v>
      </c>
      <c r="T42">
        <v>8.4809999999999868E-3</v>
      </c>
      <c r="U42">
        <v>9.8945000000000161E-3</v>
      </c>
      <c r="W42" t="s">
        <v>525</v>
      </c>
      <c r="X42" t="s">
        <v>1176</v>
      </c>
    </row>
    <row r="43" spans="2:24" x14ac:dyDescent="0.25">
      <c r="B43">
        <v>0</v>
      </c>
      <c r="C43">
        <v>0</v>
      </c>
      <c r="D43">
        <v>0</v>
      </c>
      <c r="E43">
        <v>0</v>
      </c>
      <c r="F43">
        <v>0</v>
      </c>
      <c r="G43">
        <v>0</v>
      </c>
      <c r="I43">
        <v>0</v>
      </c>
      <c r="J43">
        <v>0</v>
      </c>
      <c r="K43">
        <v>0</v>
      </c>
      <c r="L43">
        <v>0</v>
      </c>
      <c r="M43">
        <v>0</v>
      </c>
      <c r="N43">
        <v>0</v>
      </c>
      <c r="P43">
        <v>0</v>
      </c>
      <c r="Q43">
        <v>0</v>
      </c>
      <c r="R43">
        <v>0</v>
      </c>
      <c r="S43">
        <v>0</v>
      </c>
      <c r="T43">
        <v>0</v>
      </c>
      <c r="U43">
        <v>0</v>
      </c>
      <c r="W43" t="s">
        <v>529</v>
      </c>
      <c r="X43" t="s">
        <v>1181</v>
      </c>
    </row>
    <row r="44" spans="2:24" x14ac:dyDescent="0.25">
      <c r="B44">
        <v>2.8269999999999975E-3</v>
      </c>
      <c r="C44">
        <v>4.2405000000000029E-3</v>
      </c>
      <c r="D44">
        <v>5.6539999999999967E-3</v>
      </c>
      <c r="E44">
        <v>7.0674999999999913E-3</v>
      </c>
      <c r="F44">
        <v>8.4809999999999868E-3</v>
      </c>
      <c r="G44">
        <v>9.8945000000000144E-3</v>
      </c>
      <c r="I44">
        <v>2.8269999999999988E-3</v>
      </c>
      <c r="J44">
        <v>4.2405000000000003E-3</v>
      </c>
      <c r="K44">
        <v>5.6539999999999976E-3</v>
      </c>
      <c r="L44">
        <v>7.0674999999999939E-3</v>
      </c>
      <c r="M44">
        <v>8.4809999999999903E-3</v>
      </c>
      <c r="N44">
        <v>9.8945000000000109E-3</v>
      </c>
      <c r="P44">
        <v>2.8269999999999992E-3</v>
      </c>
      <c r="Q44">
        <v>4.2405000000000003E-3</v>
      </c>
      <c r="R44">
        <v>5.6539999999999958E-3</v>
      </c>
      <c r="S44">
        <v>7.0674999999999957E-3</v>
      </c>
      <c r="T44">
        <v>8.4809999999999868E-3</v>
      </c>
      <c r="U44">
        <v>9.8945000000000161E-3</v>
      </c>
      <c r="W44" t="s">
        <v>533</v>
      </c>
      <c r="X44" t="s">
        <v>1185</v>
      </c>
    </row>
    <row r="45" spans="2:24" x14ac:dyDescent="0.25">
      <c r="B45">
        <v>0</v>
      </c>
      <c r="C45">
        <v>0</v>
      </c>
      <c r="D45">
        <v>0</v>
      </c>
      <c r="E45">
        <v>0</v>
      </c>
      <c r="F45">
        <v>0</v>
      </c>
      <c r="G45">
        <v>0</v>
      </c>
      <c r="I45">
        <v>0</v>
      </c>
      <c r="J45">
        <v>0</v>
      </c>
      <c r="K45">
        <v>0</v>
      </c>
      <c r="L45">
        <v>0</v>
      </c>
      <c r="M45">
        <v>0</v>
      </c>
      <c r="N45">
        <v>0</v>
      </c>
      <c r="P45">
        <v>0</v>
      </c>
      <c r="Q45">
        <v>0</v>
      </c>
      <c r="R45">
        <v>0</v>
      </c>
      <c r="S45">
        <v>0</v>
      </c>
      <c r="T45">
        <v>0</v>
      </c>
      <c r="U45">
        <v>0</v>
      </c>
      <c r="W45" t="s">
        <v>538</v>
      </c>
      <c r="X45" t="s">
        <v>1189</v>
      </c>
    </row>
    <row r="46" spans="2:24" x14ac:dyDescent="0.25">
      <c r="B46">
        <v>1.2390999999999998E-2</v>
      </c>
      <c r="C46">
        <v>1.8586500000000006E-2</v>
      </c>
      <c r="D46">
        <v>2.4781999999999998E-2</v>
      </c>
      <c r="E46">
        <v>3.0977499999999984E-2</v>
      </c>
      <c r="F46">
        <v>3.7172999999999991E-2</v>
      </c>
      <c r="G46">
        <v>4.3368500000000004E-2</v>
      </c>
      <c r="I46">
        <v>1.2390999999999998E-2</v>
      </c>
      <c r="J46">
        <v>1.8586500000000006E-2</v>
      </c>
      <c r="K46">
        <v>2.4781999999999998E-2</v>
      </c>
      <c r="L46">
        <v>4.6164218749999979E-2</v>
      </c>
      <c r="M46">
        <v>8.2665562499999845E-2</v>
      </c>
      <c r="N46">
        <v>0.11394315624999998</v>
      </c>
      <c r="P46">
        <v>1.2390999999999998E-2</v>
      </c>
      <c r="Q46">
        <v>1.8586499999999999E-2</v>
      </c>
      <c r="R46">
        <v>2.4781999999999992E-2</v>
      </c>
      <c r="S46">
        <v>3.0977499999999995E-2</v>
      </c>
      <c r="T46">
        <v>3.7172999999999998E-2</v>
      </c>
      <c r="U46">
        <v>4.3368500000000011E-2</v>
      </c>
      <c r="W46" t="s">
        <v>543</v>
      </c>
      <c r="X46" t="s">
        <v>1193</v>
      </c>
    </row>
    <row r="47" spans="2:24" x14ac:dyDescent="0.25">
      <c r="B47">
        <v>1.2390999999999999E-2</v>
      </c>
      <c r="C47">
        <v>1.8586500000000002E-2</v>
      </c>
      <c r="D47">
        <v>2.4782000000000002E-2</v>
      </c>
      <c r="E47">
        <v>3.0977499999999984E-2</v>
      </c>
      <c r="F47">
        <v>3.7172999999999991E-2</v>
      </c>
      <c r="G47">
        <v>4.3368500000000011E-2</v>
      </c>
      <c r="I47">
        <v>1.2390999999999999E-2</v>
      </c>
      <c r="J47">
        <v>1.8586500000000006E-2</v>
      </c>
      <c r="K47">
        <v>2.4781999999999998E-2</v>
      </c>
      <c r="L47">
        <v>4.6164218749999986E-2</v>
      </c>
      <c r="M47">
        <v>8.2665562499999859E-2</v>
      </c>
      <c r="N47">
        <v>0.11394315624999997</v>
      </c>
      <c r="P47">
        <v>1.2390999999999999E-2</v>
      </c>
      <c r="Q47">
        <v>1.8586500000000002E-2</v>
      </c>
      <c r="R47">
        <v>2.4781999999999995E-2</v>
      </c>
      <c r="S47">
        <v>3.0977499999999991E-2</v>
      </c>
      <c r="T47">
        <v>3.7172999999999998E-2</v>
      </c>
      <c r="U47">
        <v>4.3368500000000011E-2</v>
      </c>
      <c r="W47" t="s">
        <v>546</v>
      </c>
      <c r="X47" t="s">
        <v>1198</v>
      </c>
    </row>
    <row r="48" spans="2:24" x14ac:dyDescent="0.25">
      <c r="B48">
        <v>1.2390999999999998E-2</v>
      </c>
      <c r="C48">
        <v>1.8586500000000002E-2</v>
      </c>
      <c r="D48">
        <v>2.4781999999999995E-2</v>
      </c>
      <c r="E48">
        <v>3.0977499999999981E-2</v>
      </c>
      <c r="F48">
        <v>3.7172999999999984E-2</v>
      </c>
      <c r="G48">
        <v>4.3368499999999997E-2</v>
      </c>
      <c r="I48">
        <v>1.2390999999999996E-2</v>
      </c>
      <c r="J48">
        <v>1.8586500000000006E-2</v>
      </c>
      <c r="K48">
        <v>2.4781999999999995E-2</v>
      </c>
      <c r="L48">
        <v>4.6164218749999986E-2</v>
      </c>
      <c r="M48">
        <v>8.2665562499999845E-2</v>
      </c>
      <c r="N48">
        <v>0.11394315624999996</v>
      </c>
      <c r="P48">
        <v>1.2390999999999998E-2</v>
      </c>
      <c r="Q48">
        <v>1.8586499999999999E-2</v>
      </c>
      <c r="R48">
        <v>2.4781999999999992E-2</v>
      </c>
      <c r="S48">
        <v>3.0977499999999991E-2</v>
      </c>
      <c r="T48">
        <v>3.7172999999999991E-2</v>
      </c>
      <c r="U48">
        <v>4.3368500000000011E-2</v>
      </c>
      <c r="W48" t="s">
        <v>549</v>
      </c>
      <c r="X48" t="s">
        <v>1202</v>
      </c>
    </row>
    <row r="49" spans="2:24" x14ac:dyDescent="0.25">
      <c r="B49">
        <v>0</v>
      </c>
      <c r="C49">
        <v>0</v>
      </c>
      <c r="D49">
        <v>0</v>
      </c>
      <c r="E49">
        <v>0</v>
      </c>
      <c r="F49">
        <v>0</v>
      </c>
      <c r="G49">
        <v>0</v>
      </c>
      <c r="I49">
        <v>0</v>
      </c>
      <c r="J49">
        <v>0</v>
      </c>
      <c r="K49">
        <v>0</v>
      </c>
      <c r="L49">
        <v>0</v>
      </c>
      <c r="M49">
        <v>0</v>
      </c>
      <c r="N49">
        <v>1.334812500000008E-2</v>
      </c>
      <c r="P49">
        <v>0</v>
      </c>
      <c r="Q49">
        <v>0</v>
      </c>
      <c r="R49">
        <v>0</v>
      </c>
      <c r="S49">
        <v>0</v>
      </c>
      <c r="T49">
        <v>0</v>
      </c>
      <c r="U49">
        <v>0</v>
      </c>
      <c r="W49" t="s">
        <v>553</v>
      </c>
      <c r="X49" t="s">
        <v>1208</v>
      </c>
    </row>
    <row r="50" spans="2:24" x14ac:dyDescent="0.25">
      <c r="B50">
        <v>7.365E-3</v>
      </c>
      <c r="C50">
        <v>1.1047500000000002E-2</v>
      </c>
      <c r="D50">
        <v>1.473E-2</v>
      </c>
      <c r="E50">
        <v>1.8412499999999998E-2</v>
      </c>
      <c r="F50">
        <v>2.2095E-2</v>
      </c>
      <c r="G50">
        <v>2.5777500000000005E-2</v>
      </c>
      <c r="I50">
        <v>7.3649999999999992E-3</v>
      </c>
      <c r="J50">
        <v>1.10475E-2</v>
      </c>
      <c r="K50">
        <v>1.4729999999999998E-2</v>
      </c>
      <c r="L50">
        <v>4.8785937499999987E-2</v>
      </c>
      <c r="M50">
        <v>0.11308012499999975</v>
      </c>
      <c r="N50">
        <v>0.15357868749999984</v>
      </c>
      <c r="P50">
        <v>7.3649999999999992E-3</v>
      </c>
      <c r="Q50">
        <v>1.1047500000000002E-2</v>
      </c>
      <c r="R50">
        <v>1.4729999999999998E-2</v>
      </c>
      <c r="S50">
        <v>1.8412499999999998E-2</v>
      </c>
      <c r="T50">
        <v>2.2095E-2</v>
      </c>
      <c r="U50">
        <v>2.5777500000000009E-2</v>
      </c>
      <c r="W50" t="s">
        <v>558</v>
      </c>
      <c r="X50" t="s">
        <v>1212</v>
      </c>
    </row>
    <row r="51" spans="2:24" x14ac:dyDescent="0.25">
      <c r="B51">
        <v>0</v>
      </c>
      <c r="C51">
        <v>0</v>
      </c>
      <c r="D51">
        <v>0</v>
      </c>
      <c r="E51">
        <v>0</v>
      </c>
      <c r="F51">
        <v>0</v>
      </c>
      <c r="G51">
        <v>0</v>
      </c>
      <c r="I51">
        <v>0</v>
      </c>
      <c r="J51">
        <v>0</v>
      </c>
      <c r="K51">
        <v>0</v>
      </c>
      <c r="L51">
        <v>0</v>
      </c>
      <c r="M51">
        <v>0</v>
      </c>
      <c r="N51">
        <v>0</v>
      </c>
      <c r="P51">
        <v>0</v>
      </c>
      <c r="Q51">
        <v>0</v>
      </c>
      <c r="R51">
        <v>0</v>
      </c>
      <c r="S51">
        <v>0</v>
      </c>
      <c r="T51">
        <v>0</v>
      </c>
      <c r="U51">
        <v>0</v>
      </c>
      <c r="W51" t="s">
        <v>561</v>
      </c>
      <c r="X51" t="s">
        <v>1217</v>
      </c>
    </row>
    <row r="52" spans="2:24" x14ac:dyDescent="0.25">
      <c r="B52">
        <v>2.2900000000000001E-4</v>
      </c>
      <c r="C52">
        <v>3.4350000000000006E-4</v>
      </c>
      <c r="D52">
        <v>4.5800000000000002E-4</v>
      </c>
      <c r="E52">
        <v>5.7249999999999998E-4</v>
      </c>
      <c r="F52">
        <v>6.87E-4</v>
      </c>
      <c r="G52">
        <v>8.0150000000000002E-4</v>
      </c>
      <c r="I52">
        <v>2.2900000000000001E-4</v>
      </c>
      <c r="J52">
        <v>3.4350000000000006E-4</v>
      </c>
      <c r="K52">
        <v>4.5800000000000002E-4</v>
      </c>
      <c r="L52">
        <v>5.7249999999999998E-4</v>
      </c>
      <c r="M52">
        <v>6.87E-4</v>
      </c>
      <c r="N52">
        <v>8.0150000000000002E-4</v>
      </c>
      <c r="P52">
        <v>2.2900000000000001E-4</v>
      </c>
      <c r="Q52">
        <v>3.4350000000000006E-4</v>
      </c>
      <c r="R52">
        <v>4.5800000000000002E-4</v>
      </c>
      <c r="S52">
        <v>5.7249999999999998E-4</v>
      </c>
      <c r="T52">
        <v>6.87E-4</v>
      </c>
      <c r="U52">
        <v>8.0150000000000002E-4</v>
      </c>
      <c r="W52" t="s">
        <v>564</v>
      </c>
      <c r="X52" t="s">
        <v>1569</v>
      </c>
    </row>
    <row r="53" spans="2:24" x14ac:dyDescent="0.25">
      <c r="B53">
        <v>1.8309999999999999E-3</v>
      </c>
      <c r="C53">
        <v>2.7465000000000007E-3</v>
      </c>
      <c r="D53">
        <v>3.6620000000000008E-3</v>
      </c>
      <c r="E53">
        <v>4.5775000000000008E-3</v>
      </c>
      <c r="F53">
        <v>5.4930000000000014E-3</v>
      </c>
      <c r="G53">
        <v>6.408500000000001E-3</v>
      </c>
      <c r="I53">
        <v>1.8309999999999999E-3</v>
      </c>
      <c r="J53">
        <v>2.7465000000000007E-3</v>
      </c>
      <c r="K53">
        <v>3.6619999999999999E-3</v>
      </c>
      <c r="L53">
        <v>4.5774999999999991E-3</v>
      </c>
      <c r="M53">
        <v>5.4929999999999996E-3</v>
      </c>
      <c r="N53">
        <v>6.4085000000000019E-3</v>
      </c>
      <c r="P53">
        <v>1.8310000000000004E-3</v>
      </c>
      <c r="Q53">
        <v>2.7465000000000007E-3</v>
      </c>
      <c r="R53">
        <v>3.6620000000000008E-3</v>
      </c>
      <c r="S53">
        <v>4.5775000000000008E-3</v>
      </c>
      <c r="T53">
        <v>5.4929999999999996E-3</v>
      </c>
      <c r="U53">
        <v>6.408500000000001E-3</v>
      </c>
      <c r="W53" t="s">
        <v>567</v>
      </c>
      <c r="X53" t="s">
        <v>1570</v>
      </c>
    </row>
    <row r="54" spans="2:24" x14ac:dyDescent="0.25">
      <c r="B54">
        <v>1.8309999999999997E-3</v>
      </c>
      <c r="C54">
        <v>2.7465000000000002E-3</v>
      </c>
      <c r="D54">
        <v>3.6619999999999995E-3</v>
      </c>
      <c r="E54">
        <v>4.5775E-3</v>
      </c>
      <c r="F54">
        <v>5.4929999999999996E-3</v>
      </c>
      <c r="G54">
        <v>6.408500000000001E-3</v>
      </c>
      <c r="I54">
        <v>1.8309999999999997E-3</v>
      </c>
      <c r="J54">
        <v>2.7465000000000002E-3</v>
      </c>
      <c r="K54">
        <v>3.6619999999999995E-3</v>
      </c>
      <c r="L54">
        <v>4.5774999999999991E-3</v>
      </c>
      <c r="M54">
        <v>5.4929999999999988E-3</v>
      </c>
      <c r="N54">
        <v>6.408500000000001E-3</v>
      </c>
      <c r="P54">
        <v>1.8309999999999999E-3</v>
      </c>
      <c r="Q54">
        <v>2.7465000000000002E-3</v>
      </c>
      <c r="R54">
        <v>3.6619999999999999E-3</v>
      </c>
      <c r="S54">
        <v>4.5775E-3</v>
      </c>
      <c r="T54">
        <v>5.4929999999999988E-3</v>
      </c>
      <c r="U54">
        <v>6.4084999999999993E-3</v>
      </c>
      <c r="W54" t="s">
        <v>570</v>
      </c>
      <c r="X54" t="s">
        <v>1571</v>
      </c>
    </row>
    <row r="55" spans="2:24" x14ac:dyDescent="0.25">
      <c r="B55">
        <v>1.8309999999999997E-3</v>
      </c>
      <c r="C55">
        <v>2.7465000000000002E-3</v>
      </c>
      <c r="D55">
        <v>3.6619999999999995E-3</v>
      </c>
      <c r="E55">
        <v>4.5775E-3</v>
      </c>
      <c r="F55">
        <v>5.4929999999999996E-3</v>
      </c>
      <c r="G55">
        <v>6.408500000000001E-3</v>
      </c>
      <c r="I55">
        <v>1.8309999999999997E-3</v>
      </c>
      <c r="J55">
        <v>2.7465000000000002E-3</v>
      </c>
      <c r="K55">
        <v>3.6619999999999995E-3</v>
      </c>
      <c r="L55">
        <v>4.5774999999999991E-3</v>
      </c>
      <c r="M55">
        <v>5.4929999999999988E-3</v>
      </c>
      <c r="N55">
        <v>6.408500000000001E-3</v>
      </c>
      <c r="P55">
        <v>1.8309999999999999E-3</v>
      </c>
      <c r="Q55">
        <v>2.7465000000000002E-3</v>
      </c>
      <c r="R55">
        <v>3.6619999999999999E-3</v>
      </c>
      <c r="S55">
        <v>4.5775E-3</v>
      </c>
      <c r="T55">
        <v>5.4929999999999988E-3</v>
      </c>
      <c r="U55">
        <v>6.4084999999999993E-3</v>
      </c>
      <c r="W55" t="s">
        <v>575</v>
      </c>
      <c r="X55" t="s">
        <v>1572</v>
      </c>
    </row>
    <row r="56" spans="2:24" x14ac:dyDescent="0.25">
      <c r="B56">
        <v>4.9789999999999991E-3</v>
      </c>
      <c r="C56">
        <v>7.4685000000000003E-3</v>
      </c>
      <c r="D56">
        <v>9.9579999999999998E-3</v>
      </c>
      <c r="E56">
        <v>1.24475E-2</v>
      </c>
      <c r="F56">
        <v>1.4937000000000001E-2</v>
      </c>
      <c r="G56">
        <v>1.7426500000000001E-2</v>
      </c>
      <c r="I56">
        <v>4.9789999999999991E-3</v>
      </c>
      <c r="J56">
        <v>7.4684999999999994E-3</v>
      </c>
      <c r="K56">
        <v>9.9579999999999981E-3</v>
      </c>
      <c r="L56">
        <v>1.2447499999999998E-2</v>
      </c>
      <c r="M56">
        <v>1.4936999999999999E-2</v>
      </c>
      <c r="N56">
        <v>1.7426500000000001E-2</v>
      </c>
      <c r="P56">
        <v>4.9789999999999999E-3</v>
      </c>
      <c r="Q56">
        <v>7.4685000000000012E-3</v>
      </c>
      <c r="R56">
        <v>9.9580000000000033E-3</v>
      </c>
      <c r="S56">
        <v>1.24475E-2</v>
      </c>
      <c r="T56">
        <v>1.4936999999999997E-2</v>
      </c>
      <c r="U56">
        <v>1.7426499999999998E-2</v>
      </c>
      <c r="W56" t="s">
        <v>578</v>
      </c>
      <c r="X56" t="s">
        <v>1573</v>
      </c>
    </row>
    <row r="57" spans="2:24" x14ac:dyDescent="0.25">
      <c r="B57">
        <v>4.9789999999999999E-3</v>
      </c>
      <c r="C57">
        <v>7.4685000000000012E-3</v>
      </c>
      <c r="D57">
        <v>9.9580000000000016E-3</v>
      </c>
      <c r="E57">
        <v>1.2447500000000004E-2</v>
      </c>
      <c r="F57">
        <v>1.4937000000000002E-2</v>
      </c>
      <c r="G57">
        <v>1.7426500000000001E-2</v>
      </c>
      <c r="I57">
        <v>4.9790000000000008E-3</v>
      </c>
      <c r="J57">
        <v>7.4685000000000003E-3</v>
      </c>
      <c r="K57">
        <v>9.9580000000000016E-3</v>
      </c>
      <c r="L57">
        <v>1.24475E-2</v>
      </c>
      <c r="M57">
        <v>1.4937000000000001E-2</v>
      </c>
      <c r="N57">
        <v>1.7426500000000004E-2</v>
      </c>
      <c r="P57">
        <v>4.9790000000000008E-3</v>
      </c>
      <c r="Q57">
        <v>7.4685000000000012E-3</v>
      </c>
      <c r="R57">
        <v>9.9580000000000033E-3</v>
      </c>
      <c r="S57">
        <v>1.2447500000000004E-2</v>
      </c>
      <c r="T57">
        <v>1.4937000000000001E-2</v>
      </c>
      <c r="U57">
        <v>1.7426500000000001E-2</v>
      </c>
      <c r="W57" t="s">
        <v>581</v>
      </c>
      <c r="X57" t="s">
        <v>1574</v>
      </c>
    </row>
    <row r="58" spans="2:24" x14ac:dyDescent="0.25">
      <c r="B58">
        <v>-5.9084957147840699E-31</v>
      </c>
      <c r="C58">
        <v>-5.9929027964238423E-31</v>
      </c>
      <c r="D58">
        <v>1.1985805592847685E-30</v>
      </c>
      <c r="E58">
        <v>-4.2034726656606672E-30</v>
      </c>
      <c r="F58">
        <v>3.0386549390318074E-31</v>
      </c>
      <c r="G58">
        <v>-1.3505133062363588E-30</v>
      </c>
      <c r="I58">
        <v>-1.0128849796772693E-31</v>
      </c>
      <c r="J58">
        <v>-6.4149382046227043E-31</v>
      </c>
      <c r="K58">
        <v>3.4438089309027154E-30</v>
      </c>
      <c r="L58">
        <v>1.2829876409245409E-30</v>
      </c>
      <c r="M58">
        <v>-4.3216425799563481E-29</v>
      </c>
      <c r="N58">
        <v>1.3181009868866863E-28</v>
      </c>
      <c r="P58">
        <v>-2.9964513982119212E-31</v>
      </c>
      <c r="Q58">
        <v>1.494005345023972E-30</v>
      </c>
      <c r="R58">
        <v>4.1865912493327126E-30</v>
      </c>
      <c r="S58">
        <v>-1.4855646368599948E-30</v>
      </c>
      <c r="T58">
        <v>-3.9434988542101678E-29</v>
      </c>
      <c r="U58">
        <v>-6.5499895352463405E-30</v>
      </c>
      <c r="W58" t="s">
        <v>585</v>
      </c>
      <c r="X58" t="s">
        <v>1248</v>
      </c>
    </row>
    <row r="59" spans="2:24" x14ac:dyDescent="0.25">
      <c r="B59">
        <v>-2.8499999999999993E-4</v>
      </c>
      <c r="C59">
        <v>-4.2750000000000015E-4</v>
      </c>
      <c r="D59">
        <v>-5.7000000000000019E-4</v>
      </c>
      <c r="E59">
        <v>-7.1250000000000013E-4</v>
      </c>
      <c r="F59">
        <v>-8.5499999999999997E-4</v>
      </c>
      <c r="G59">
        <v>-9.9750000000000012E-4</v>
      </c>
      <c r="I59">
        <v>-2.8499999999999993E-4</v>
      </c>
      <c r="J59">
        <v>-4.275000000000002E-4</v>
      </c>
      <c r="K59">
        <v>-5.6999999999999976E-4</v>
      </c>
      <c r="L59">
        <v>-7.1249999999999981E-4</v>
      </c>
      <c r="M59">
        <v>-8.5499999999999986E-4</v>
      </c>
      <c r="N59">
        <v>-9.9750000000000012E-4</v>
      </c>
      <c r="P59">
        <v>-2.8500000000000004E-4</v>
      </c>
      <c r="Q59">
        <v>-4.2750000000000015E-4</v>
      </c>
      <c r="R59">
        <v>-5.7000000000000019E-4</v>
      </c>
      <c r="S59">
        <v>-7.1250000000000013E-4</v>
      </c>
      <c r="T59">
        <v>-8.5499999999999997E-4</v>
      </c>
      <c r="U59">
        <v>-9.9749999999999991E-4</v>
      </c>
      <c r="W59" t="s">
        <v>590</v>
      </c>
      <c r="X59" t="s">
        <v>1297</v>
      </c>
    </row>
    <row r="60" spans="2:24" x14ac:dyDescent="0.25">
      <c r="B60">
        <v>-1.3169999999999998E-3</v>
      </c>
      <c r="C60">
        <v>-1.9755000000000003E-3</v>
      </c>
      <c r="D60">
        <v>-2.6339999999999996E-3</v>
      </c>
      <c r="E60">
        <v>-3.2925000000000007E-3</v>
      </c>
      <c r="F60">
        <v>-3.9510000000000005E-3</v>
      </c>
      <c r="G60">
        <v>-4.6095000000000007E-3</v>
      </c>
      <c r="I60">
        <v>-1.3169999999999998E-3</v>
      </c>
      <c r="J60">
        <v>-1.9755000000000003E-3</v>
      </c>
      <c r="K60">
        <v>-2.6339999999999996E-3</v>
      </c>
      <c r="L60">
        <v>-3.2924999999999999E-3</v>
      </c>
      <c r="M60">
        <v>-3.9510000000000005E-3</v>
      </c>
      <c r="N60">
        <v>-4.6095000000000007E-3</v>
      </c>
      <c r="P60">
        <v>-1.317E-3</v>
      </c>
      <c r="Q60">
        <v>-1.9755000000000003E-3</v>
      </c>
      <c r="R60">
        <v>-2.6340000000000001E-3</v>
      </c>
      <c r="S60">
        <v>-3.2924999999999999E-3</v>
      </c>
      <c r="T60">
        <v>-3.9509999999999997E-3</v>
      </c>
      <c r="U60">
        <v>-4.6094999999999999E-3</v>
      </c>
      <c r="W60" t="s">
        <v>593</v>
      </c>
      <c r="X60" t="s">
        <v>1301</v>
      </c>
    </row>
    <row r="61" spans="2:24" x14ac:dyDescent="0.25">
      <c r="B61">
        <v>-1.6020000000000001E-3</v>
      </c>
      <c r="C61">
        <v>-2.4030000000000002E-3</v>
      </c>
      <c r="D61">
        <v>-3.2040000000000003E-3</v>
      </c>
      <c r="E61">
        <v>-4.0050000000000007E-3</v>
      </c>
      <c r="F61">
        <v>-4.8060000000000004E-3</v>
      </c>
      <c r="G61">
        <v>-5.6070000000000017E-3</v>
      </c>
      <c r="I61">
        <v>-1.6020000000000001E-3</v>
      </c>
      <c r="J61">
        <v>-2.4030000000000006E-3</v>
      </c>
      <c r="K61">
        <v>-3.2040000000000003E-3</v>
      </c>
      <c r="L61">
        <v>-4.0049999999999999E-3</v>
      </c>
      <c r="M61">
        <v>-4.8060000000000004E-3</v>
      </c>
      <c r="N61">
        <v>-5.6070000000000017E-3</v>
      </c>
      <c r="P61">
        <v>-1.6020000000000001E-3</v>
      </c>
      <c r="Q61">
        <v>-2.4030000000000006E-3</v>
      </c>
      <c r="R61">
        <v>-3.2040000000000003E-3</v>
      </c>
      <c r="S61">
        <v>-4.0049999999999999E-3</v>
      </c>
      <c r="T61">
        <v>-4.8060000000000004E-3</v>
      </c>
      <c r="U61">
        <v>-5.6070000000000017E-3</v>
      </c>
      <c r="W61" t="s">
        <v>598</v>
      </c>
      <c r="X61" t="s">
        <v>1303</v>
      </c>
    </row>
    <row r="62" spans="2:24" x14ac:dyDescent="0.25">
      <c r="B62">
        <v>-1.6020000000000001E-3</v>
      </c>
      <c r="C62">
        <v>-2.4030000000000002E-3</v>
      </c>
      <c r="D62">
        <v>-3.2040000000000003E-3</v>
      </c>
      <c r="E62">
        <v>-4.0050000000000007E-3</v>
      </c>
      <c r="F62">
        <v>-4.8060000000000004E-3</v>
      </c>
      <c r="G62">
        <v>-5.6070000000000017E-3</v>
      </c>
      <c r="I62">
        <v>-1.6020000000000001E-3</v>
      </c>
      <c r="J62">
        <v>-2.4030000000000006E-3</v>
      </c>
      <c r="K62">
        <v>-3.2040000000000003E-3</v>
      </c>
      <c r="L62">
        <v>-4.0049999999999999E-3</v>
      </c>
      <c r="M62">
        <v>-4.8060000000000004E-3</v>
      </c>
      <c r="N62">
        <v>-5.6070000000000017E-3</v>
      </c>
      <c r="P62">
        <v>-1.6020000000000001E-3</v>
      </c>
      <c r="Q62">
        <v>-2.4030000000000006E-3</v>
      </c>
      <c r="R62">
        <v>-3.2040000000000003E-3</v>
      </c>
      <c r="S62">
        <v>-4.0049999999999999E-3</v>
      </c>
      <c r="T62">
        <v>-4.8060000000000004E-3</v>
      </c>
      <c r="U62">
        <v>-5.6070000000000017E-3</v>
      </c>
      <c r="W62" t="s">
        <v>603</v>
      </c>
      <c r="X62" t="s">
        <v>1307</v>
      </c>
    </row>
    <row r="63" spans="2:24" x14ac:dyDescent="0.25">
      <c r="B63">
        <v>-2.8499999999999999E-4</v>
      </c>
      <c r="C63">
        <v>-4.2750000000000015E-4</v>
      </c>
      <c r="D63">
        <v>-5.7000000000000019E-4</v>
      </c>
      <c r="E63">
        <v>-7.1250000000000013E-4</v>
      </c>
      <c r="F63">
        <v>-8.5499999999999997E-4</v>
      </c>
      <c r="G63">
        <v>-9.9750000000000012E-4</v>
      </c>
      <c r="I63">
        <v>-2.8499999999999999E-4</v>
      </c>
      <c r="J63">
        <v>-4.2750000000000025E-4</v>
      </c>
      <c r="K63">
        <v>-5.6999999999999976E-4</v>
      </c>
      <c r="L63">
        <v>-7.1249999999999992E-4</v>
      </c>
      <c r="M63">
        <v>-8.5499999999999997E-4</v>
      </c>
      <c r="N63">
        <v>-9.9750000000000034E-4</v>
      </c>
      <c r="P63">
        <v>-2.8500000000000004E-4</v>
      </c>
      <c r="Q63">
        <v>-4.2750000000000015E-4</v>
      </c>
      <c r="R63">
        <v>-5.7000000000000009E-4</v>
      </c>
      <c r="S63">
        <v>-7.1250000000000024E-4</v>
      </c>
      <c r="T63">
        <v>-8.5499999999999997E-4</v>
      </c>
      <c r="U63">
        <v>-9.9749999999999991E-4</v>
      </c>
      <c r="W63" t="s">
        <v>607</v>
      </c>
      <c r="X63" t="s">
        <v>1311</v>
      </c>
    </row>
    <row r="64" spans="2:24" x14ac:dyDescent="0.25">
      <c r="B64">
        <v>0</v>
      </c>
      <c r="C64">
        <v>0</v>
      </c>
      <c r="D64">
        <v>0</v>
      </c>
      <c r="E64">
        <v>0</v>
      </c>
      <c r="F64">
        <v>1.194E-3</v>
      </c>
      <c r="G64">
        <v>1.3930000000000001E-3</v>
      </c>
      <c r="I64">
        <v>0</v>
      </c>
      <c r="J64">
        <v>0</v>
      </c>
      <c r="K64">
        <v>0</v>
      </c>
      <c r="L64">
        <v>0</v>
      </c>
      <c r="M64">
        <v>1.194E-3</v>
      </c>
      <c r="N64">
        <v>1.3930000000000001E-3</v>
      </c>
      <c r="P64">
        <v>0</v>
      </c>
      <c r="Q64">
        <v>0</v>
      </c>
      <c r="R64">
        <v>0</v>
      </c>
      <c r="S64">
        <v>0</v>
      </c>
      <c r="T64">
        <v>1.194E-3</v>
      </c>
      <c r="U64">
        <v>1.3930000000000001E-3</v>
      </c>
      <c r="W64" t="s">
        <v>611</v>
      </c>
      <c r="X64" t="s">
        <v>1316</v>
      </c>
    </row>
    <row r="65" spans="2:24" x14ac:dyDescent="0.25">
      <c r="B65">
        <v>0</v>
      </c>
      <c r="C65">
        <v>0</v>
      </c>
      <c r="D65">
        <v>0</v>
      </c>
      <c r="E65">
        <v>0</v>
      </c>
      <c r="F65">
        <v>0</v>
      </c>
      <c r="G65">
        <v>0</v>
      </c>
      <c r="I65">
        <v>0</v>
      </c>
      <c r="J65">
        <v>0</v>
      </c>
      <c r="K65">
        <v>0</v>
      </c>
      <c r="L65">
        <v>0</v>
      </c>
      <c r="M65">
        <v>0</v>
      </c>
      <c r="N65">
        <v>0</v>
      </c>
      <c r="P65">
        <v>0</v>
      </c>
      <c r="Q65">
        <v>0</v>
      </c>
      <c r="R65">
        <v>0</v>
      </c>
      <c r="S65">
        <v>0</v>
      </c>
      <c r="T65">
        <v>0</v>
      </c>
      <c r="U65">
        <v>0</v>
      </c>
      <c r="W65" t="s">
        <v>615</v>
      </c>
      <c r="X65" t="s">
        <v>1321</v>
      </c>
    </row>
    <row r="66" spans="2:24" x14ac:dyDescent="0.25">
      <c r="B66">
        <v>0</v>
      </c>
      <c r="C66">
        <v>0</v>
      </c>
      <c r="D66">
        <v>0</v>
      </c>
      <c r="E66">
        <v>0</v>
      </c>
      <c r="F66">
        <v>0</v>
      </c>
      <c r="G66">
        <v>0</v>
      </c>
      <c r="I66">
        <v>0</v>
      </c>
      <c r="J66">
        <v>0</v>
      </c>
      <c r="K66">
        <v>0</v>
      </c>
      <c r="L66">
        <v>0</v>
      </c>
      <c r="M66">
        <v>0</v>
      </c>
      <c r="N66">
        <v>0</v>
      </c>
      <c r="P66">
        <v>0</v>
      </c>
      <c r="Q66">
        <v>0</v>
      </c>
      <c r="R66">
        <v>0</v>
      </c>
      <c r="S66">
        <v>0</v>
      </c>
      <c r="T66">
        <v>0</v>
      </c>
      <c r="U66">
        <v>0</v>
      </c>
      <c r="W66" t="s">
        <v>620</v>
      </c>
      <c r="X66" t="s">
        <v>1325</v>
      </c>
    </row>
    <row r="67" spans="2:24" x14ac:dyDescent="0.25">
      <c r="B67">
        <v>0</v>
      </c>
      <c r="C67">
        <v>0</v>
      </c>
      <c r="D67">
        <v>0</v>
      </c>
      <c r="E67">
        <v>0</v>
      </c>
      <c r="F67">
        <v>0</v>
      </c>
      <c r="G67">
        <v>0</v>
      </c>
      <c r="I67">
        <v>0</v>
      </c>
      <c r="J67">
        <v>0</v>
      </c>
      <c r="K67">
        <v>0</v>
      </c>
      <c r="L67">
        <v>0</v>
      </c>
      <c r="M67">
        <v>0</v>
      </c>
      <c r="N67">
        <v>0</v>
      </c>
      <c r="P67">
        <v>0</v>
      </c>
      <c r="Q67">
        <v>0</v>
      </c>
      <c r="R67">
        <v>0</v>
      </c>
      <c r="S67">
        <v>0</v>
      </c>
      <c r="T67">
        <v>0</v>
      </c>
      <c r="U67">
        <v>0</v>
      </c>
      <c r="W67" t="s">
        <v>625</v>
      </c>
      <c r="X67" t="s">
        <v>1329</v>
      </c>
    </row>
    <row r="68" spans="2:24" x14ac:dyDescent="0.25">
      <c r="B68">
        <v>0</v>
      </c>
      <c r="C68">
        <v>0</v>
      </c>
      <c r="D68">
        <v>0</v>
      </c>
      <c r="E68">
        <v>0</v>
      </c>
      <c r="F68">
        <v>0</v>
      </c>
      <c r="G68">
        <v>0</v>
      </c>
      <c r="I68">
        <v>0</v>
      </c>
      <c r="J68">
        <v>0</v>
      </c>
      <c r="K68">
        <v>0</v>
      </c>
      <c r="L68">
        <v>0</v>
      </c>
      <c r="M68">
        <v>0</v>
      </c>
      <c r="N68">
        <v>0</v>
      </c>
      <c r="P68">
        <v>0</v>
      </c>
      <c r="Q68">
        <v>0</v>
      </c>
      <c r="R68">
        <v>0</v>
      </c>
      <c r="S68">
        <v>0</v>
      </c>
      <c r="T68">
        <v>0</v>
      </c>
      <c r="U68">
        <v>0</v>
      </c>
      <c r="W68" t="s">
        <v>629</v>
      </c>
      <c r="X68" t="s">
        <v>1335</v>
      </c>
    </row>
    <row r="69" spans="2:24" x14ac:dyDescent="0.25">
      <c r="B69">
        <v>-4.9318000000000008E-2</v>
      </c>
      <c r="C69">
        <v>-7.3977000000000057E-2</v>
      </c>
      <c r="D69">
        <v>-9.8636000000000015E-2</v>
      </c>
      <c r="E69">
        <v>-0.12329499999999997</v>
      </c>
      <c r="F69">
        <v>-0.15034199999999998</v>
      </c>
      <c r="G69">
        <v>-0.175399</v>
      </c>
      <c r="I69">
        <v>-4.9317999999999994E-2</v>
      </c>
      <c r="J69">
        <v>-7.3977000000000043E-2</v>
      </c>
      <c r="K69">
        <v>-9.8636000000000015E-2</v>
      </c>
      <c r="L69">
        <v>-0.15366843749999995</v>
      </c>
      <c r="M69">
        <v>-0.24132712499999973</v>
      </c>
      <c r="N69">
        <v>-0.31654831250000004</v>
      </c>
      <c r="P69">
        <v>-4.9318000000000008E-2</v>
      </c>
      <c r="Q69">
        <v>-7.3977000000000001E-2</v>
      </c>
      <c r="R69">
        <v>-9.8635999999999988E-2</v>
      </c>
      <c r="S69">
        <v>-0.12329500000000002</v>
      </c>
      <c r="T69">
        <v>-0.150342</v>
      </c>
      <c r="U69">
        <v>-0.17539900000000008</v>
      </c>
      <c r="W69" t="s">
        <v>633</v>
      </c>
      <c r="X69" t="s">
        <v>1337</v>
      </c>
    </row>
    <row r="70" spans="2:24" x14ac:dyDescent="0.25">
      <c r="B70">
        <v>0</v>
      </c>
      <c r="C70">
        <v>0</v>
      </c>
      <c r="D70">
        <v>0</v>
      </c>
      <c r="E70">
        <v>0</v>
      </c>
      <c r="F70">
        <v>0</v>
      </c>
      <c r="G70">
        <v>0</v>
      </c>
      <c r="I70">
        <v>0</v>
      </c>
      <c r="J70">
        <v>0</v>
      </c>
      <c r="K70">
        <v>0</v>
      </c>
      <c r="L70">
        <v>0</v>
      </c>
      <c r="M70">
        <v>0</v>
      </c>
      <c r="N70">
        <v>0</v>
      </c>
      <c r="P70">
        <v>0</v>
      </c>
      <c r="Q70">
        <v>0</v>
      </c>
      <c r="R70">
        <v>0</v>
      </c>
      <c r="S70">
        <v>0</v>
      </c>
      <c r="T70">
        <v>0</v>
      </c>
      <c r="U70">
        <v>0</v>
      </c>
      <c r="W70" t="s">
        <v>636</v>
      </c>
      <c r="X70" t="s">
        <v>1341</v>
      </c>
    </row>
    <row r="71" spans="2:24" x14ac:dyDescent="0.25">
      <c r="B71">
        <v>2.3933999999999997E-2</v>
      </c>
      <c r="C71">
        <v>3.5901000000000009E-2</v>
      </c>
      <c r="D71">
        <v>4.7867999999999994E-2</v>
      </c>
      <c r="E71">
        <v>5.9834999999999992E-2</v>
      </c>
      <c r="F71">
        <v>7.1801999999999991E-2</v>
      </c>
      <c r="G71">
        <v>8.3769000000000024E-2</v>
      </c>
      <c r="I71">
        <v>2.3933999999999997E-2</v>
      </c>
      <c r="J71">
        <v>3.5901000000000002E-2</v>
      </c>
      <c r="K71">
        <v>4.7867999999999994E-2</v>
      </c>
      <c r="L71">
        <v>5.9834999999999992E-2</v>
      </c>
      <c r="M71">
        <v>7.1801999999999991E-2</v>
      </c>
      <c r="N71">
        <v>8.376900000000001E-2</v>
      </c>
      <c r="P71">
        <v>2.3933999999999997E-2</v>
      </c>
      <c r="Q71">
        <v>3.5901000000000009E-2</v>
      </c>
      <c r="R71">
        <v>4.7867999999999994E-2</v>
      </c>
      <c r="S71">
        <v>5.9834999999999992E-2</v>
      </c>
      <c r="T71">
        <v>7.1801999999999991E-2</v>
      </c>
      <c r="U71">
        <v>8.3769000000000024E-2</v>
      </c>
      <c r="W71" t="s">
        <v>639</v>
      </c>
      <c r="X71" s="60" t="s">
        <v>1342</v>
      </c>
    </row>
    <row r="72" spans="2:24" x14ac:dyDescent="0.25">
      <c r="B72">
        <v>1.7207E-2</v>
      </c>
      <c r="C72">
        <v>2.5810500000000004E-2</v>
      </c>
      <c r="D72">
        <v>3.4414E-2</v>
      </c>
      <c r="E72">
        <v>4.30175E-2</v>
      </c>
      <c r="F72">
        <v>5.1620999999999993E-2</v>
      </c>
      <c r="G72">
        <v>6.0224500000000028E-2</v>
      </c>
      <c r="I72">
        <v>1.7207E-2</v>
      </c>
      <c r="J72">
        <v>2.5810500000000004E-2</v>
      </c>
      <c r="K72">
        <v>3.4414E-2</v>
      </c>
      <c r="L72">
        <v>4.30175E-2</v>
      </c>
      <c r="M72">
        <v>5.1620999999999993E-2</v>
      </c>
      <c r="N72">
        <v>6.0224500000000014E-2</v>
      </c>
      <c r="P72">
        <v>1.7207E-2</v>
      </c>
      <c r="Q72">
        <v>2.5810500000000004E-2</v>
      </c>
      <c r="R72">
        <v>3.4414E-2</v>
      </c>
      <c r="S72">
        <v>4.30175E-2</v>
      </c>
      <c r="T72">
        <v>5.1620999999999993E-2</v>
      </c>
      <c r="U72">
        <v>6.0224500000000028E-2</v>
      </c>
      <c r="W72" t="s">
        <v>642</v>
      </c>
      <c r="X72" s="60" t="s">
        <v>1348</v>
      </c>
    </row>
    <row r="73" spans="2:24" x14ac:dyDescent="0.25">
      <c r="B73">
        <v>1.1966999999999998E-2</v>
      </c>
      <c r="C73">
        <v>1.7950500000000001E-2</v>
      </c>
      <c r="D73">
        <v>2.3933999999999997E-2</v>
      </c>
      <c r="E73">
        <v>2.9917499999999989E-2</v>
      </c>
      <c r="F73">
        <v>3.5900999999999995E-2</v>
      </c>
      <c r="G73">
        <v>4.1884500000000005E-2</v>
      </c>
      <c r="I73">
        <v>1.1966999999999998E-2</v>
      </c>
      <c r="J73">
        <v>1.7950499999999998E-2</v>
      </c>
      <c r="K73">
        <v>2.3933999999999997E-2</v>
      </c>
      <c r="L73">
        <v>2.9917499999999989E-2</v>
      </c>
      <c r="M73">
        <v>3.5900999999999995E-2</v>
      </c>
      <c r="N73">
        <v>4.1884499999999991E-2</v>
      </c>
      <c r="P73">
        <v>1.1966999999999997E-2</v>
      </c>
      <c r="Q73">
        <v>1.7950500000000001E-2</v>
      </c>
      <c r="R73">
        <v>2.3933999999999993E-2</v>
      </c>
      <c r="S73">
        <v>2.9917499999999989E-2</v>
      </c>
      <c r="T73">
        <v>3.5900999999999995E-2</v>
      </c>
      <c r="U73">
        <v>4.1884500000000005E-2</v>
      </c>
      <c r="W73" t="s">
        <v>646</v>
      </c>
      <c r="X73" s="60" t="s">
        <v>1353</v>
      </c>
    </row>
    <row r="74" spans="2:24" x14ac:dyDescent="0.25">
      <c r="B74">
        <v>4.7867999999999994E-2</v>
      </c>
      <c r="C74">
        <v>7.1802000000000005E-2</v>
      </c>
      <c r="D74">
        <v>9.5735999999999988E-2</v>
      </c>
      <c r="E74">
        <v>0.11966999999999996</v>
      </c>
      <c r="F74">
        <v>0.14360399999999995</v>
      </c>
      <c r="G74">
        <v>0.16753800000000005</v>
      </c>
      <c r="I74">
        <v>4.7867999999999994E-2</v>
      </c>
      <c r="J74">
        <v>7.1801999999999991E-2</v>
      </c>
      <c r="K74">
        <v>9.5735999999999988E-2</v>
      </c>
      <c r="L74">
        <v>0.11966999999999996</v>
      </c>
      <c r="M74">
        <v>0.14360399999999995</v>
      </c>
      <c r="N74">
        <v>0.16753799999999996</v>
      </c>
      <c r="P74">
        <v>4.7867999999999994E-2</v>
      </c>
      <c r="Q74">
        <v>7.1802000000000005E-2</v>
      </c>
      <c r="R74">
        <v>9.5735999999999974E-2</v>
      </c>
      <c r="S74">
        <v>0.11966999999999996</v>
      </c>
      <c r="T74">
        <v>0.14360399999999995</v>
      </c>
      <c r="U74">
        <v>0.16753800000000005</v>
      </c>
      <c r="W74" t="s">
        <v>649</v>
      </c>
      <c r="X74" s="60" t="s">
        <v>1357</v>
      </c>
    </row>
    <row r="75" spans="2:24" x14ac:dyDescent="0.25">
      <c r="B75">
        <v>0</v>
      </c>
      <c r="C75">
        <v>0</v>
      </c>
      <c r="D75">
        <v>0</v>
      </c>
      <c r="E75">
        <v>0</v>
      </c>
      <c r="F75">
        <v>0</v>
      </c>
      <c r="G75">
        <v>0</v>
      </c>
      <c r="I75">
        <v>0</v>
      </c>
      <c r="J75">
        <v>0</v>
      </c>
      <c r="K75">
        <v>0</v>
      </c>
      <c r="L75">
        <v>0</v>
      </c>
      <c r="M75">
        <v>0</v>
      </c>
      <c r="N75">
        <v>0</v>
      </c>
      <c r="P75">
        <v>0</v>
      </c>
      <c r="Q75">
        <v>0</v>
      </c>
      <c r="R75">
        <v>0</v>
      </c>
      <c r="S75">
        <v>0</v>
      </c>
      <c r="T75">
        <v>0</v>
      </c>
      <c r="U75">
        <v>0</v>
      </c>
      <c r="W75" t="s">
        <v>653</v>
      </c>
      <c r="X75" s="60" t="s">
        <v>1362</v>
      </c>
    </row>
    <row r="76" spans="2:24" x14ac:dyDescent="0.25">
      <c r="B76">
        <v>0</v>
      </c>
      <c r="C76">
        <v>0</v>
      </c>
      <c r="D76">
        <v>0</v>
      </c>
      <c r="E76">
        <v>0</v>
      </c>
      <c r="F76">
        <v>0</v>
      </c>
      <c r="G76">
        <v>0</v>
      </c>
      <c r="I76">
        <v>0</v>
      </c>
      <c r="J76">
        <v>0</v>
      </c>
      <c r="K76">
        <v>0</v>
      </c>
      <c r="L76">
        <v>0</v>
      </c>
      <c r="M76">
        <v>0</v>
      </c>
      <c r="N76">
        <v>0</v>
      </c>
      <c r="P76">
        <v>0</v>
      </c>
      <c r="Q76">
        <v>0</v>
      </c>
      <c r="R76">
        <v>0</v>
      </c>
      <c r="S76">
        <v>0</v>
      </c>
      <c r="T76">
        <v>0</v>
      </c>
      <c r="U76">
        <v>0</v>
      </c>
      <c r="W76" t="s">
        <v>656</v>
      </c>
      <c r="X76" s="60" t="s">
        <v>1365</v>
      </c>
    </row>
    <row r="77" spans="2:24" x14ac:dyDescent="0.25">
      <c r="B77">
        <v>0</v>
      </c>
      <c r="C77">
        <v>0</v>
      </c>
      <c r="D77">
        <v>0</v>
      </c>
      <c r="E77">
        <v>0</v>
      </c>
      <c r="F77">
        <v>0</v>
      </c>
      <c r="G77">
        <v>0</v>
      </c>
      <c r="I77">
        <v>0</v>
      </c>
      <c r="J77">
        <v>0</v>
      </c>
      <c r="K77">
        <v>0</v>
      </c>
      <c r="L77">
        <v>0</v>
      </c>
      <c r="M77">
        <v>0</v>
      </c>
      <c r="N77">
        <v>0</v>
      </c>
      <c r="P77">
        <v>0</v>
      </c>
      <c r="Q77">
        <v>0</v>
      </c>
      <c r="R77">
        <v>0</v>
      </c>
      <c r="S77">
        <v>0</v>
      </c>
      <c r="T77">
        <v>0</v>
      </c>
      <c r="U77">
        <v>0</v>
      </c>
      <c r="W77" t="s">
        <v>660</v>
      </c>
      <c r="X77" s="60" t="s">
        <v>1374</v>
      </c>
    </row>
    <row r="78" spans="2:24" x14ac:dyDescent="0.25">
      <c r="B78">
        <v>0</v>
      </c>
      <c r="C78">
        <v>0</v>
      </c>
      <c r="D78">
        <v>0</v>
      </c>
      <c r="E78">
        <v>0</v>
      </c>
      <c r="F78">
        <v>0</v>
      </c>
      <c r="G78">
        <v>0</v>
      </c>
      <c r="I78">
        <v>0</v>
      </c>
      <c r="J78">
        <v>0</v>
      </c>
      <c r="K78">
        <v>0</v>
      </c>
      <c r="L78">
        <v>0</v>
      </c>
      <c r="M78">
        <v>0</v>
      </c>
      <c r="N78">
        <v>0</v>
      </c>
      <c r="P78">
        <v>0</v>
      </c>
      <c r="Q78">
        <v>0</v>
      </c>
      <c r="R78">
        <v>0</v>
      </c>
      <c r="S78">
        <v>0</v>
      </c>
      <c r="T78">
        <v>0</v>
      </c>
      <c r="U78">
        <v>0</v>
      </c>
      <c r="W78" t="s">
        <v>665</v>
      </c>
      <c r="X78" s="60" t="s">
        <v>1378</v>
      </c>
    </row>
    <row r="79" spans="2:24" x14ac:dyDescent="0.25">
      <c r="B79">
        <v>0</v>
      </c>
      <c r="C79">
        <v>0</v>
      </c>
      <c r="D79">
        <v>0</v>
      </c>
      <c r="E79">
        <v>0</v>
      </c>
      <c r="F79">
        <v>0</v>
      </c>
      <c r="G79">
        <v>0</v>
      </c>
      <c r="I79">
        <v>0</v>
      </c>
      <c r="J79">
        <v>0</v>
      </c>
      <c r="K79">
        <v>0</v>
      </c>
      <c r="L79">
        <v>0</v>
      </c>
      <c r="M79">
        <v>0</v>
      </c>
      <c r="N79">
        <v>0</v>
      </c>
      <c r="P79">
        <v>0</v>
      </c>
      <c r="Q79">
        <v>0</v>
      </c>
      <c r="R79">
        <v>0</v>
      </c>
      <c r="S79">
        <v>0</v>
      </c>
      <c r="T79">
        <v>0</v>
      </c>
      <c r="U79">
        <v>0</v>
      </c>
      <c r="W79" t="s">
        <v>668</v>
      </c>
      <c r="X79" s="60" t="s">
        <v>1384</v>
      </c>
    </row>
    <row r="80" spans="2:24" x14ac:dyDescent="0.25">
      <c r="B80">
        <v>9.0000000000000006E-5</v>
      </c>
      <c r="C80">
        <v>1.3500000000000003E-4</v>
      </c>
      <c r="D80">
        <v>1.8000000000000001E-4</v>
      </c>
      <c r="E80">
        <v>2.2499999999999999E-4</v>
      </c>
      <c r="F80">
        <v>2.7E-4</v>
      </c>
      <c r="G80">
        <v>3.1500000000000001E-4</v>
      </c>
      <c r="I80">
        <v>9.0000000000000006E-5</v>
      </c>
      <c r="J80">
        <v>1.3500000000000003E-4</v>
      </c>
      <c r="K80">
        <v>1.8000000000000001E-4</v>
      </c>
      <c r="L80">
        <v>2.2499999999999999E-4</v>
      </c>
      <c r="M80">
        <v>2.7E-4</v>
      </c>
      <c r="N80">
        <v>3.1500000000000001E-4</v>
      </c>
      <c r="P80">
        <v>9.0000000000000006E-5</v>
      </c>
      <c r="Q80">
        <v>1.3500000000000003E-4</v>
      </c>
      <c r="R80">
        <v>1.8000000000000001E-4</v>
      </c>
      <c r="S80">
        <v>2.2499999999999999E-4</v>
      </c>
      <c r="T80">
        <v>2.7E-4</v>
      </c>
      <c r="U80">
        <v>3.1500000000000001E-4</v>
      </c>
      <c r="W80" t="s">
        <v>672</v>
      </c>
      <c r="X80" t="s">
        <v>1389</v>
      </c>
    </row>
    <row r="81" spans="2:24" x14ac:dyDescent="0.25">
      <c r="B81">
        <v>9.0000000000000006E-5</v>
      </c>
      <c r="C81">
        <v>1.3500000000000003E-4</v>
      </c>
      <c r="D81">
        <v>1.8000000000000001E-4</v>
      </c>
      <c r="E81">
        <v>2.2499999999999999E-4</v>
      </c>
      <c r="F81">
        <v>2.7E-4</v>
      </c>
      <c r="G81">
        <v>3.1500000000000001E-4</v>
      </c>
      <c r="I81">
        <v>9.0000000000000006E-5</v>
      </c>
      <c r="J81">
        <v>1.3500000000000003E-4</v>
      </c>
      <c r="K81">
        <v>1.8000000000000001E-4</v>
      </c>
      <c r="L81">
        <v>2.2499999999999999E-4</v>
      </c>
      <c r="M81">
        <v>2.7E-4</v>
      </c>
      <c r="N81">
        <v>3.1500000000000001E-4</v>
      </c>
      <c r="P81">
        <v>9.0000000000000006E-5</v>
      </c>
      <c r="Q81">
        <v>1.3500000000000003E-4</v>
      </c>
      <c r="R81">
        <v>1.8000000000000001E-4</v>
      </c>
      <c r="S81">
        <v>2.2499999999999999E-4</v>
      </c>
      <c r="T81">
        <v>2.7E-4</v>
      </c>
      <c r="U81">
        <v>3.1500000000000001E-4</v>
      </c>
      <c r="W81" t="s">
        <v>676</v>
      </c>
      <c r="X81" t="s">
        <v>1393</v>
      </c>
    </row>
    <row r="82" spans="2:24" x14ac:dyDescent="0.25">
      <c r="B82">
        <v>9.0000000000000006E-5</v>
      </c>
      <c r="C82">
        <v>1.3500000000000003E-4</v>
      </c>
      <c r="D82">
        <v>1.8000000000000001E-4</v>
      </c>
      <c r="E82">
        <v>2.2499999999999999E-4</v>
      </c>
      <c r="F82">
        <v>2.7E-4</v>
      </c>
      <c r="G82">
        <v>3.1500000000000001E-4</v>
      </c>
      <c r="I82">
        <v>9.0000000000000006E-5</v>
      </c>
      <c r="J82">
        <v>1.3500000000000003E-4</v>
      </c>
      <c r="K82">
        <v>1.8000000000000001E-4</v>
      </c>
      <c r="L82">
        <v>2.2499999999999999E-4</v>
      </c>
      <c r="M82">
        <v>2.7E-4</v>
      </c>
      <c r="N82">
        <v>3.1500000000000001E-4</v>
      </c>
      <c r="P82">
        <v>9.0000000000000006E-5</v>
      </c>
      <c r="Q82">
        <v>1.3500000000000003E-4</v>
      </c>
      <c r="R82">
        <v>1.8000000000000001E-4</v>
      </c>
      <c r="S82">
        <v>2.2499999999999999E-4</v>
      </c>
      <c r="T82">
        <v>2.7E-4</v>
      </c>
      <c r="U82">
        <v>3.1500000000000001E-4</v>
      </c>
      <c r="W82" t="s">
        <v>679</v>
      </c>
      <c r="X82" s="69" t="s">
        <v>1397</v>
      </c>
    </row>
    <row r="83" spans="2:24" x14ac:dyDescent="0.25">
      <c r="B83">
        <v>0</v>
      </c>
      <c r="C83">
        <v>0</v>
      </c>
      <c r="D83">
        <v>0</v>
      </c>
      <c r="E83">
        <v>0</v>
      </c>
      <c r="F83">
        <v>0</v>
      </c>
      <c r="G83">
        <v>0</v>
      </c>
      <c r="I83">
        <v>0</v>
      </c>
      <c r="J83">
        <v>0</v>
      </c>
      <c r="K83">
        <v>0</v>
      </c>
      <c r="L83">
        <v>0</v>
      </c>
      <c r="M83">
        <v>0</v>
      </c>
      <c r="N83">
        <v>0</v>
      </c>
      <c r="P83">
        <v>0</v>
      </c>
      <c r="Q83">
        <v>0</v>
      </c>
      <c r="R83">
        <v>0</v>
      </c>
      <c r="S83">
        <v>0</v>
      </c>
      <c r="T83">
        <v>0</v>
      </c>
      <c r="U83">
        <v>0</v>
      </c>
      <c r="W83" t="s">
        <v>682</v>
      </c>
      <c r="X83" t="s">
        <v>1401</v>
      </c>
    </row>
    <row r="84" spans="2:24" x14ac:dyDescent="0.25">
      <c r="B84">
        <v>7.9691833333333337E-2</v>
      </c>
      <c r="C84">
        <v>7.2871083333333239E-2</v>
      </c>
      <c r="D84">
        <v>6.6050333333333225E-2</v>
      </c>
      <c r="E84">
        <v>5.9229583333333329E-2</v>
      </c>
      <c r="F84">
        <v>4.922483333333328E-2</v>
      </c>
      <c r="G84">
        <v>4.1873416666666496E-2</v>
      </c>
      <c r="I84">
        <v>0.30044945454545452</v>
      </c>
      <c r="J84">
        <v>0.37431054545454556</v>
      </c>
      <c r="K84">
        <v>0.44817163636363622</v>
      </c>
      <c r="L84">
        <v>0.51374906249999985</v>
      </c>
      <c r="M84">
        <v>0.57270787499999998</v>
      </c>
      <c r="N84">
        <v>0.63315918749999989</v>
      </c>
      <c r="P84">
        <v>0.25314424999999996</v>
      </c>
      <c r="Q84">
        <v>0.30971637500000004</v>
      </c>
      <c r="R84">
        <v>0.36628850000000002</v>
      </c>
      <c r="S84">
        <v>0.42286062499999993</v>
      </c>
      <c r="T84">
        <v>0.48002974999999992</v>
      </c>
      <c r="U84">
        <v>0.53670137500000026</v>
      </c>
      <c r="W84" t="s">
        <v>685</v>
      </c>
      <c r="X84" t="s">
        <v>1407</v>
      </c>
    </row>
    <row r="85" spans="2:24" x14ac:dyDescent="0.25">
      <c r="B85">
        <v>0.10447383333333334</v>
      </c>
      <c r="C85">
        <v>0.11004408333333326</v>
      </c>
      <c r="D85">
        <v>0.11561433333333325</v>
      </c>
      <c r="E85">
        <v>0.1211845833333333</v>
      </c>
      <c r="F85">
        <v>0.12357083333333327</v>
      </c>
      <c r="G85">
        <v>0.12861041666666653</v>
      </c>
      <c r="I85">
        <v>4.140022727272729E-2</v>
      </c>
      <c r="J85">
        <v>2.3918522727272754E-2</v>
      </c>
      <c r="K85">
        <v>6.4368181818181399E-3</v>
      </c>
      <c r="L85">
        <v>0</v>
      </c>
      <c r="M85">
        <v>0</v>
      </c>
      <c r="N85">
        <v>0</v>
      </c>
      <c r="P85">
        <v>0.27792624999999987</v>
      </c>
      <c r="Q85">
        <v>0.34688937500000006</v>
      </c>
      <c r="R85">
        <v>0.41585249999999996</v>
      </c>
      <c r="S85">
        <v>0.48481562499999997</v>
      </c>
      <c r="T85">
        <v>0.55437574999999994</v>
      </c>
      <c r="U85">
        <v>0.62343837500000021</v>
      </c>
      <c r="W85" t="s">
        <v>689</v>
      </c>
      <c r="X85" t="s">
        <v>1412</v>
      </c>
    </row>
    <row r="86" spans="2:24" x14ac:dyDescent="0.25">
      <c r="B86">
        <v>0.22568933333333333</v>
      </c>
      <c r="C86">
        <v>0.29186733333333337</v>
      </c>
      <c r="D86">
        <v>0.35804533333333333</v>
      </c>
      <c r="E86">
        <v>0.42422333333333317</v>
      </c>
      <c r="F86">
        <v>0.49259033333333319</v>
      </c>
      <c r="G86">
        <v>0.55913316666666668</v>
      </c>
      <c r="I86">
        <v>0.16261572727272725</v>
      </c>
      <c r="J86">
        <v>0.20574177272727279</v>
      </c>
      <c r="K86">
        <v>0.24886781818181811</v>
      </c>
      <c r="L86">
        <v>0.30303874999999997</v>
      </c>
      <c r="M86">
        <v>0.36901949999999978</v>
      </c>
      <c r="N86">
        <v>0.4305227499999999</v>
      </c>
      <c r="P86">
        <v>0.13896312499999997</v>
      </c>
      <c r="Q86">
        <v>0.17344468750000006</v>
      </c>
      <c r="R86">
        <v>0.20792625000000001</v>
      </c>
      <c r="S86">
        <v>0.24240781250000004</v>
      </c>
      <c r="T86">
        <v>0.27718787499999997</v>
      </c>
      <c r="U86">
        <v>0.31171918750000011</v>
      </c>
      <c r="W86" t="s">
        <v>692</v>
      </c>
      <c r="X86" t="s">
        <v>1417</v>
      </c>
    </row>
    <row r="87" spans="2:24" x14ac:dyDescent="0.25">
      <c r="B87">
        <v>0</v>
      </c>
      <c r="C87">
        <v>0</v>
      </c>
      <c r="D87">
        <v>0</v>
      </c>
      <c r="E87">
        <v>0</v>
      </c>
      <c r="F87">
        <v>0</v>
      </c>
      <c r="G87">
        <v>0</v>
      </c>
      <c r="I87">
        <v>0</v>
      </c>
      <c r="J87">
        <v>0</v>
      </c>
      <c r="K87">
        <v>0</v>
      </c>
      <c r="L87">
        <v>0</v>
      </c>
      <c r="M87">
        <v>0</v>
      </c>
      <c r="N87">
        <v>0</v>
      </c>
      <c r="P87">
        <v>0</v>
      </c>
      <c r="Q87">
        <v>0</v>
      </c>
      <c r="R87">
        <v>0</v>
      </c>
      <c r="S87">
        <v>0</v>
      </c>
      <c r="T87">
        <v>0</v>
      </c>
      <c r="U87">
        <v>0</v>
      </c>
      <c r="W87" t="s">
        <v>695</v>
      </c>
      <c r="X87" t="s">
        <v>1424</v>
      </c>
    </row>
    <row r="88" spans="2:24" x14ac:dyDescent="0.25">
      <c r="B88">
        <v>0</v>
      </c>
      <c r="C88">
        <v>0</v>
      </c>
      <c r="D88">
        <v>0</v>
      </c>
      <c r="E88">
        <v>0</v>
      </c>
      <c r="F88">
        <v>0</v>
      </c>
      <c r="G88">
        <v>0</v>
      </c>
      <c r="I88">
        <v>0</v>
      </c>
      <c r="J88">
        <v>0</v>
      </c>
      <c r="K88">
        <v>0</v>
      </c>
      <c r="L88">
        <v>0</v>
      </c>
      <c r="M88">
        <v>0</v>
      </c>
      <c r="N88">
        <v>0</v>
      </c>
      <c r="P88">
        <v>0</v>
      </c>
      <c r="Q88">
        <v>0</v>
      </c>
      <c r="R88">
        <v>0</v>
      </c>
      <c r="S88">
        <v>0</v>
      </c>
      <c r="T88">
        <v>0</v>
      </c>
      <c r="U88">
        <v>0</v>
      </c>
      <c r="W88" t="s">
        <v>698</v>
      </c>
      <c r="X88" t="s">
        <v>1429</v>
      </c>
    </row>
    <row r="89" spans="2:24" x14ac:dyDescent="0.25">
      <c r="B89">
        <v>1.8309999999999997E-3</v>
      </c>
      <c r="C89">
        <v>2.7465000000000007E-3</v>
      </c>
      <c r="D89">
        <v>3.6620000000000008E-3</v>
      </c>
      <c r="E89">
        <v>4.5775000000000008E-3</v>
      </c>
      <c r="F89">
        <v>5.4930000000000014E-3</v>
      </c>
      <c r="G89">
        <v>6.408500000000001E-3</v>
      </c>
      <c r="I89">
        <v>1.8310000000000002E-3</v>
      </c>
      <c r="J89">
        <v>2.7465000000000011E-3</v>
      </c>
      <c r="K89">
        <v>3.6620000000000003E-3</v>
      </c>
      <c r="L89">
        <v>4.5774999999999991E-3</v>
      </c>
      <c r="M89">
        <v>5.4930000000000005E-3</v>
      </c>
      <c r="N89">
        <v>6.4085000000000027E-3</v>
      </c>
      <c r="P89">
        <v>1.8310000000000004E-3</v>
      </c>
      <c r="Q89">
        <v>2.7465000000000011E-3</v>
      </c>
      <c r="R89">
        <v>3.6620000000000008E-3</v>
      </c>
      <c r="S89">
        <v>4.5775000000000008E-3</v>
      </c>
      <c r="T89">
        <v>5.4930000000000005E-3</v>
      </c>
      <c r="U89">
        <v>6.408500000000001E-3</v>
      </c>
      <c r="W89" t="s">
        <v>701</v>
      </c>
      <c r="X89" t="s">
        <v>1435</v>
      </c>
    </row>
    <row r="90" spans="2:24" x14ac:dyDescent="0.25">
      <c r="B90">
        <v>0</v>
      </c>
      <c r="C90">
        <v>0</v>
      </c>
      <c r="D90">
        <v>0</v>
      </c>
      <c r="E90">
        <v>0</v>
      </c>
      <c r="F90">
        <v>0</v>
      </c>
      <c r="G90">
        <v>0</v>
      </c>
      <c r="I90">
        <v>0</v>
      </c>
      <c r="J90">
        <v>0</v>
      </c>
      <c r="K90">
        <v>0</v>
      </c>
      <c r="L90">
        <v>0</v>
      </c>
      <c r="M90">
        <v>0</v>
      </c>
      <c r="N90">
        <v>0</v>
      </c>
      <c r="P90">
        <v>0</v>
      </c>
      <c r="Q90">
        <v>0</v>
      </c>
      <c r="R90">
        <v>0</v>
      </c>
      <c r="S90">
        <v>0</v>
      </c>
      <c r="T90">
        <v>0</v>
      </c>
      <c r="U90">
        <v>0</v>
      </c>
      <c r="W90" t="s">
        <v>705</v>
      </c>
      <c r="X90" t="s">
        <v>1440</v>
      </c>
    </row>
    <row r="91" spans="2:24" x14ac:dyDescent="0.25">
      <c r="B91">
        <v>0.58376516666666667</v>
      </c>
      <c r="C91">
        <v>0.71231441666666662</v>
      </c>
      <c r="D91">
        <v>0.84086366666666645</v>
      </c>
      <c r="E91">
        <v>0.96941291666666651</v>
      </c>
      <c r="F91">
        <v>1.0975641666666662</v>
      </c>
      <c r="G91">
        <v>1.2260470833333332</v>
      </c>
      <c r="I91">
        <v>0.64683877272727275</v>
      </c>
      <c r="J91">
        <v>0.79843997727272753</v>
      </c>
      <c r="K91">
        <v>0.95004118181818176</v>
      </c>
      <c r="L91">
        <v>1.1209709374999999</v>
      </c>
      <c r="M91">
        <v>1.3121201249999996</v>
      </c>
      <c r="N91">
        <v>1.4958068124999997</v>
      </c>
      <c r="P91">
        <v>0.67049137499999989</v>
      </c>
      <c r="Q91">
        <v>0.83073706250000035</v>
      </c>
      <c r="R91">
        <v>0.99098275000000002</v>
      </c>
      <c r="S91">
        <v>1.1512284375000001</v>
      </c>
      <c r="T91">
        <v>1.3129666249999998</v>
      </c>
      <c r="U91">
        <v>1.4734610625000004</v>
      </c>
      <c r="W91" t="s">
        <v>709</v>
      </c>
      <c r="X91" t="s">
        <v>1444</v>
      </c>
    </row>
    <row r="92" spans="2:24" x14ac:dyDescent="0.25">
      <c r="B92">
        <v>0</v>
      </c>
      <c r="C92">
        <v>0</v>
      </c>
      <c r="D92">
        <v>0</v>
      </c>
      <c r="E92">
        <v>0</v>
      </c>
      <c r="F92">
        <v>0</v>
      </c>
      <c r="G92">
        <v>0</v>
      </c>
      <c r="I92">
        <v>0</v>
      </c>
      <c r="J92">
        <v>0</v>
      </c>
      <c r="K92">
        <v>0</v>
      </c>
      <c r="L92">
        <v>0</v>
      </c>
      <c r="M92">
        <v>0</v>
      </c>
      <c r="N92">
        <v>0</v>
      </c>
      <c r="P92">
        <v>0</v>
      </c>
      <c r="Q92">
        <v>0</v>
      </c>
      <c r="R92">
        <v>0</v>
      </c>
      <c r="S92">
        <v>0</v>
      </c>
      <c r="T92">
        <v>0</v>
      </c>
      <c r="U92">
        <v>0</v>
      </c>
      <c r="W92" t="s">
        <v>712</v>
      </c>
      <c r="X92" t="s">
        <v>1446</v>
      </c>
    </row>
    <row r="93" spans="2:24" x14ac:dyDescent="0.25">
      <c r="B93">
        <v>0.42</v>
      </c>
      <c r="C93">
        <v>0.42</v>
      </c>
      <c r="D93">
        <v>0.42</v>
      </c>
      <c r="E93">
        <v>0.42</v>
      </c>
      <c r="F93">
        <v>0.42</v>
      </c>
      <c r="G93">
        <v>0.42</v>
      </c>
      <c r="I93">
        <v>0.42</v>
      </c>
      <c r="J93">
        <v>0.42</v>
      </c>
      <c r="K93">
        <v>0.42</v>
      </c>
      <c r="L93">
        <v>0.42</v>
      </c>
      <c r="M93">
        <v>0.42</v>
      </c>
      <c r="N93">
        <v>0.42</v>
      </c>
      <c r="P93">
        <v>0.42</v>
      </c>
      <c r="Q93">
        <v>0.42</v>
      </c>
      <c r="R93">
        <v>0.42</v>
      </c>
      <c r="S93">
        <v>0.42</v>
      </c>
      <c r="T93">
        <v>0.42</v>
      </c>
      <c r="U93">
        <v>0.42</v>
      </c>
      <c r="W93" t="s">
        <v>254</v>
      </c>
      <c r="X93" s="60" t="s">
        <v>1450</v>
      </c>
    </row>
    <row r="94" spans="2:24" x14ac:dyDescent="0.25">
      <c r="B94">
        <v>0.22722583333333332</v>
      </c>
      <c r="C94">
        <v>0.29417208333333345</v>
      </c>
      <c r="D94">
        <v>0.36111833333333332</v>
      </c>
      <c r="E94">
        <v>0.4280645833333333</v>
      </c>
      <c r="F94">
        <v>0.49899083333333327</v>
      </c>
      <c r="G94">
        <v>0.56660041666666672</v>
      </c>
      <c r="I94">
        <v>0.1166512272727273</v>
      </c>
      <c r="J94">
        <v>0.13679502272727279</v>
      </c>
      <c r="K94">
        <v>0.15693881818181815</v>
      </c>
      <c r="L94">
        <v>0.12738062500000003</v>
      </c>
      <c r="M94">
        <v>4.8558750000000393E-2</v>
      </c>
      <c r="N94">
        <v>0</v>
      </c>
      <c r="P94">
        <v>9.2998625000000001E-2</v>
      </c>
      <c r="Q94">
        <v>0.10449793750000005</v>
      </c>
      <c r="R94">
        <v>0.11599725000000004</v>
      </c>
      <c r="S94">
        <v>0.12749656250000005</v>
      </c>
      <c r="T94">
        <v>0.13869737499999996</v>
      </c>
      <c r="U94">
        <v>0.1501469375000001</v>
      </c>
      <c r="W94" t="s">
        <v>718</v>
      </c>
      <c r="X94" s="73" t="s">
        <v>1453</v>
      </c>
    </row>
    <row r="95" spans="2:24" x14ac:dyDescent="0.25">
      <c r="B95">
        <v>1.1966999999999998E-2</v>
      </c>
      <c r="C95">
        <v>1.7950500000000005E-2</v>
      </c>
      <c r="D95">
        <v>2.3933999999999997E-2</v>
      </c>
      <c r="E95">
        <v>2.9917499999999989E-2</v>
      </c>
      <c r="F95">
        <v>3.5900999999999995E-2</v>
      </c>
      <c r="G95">
        <v>4.1884500000000012E-2</v>
      </c>
      <c r="I95">
        <v>1.1966999999999998E-2</v>
      </c>
      <c r="J95">
        <v>1.7950500000000001E-2</v>
      </c>
      <c r="K95">
        <v>2.3933999999999997E-2</v>
      </c>
      <c r="L95">
        <v>2.9917499999999989E-2</v>
      </c>
      <c r="M95">
        <v>3.5900999999999995E-2</v>
      </c>
      <c r="N95">
        <v>4.1884499999999998E-2</v>
      </c>
      <c r="P95">
        <v>1.1966999999999997E-2</v>
      </c>
      <c r="Q95">
        <v>1.7950500000000005E-2</v>
      </c>
      <c r="R95">
        <v>2.3933999999999993E-2</v>
      </c>
      <c r="S95">
        <v>2.9917499999999989E-2</v>
      </c>
      <c r="T95">
        <v>3.5900999999999995E-2</v>
      </c>
      <c r="U95">
        <v>4.1884500000000012E-2</v>
      </c>
      <c r="W95" t="s">
        <v>722</v>
      </c>
      <c r="X95" s="60" t="s">
        <v>1456</v>
      </c>
    </row>
    <row r="96" spans="2:24" x14ac:dyDescent="0.25">
      <c r="B96">
        <v>0</v>
      </c>
      <c r="C96">
        <v>1.4341034497896322E-30</v>
      </c>
      <c r="D96">
        <v>1.4341034497896328E-30</v>
      </c>
      <c r="E96">
        <v>2.88314547718124E-30</v>
      </c>
      <c r="F96">
        <v>1.7448258639107192E-29</v>
      </c>
      <c r="G96">
        <v>1.1472827598317058E-29</v>
      </c>
      <c r="I96">
        <v>-1.1203933201481502E-31</v>
      </c>
      <c r="J96">
        <v>2.3901724163160539E-31</v>
      </c>
      <c r="K96">
        <v>0</v>
      </c>
      <c r="L96">
        <v>2.9877155203950675E-31</v>
      </c>
      <c r="M96">
        <v>3.2864870724345739E-29</v>
      </c>
      <c r="N96">
        <v>-1.5093938809035881E-28</v>
      </c>
      <c r="P96">
        <v>-1.9718922434607445E-30</v>
      </c>
      <c r="Q96">
        <v>6.5729741448691481E-31</v>
      </c>
      <c r="R96">
        <v>-3.943784486921489E-30</v>
      </c>
      <c r="S96">
        <v>-1.3145948289738296E-30</v>
      </c>
      <c r="T96">
        <v>1.1472827598317058E-29</v>
      </c>
      <c r="U96">
        <v>8.3656034571061892E-31</v>
      </c>
      <c r="W96" t="s">
        <v>726</v>
      </c>
      <c r="X96" t="s">
        <v>1461</v>
      </c>
    </row>
    <row r="97" spans="2:24" x14ac:dyDescent="0.25">
      <c r="B97">
        <v>0</v>
      </c>
      <c r="C97">
        <v>0</v>
      </c>
      <c r="D97">
        <v>0</v>
      </c>
      <c r="E97">
        <v>0</v>
      </c>
      <c r="F97">
        <v>0</v>
      </c>
      <c r="G97">
        <v>0</v>
      </c>
      <c r="I97">
        <v>0</v>
      </c>
      <c r="J97">
        <v>0</v>
      </c>
      <c r="K97">
        <v>0</v>
      </c>
      <c r="L97">
        <v>0</v>
      </c>
      <c r="M97">
        <v>0</v>
      </c>
      <c r="N97">
        <v>0</v>
      </c>
      <c r="P97">
        <v>0</v>
      </c>
      <c r="Q97">
        <v>0</v>
      </c>
      <c r="R97">
        <v>0</v>
      </c>
      <c r="S97">
        <v>0</v>
      </c>
      <c r="T97">
        <v>0</v>
      </c>
      <c r="U97">
        <v>0</v>
      </c>
      <c r="W97" t="s">
        <v>729</v>
      </c>
      <c r="X97" t="s">
        <v>1465</v>
      </c>
    </row>
    <row r="98" spans="2:24" x14ac:dyDescent="0.25">
      <c r="B98">
        <v>0</v>
      </c>
      <c r="C98">
        <v>4.6317448778331201E-31</v>
      </c>
      <c r="D98">
        <v>4.6317448778331201E-31</v>
      </c>
      <c r="E98">
        <v>-1.8558866199585951E-30</v>
      </c>
      <c r="F98">
        <v>6.9616529072885678E-30</v>
      </c>
      <c r="G98">
        <v>4.1545347995109199E-30</v>
      </c>
      <c r="I98">
        <v>0</v>
      </c>
      <c r="J98">
        <v>0</v>
      </c>
      <c r="K98">
        <v>0</v>
      </c>
      <c r="L98">
        <v>0</v>
      </c>
      <c r="M98">
        <v>0</v>
      </c>
      <c r="N98">
        <v>0</v>
      </c>
      <c r="P98">
        <v>0</v>
      </c>
      <c r="Q98">
        <v>0</v>
      </c>
      <c r="R98">
        <v>0</v>
      </c>
      <c r="S98">
        <v>0</v>
      </c>
      <c r="T98">
        <v>0</v>
      </c>
      <c r="U98">
        <v>0</v>
      </c>
      <c r="W98" t="s">
        <v>733</v>
      </c>
      <c r="X98" t="s">
        <v>1469</v>
      </c>
    </row>
    <row r="99" spans="2:24" x14ac:dyDescent="0.25">
      <c r="B99">
        <v>0</v>
      </c>
      <c r="C99">
        <v>0</v>
      </c>
      <c r="D99">
        <v>0</v>
      </c>
      <c r="E99">
        <v>0</v>
      </c>
      <c r="F99">
        <v>0</v>
      </c>
      <c r="G99">
        <v>0</v>
      </c>
      <c r="I99">
        <v>0</v>
      </c>
      <c r="J99">
        <v>0</v>
      </c>
      <c r="K99">
        <v>0</v>
      </c>
      <c r="L99">
        <v>0</v>
      </c>
      <c r="M99">
        <v>0</v>
      </c>
      <c r="N99">
        <v>0</v>
      </c>
      <c r="P99">
        <v>0</v>
      </c>
      <c r="Q99">
        <v>0</v>
      </c>
      <c r="R99">
        <v>0</v>
      </c>
      <c r="S99">
        <v>0</v>
      </c>
      <c r="T99">
        <v>0</v>
      </c>
      <c r="U99">
        <v>0</v>
      </c>
      <c r="W99" t="s">
        <v>737</v>
      </c>
      <c r="X99" t="s">
        <v>1473</v>
      </c>
    </row>
    <row r="100" spans="2:24" x14ac:dyDescent="0.25">
      <c r="B100">
        <v>0</v>
      </c>
      <c r="C100">
        <v>0</v>
      </c>
      <c r="D100">
        <v>0</v>
      </c>
      <c r="E100">
        <v>0</v>
      </c>
      <c r="F100">
        <v>0</v>
      </c>
      <c r="G100">
        <v>0</v>
      </c>
      <c r="I100">
        <v>0</v>
      </c>
      <c r="J100">
        <v>0</v>
      </c>
      <c r="K100">
        <v>0</v>
      </c>
      <c r="L100">
        <v>0</v>
      </c>
      <c r="M100">
        <v>0</v>
      </c>
      <c r="N100">
        <v>0</v>
      </c>
      <c r="P100">
        <v>0</v>
      </c>
      <c r="Q100">
        <v>0</v>
      </c>
      <c r="R100">
        <v>0</v>
      </c>
      <c r="S100">
        <v>0</v>
      </c>
      <c r="T100">
        <v>0</v>
      </c>
      <c r="U100">
        <v>0</v>
      </c>
      <c r="W100" t="s">
        <v>741</v>
      </c>
      <c r="X100" t="s">
        <v>1476</v>
      </c>
    </row>
    <row r="101" spans="2:24" x14ac:dyDescent="0.25">
      <c r="B101">
        <v>0</v>
      </c>
      <c r="C101">
        <v>0</v>
      </c>
      <c r="D101">
        <v>0</v>
      </c>
      <c r="E101">
        <v>0</v>
      </c>
      <c r="F101">
        <v>0</v>
      </c>
      <c r="G101">
        <v>0</v>
      </c>
      <c r="I101">
        <v>0</v>
      </c>
      <c r="J101">
        <v>0</v>
      </c>
      <c r="K101">
        <v>0</v>
      </c>
      <c r="L101">
        <v>0</v>
      </c>
      <c r="M101">
        <v>0</v>
      </c>
      <c r="N101">
        <v>0</v>
      </c>
      <c r="P101">
        <v>0</v>
      </c>
      <c r="Q101">
        <v>0</v>
      </c>
      <c r="R101">
        <v>0</v>
      </c>
      <c r="S101">
        <v>0</v>
      </c>
      <c r="T101">
        <v>0</v>
      </c>
      <c r="U101">
        <v>0</v>
      </c>
      <c r="W101" t="s">
        <v>746</v>
      </c>
      <c r="X101" t="s">
        <v>1480</v>
      </c>
    </row>
    <row r="102" spans="2:24" x14ac:dyDescent="0.25">
      <c r="B102">
        <v>0.34690483333333327</v>
      </c>
      <c r="C102">
        <v>0.47369058333333341</v>
      </c>
      <c r="D102">
        <v>0.60047633333333328</v>
      </c>
      <c r="E102">
        <v>0.7272620833333332</v>
      </c>
      <c r="F102">
        <v>0.86160983333333319</v>
      </c>
      <c r="G102">
        <v>0.98965591666666686</v>
      </c>
      <c r="I102">
        <v>0.28383122727272725</v>
      </c>
      <c r="J102">
        <v>0.38756502272727289</v>
      </c>
      <c r="K102">
        <v>0.49129881818181814</v>
      </c>
      <c r="L102">
        <v>0.60607749999999982</v>
      </c>
      <c r="M102">
        <v>0.73803899999999978</v>
      </c>
      <c r="N102">
        <v>0.86104549999999991</v>
      </c>
      <c r="P102">
        <v>0.260178625</v>
      </c>
      <c r="Q102">
        <v>0.35526793750000007</v>
      </c>
      <c r="R102">
        <v>0.45035724999999999</v>
      </c>
      <c r="S102">
        <v>0.5454465624999999</v>
      </c>
      <c r="T102">
        <v>0.64620737500000003</v>
      </c>
      <c r="U102">
        <v>0.74224193750000012</v>
      </c>
      <c r="W102" t="s">
        <v>751</v>
      </c>
      <c r="X102" t="s">
        <v>1507</v>
      </c>
    </row>
    <row r="103" spans="2:24" x14ac:dyDescent="0.25">
      <c r="B103">
        <v>-0.56289466666666665</v>
      </c>
      <c r="C103">
        <v>-0.75100866666666677</v>
      </c>
      <c r="D103">
        <v>-0.93912266666666655</v>
      </c>
      <c r="E103">
        <v>-1.1272366666666662</v>
      </c>
      <c r="F103">
        <v>-1.3256986666666659</v>
      </c>
      <c r="G103">
        <v>-1.5155373333333333</v>
      </c>
      <c r="I103">
        <v>-0.43674745454545449</v>
      </c>
      <c r="J103">
        <v>-0.57875754545454605</v>
      </c>
      <c r="K103">
        <v>-0.72076763636363628</v>
      </c>
      <c r="L103">
        <v>-0.8848674999999997</v>
      </c>
      <c r="M103">
        <v>-1.0785569999999995</v>
      </c>
      <c r="N103">
        <v>-1.2583164999999998</v>
      </c>
      <c r="P103">
        <v>-0.38944224999999982</v>
      </c>
      <c r="Q103">
        <v>-0.51416337500000031</v>
      </c>
      <c r="R103">
        <v>-0.63888449999999986</v>
      </c>
      <c r="S103">
        <v>-0.76360562500000029</v>
      </c>
      <c r="T103">
        <v>-0.89489374999999993</v>
      </c>
      <c r="U103">
        <v>-1.0207093750000007</v>
      </c>
      <c r="W103" t="s">
        <v>756</v>
      </c>
      <c r="X103" t="s">
        <v>1508</v>
      </c>
    </row>
    <row r="104" spans="2:24" x14ac:dyDescent="0.25">
      <c r="B104">
        <v>-7.2897999999999769E-2</v>
      </c>
      <c r="C104">
        <v>-0.10934700000000022</v>
      </c>
      <c r="D104">
        <v>-0.1457960000000002</v>
      </c>
      <c r="E104">
        <v>-0.18224500000000121</v>
      </c>
      <c r="F104">
        <v>-0.21988799999999983</v>
      </c>
      <c r="G104">
        <v>-0.25653600000000021</v>
      </c>
      <c r="I104">
        <v>-7.2898000000000185E-2</v>
      </c>
      <c r="J104">
        <v>-0.10934699999999987</v>
      </c>
      <c r="K104">
        <v>-0.14579600000000115</v>
      </c>
      <c r="L104">
        <v>-0.18224500000000085</v>
      </c>
      <c r="M104">
        <v>-0.21988800000000022</v>
      </c>
      <c r="N104">
        <v>-0.2565360000000001</v>
      </c>
      <c r="P104">
        <v>-7.2898000000000129E-2</v>
      </c>
      <c r="Q104">
        <v>-0.10934700000000042</v>
      </c>
      <c r="R104">
        <v>-0.14579599999999951</v>
      </c>
      <c r="S104">
        <v>-0.18224499999999996</v>
      </c>
      <c r="T104">
        <v>-0.21988800000000031</v>
      </c>
      <c r="U104">
        <v>-0.25653599999999949</v>
      </c>
      <c r="W104" t="s">
        <v>760</v>
      </c>
      <c r="X104" t="s">
        <v>1509</v>
      </c>
    </row>
    <row r="105" spans="2:24" x14ac:dyDescent="0.25">
      <c r="B105">
        <v>0.57259416666666663</v>
      </c>
      <c r="C105">
        <v>0.76555791666666684</v>
      </c>
      <c r="D105">
        <v>0.95852166666666661</v>
      </c>
      <c r="E105">
        <v>1.1514854166666664</v>
      </c>
      <c r="F105">
        <v>1.3542001666666663</v>
      </c>
      <c r="G105">
        <v>1.5487890833333335</v>
      </c>
      <c r="I105">
        <v>0.44644695454545447</v>
      </c>
      <c r="J105">
        <v>0.59330679545454568</v>
      </c>
      <c r="K105">
        <v>0.74016663636363622</v>
      </c>
      <c r="L105">
        <v>0.90911624999999985</v>
      </c>
      <c r="M105">
        <v>1.1070584999999995</v>
      </c>
      <c r="N105">
        <v>1.2915682499999999</v>
      </c>
      <c r="P105">
        <v>0.39914174999999996</v>
      </c>
      <c r="Q105">
        <v>0.52871262500000016</v>
      </c>
      <c r="R105">
        <v>0.65828349999999991</v>
      </c>
      <c r="S105">
        <v>0.787854375</v>
      </c>
      <c r="T105">
        <v>0.92339524999999989</v>
      </c>
      <c r="U105">
        <v>1.0539611250000003</v>
      </c>
      <c r="W105" t="s">
        <v>765</v>
      </c>
      <c r="X105" t="s">
        <v>1510</v>
      </c>
    </row>
    <row r="106" spans="2:24" x14ac:dyDescent="0.25">
      <c r="B106">
        <v>0</v>
      </c>
      <c r="C106">
        <v>0</v>
      </c>
      <c r="D106">
        <v>0</v>
      </c>
      <c r="E106">
        <v>0</v>
      </c>
      <c r="F106">
        <v>0</v>
      </c>
      <c r="G106">
        <v>0</v>
      </c>
      <c r="I106">
        <v>0</v>
      </c>
      <c r="J106">
        <v>0</v>
      </c>
      <c r="K106">
        <v>0</v>
      </c>
      <c r="L106">
        <v>0</v>
      </c>
      <c r="M106">
        <v>0</v>
      </c>
      <c r="N106">
        <v>0</v>
      </c>
      <c r="P106">
        <v>0</v>
      </c>
      <c r="Q106">
        <v>0</v>
      </c>
      <c r="R106">
        <v>0</v>
      </c>
      <c r="S106">
        <v>0</v>
      </c>
      <c r="T106">
        <v>0</v>
      </c>
      <c r="U106">
        <v>0</v>
      </c>
      <c r="W106" t="s">
        <v>770</v>
      </c>
      <c r="X106" t="s">
        <v>1511</v>
      </c>
    </row>
    <row r="107" spans="2:24" x14ac:dyDescent="0.25">
      <c r="B107">
        <v>0</v>
      </c>
      <c r="C107">
        <v>0</v>
      </c>
      <c r="D107">
        <v>0</v>
      </c>
      <c r="E107">
        <v>0</v>
      </c>
      <c r="F107">
        <v>0</v>
      </c>
      <c r="G107">
        <v>0</v>
      </c>
      <c r="I107">
        <v>0</v>
      </c>
      <c r="J107">
        <v>0</v>
      </c>
      <c r="K107">
        <v>0</v>
      </c>
      <c r="L107">
        <v>0</v>
      </c>
      <c r="M107">
        <v>0</v>
      </c>
      <c r="N107">
        <v>0</v>
      </c>
      <c r="P107">
        <v>0</v>
      </c>
      <c r="Q107">
        <v>0</v>
      </c>
      <c r="R107">
        <v>0</v>
      </c>
      <c r="S107">
        <v>0</v>
      </c>
      <c r="T107">
        <v>0</v>
      </c>
      <c r="U107">
        <v>0</v>
      </c>
      <c r="W107" t="s">
        <v>774</v>
      </c>
      <c r="X107" t="s">
        <v>1512</v>
      </c>
    </row>
    <row r="108" spans="2:24" x14ac:dyDescent="0.25">
      <c r="B108">
        <v>8.7430000000000355E-3</v>
      </c>
      <c r="C108">
        <v>1.3114499999999977E-2</v>
      </c>
      <c r="D108">
        <v>1.7485999999999877E-2</v>
      </c>
      <c r="E108">
        <v>2.1857499999999974E-2</v>
      </c>
      <c r="F108">
        <v>2.6228999999999947E-2</v>
      </c>
      <c r="G108">
        <v>3.0600499999999947E-2</v>
      </c>
      <c r="I108">
        <v>8.7430000000000042E-3</v>
      </c>
      <c r="J108">
        <v>1.3114500000000072E-2</v>
      </c>
      <c r="K108">
        <v>1.7485999999999956E-2</v>
      </c>
      <c r="L108">
        <v>2.1857500000000054E-2</v>
      </c>
      <c r="M108">
        <v>2.6228999999999881E-2</v>
      </c>
      <c r="N108">
        <v>3.0600499999999892E-2</v>
      </c>
      <c r="P108">
        <v>8.7429999999999643E-3</v>
      </c>
      <c r="Q108">
        <v>1.3114500000000168E-2</v>
      </c>
      <c r="R108">
        <v>1.7486000000000116E-2</v>
      </c>
      <c r="S108">
        <v>2.1857500000000068E-2</v>
      </c>
      <c r="T108">
        <v>2.6228999999999975E-2</v>
      </c>
      <c r="U108">
        <v>3.0600500000000117E-2</v>
      </c>
      <c r="W108" t="s">
        <v>778</v>
      </c>
      <c r="X108" t="s">
        <v>1513</v>
      </c>
    </row>
    <row r="109" spans="2:24" x14ac:dyDescent="0.25">
      <c r="B109">
        <v>0</v>
      </c>
      <c r="C109">
        <v>0</v>
      </c>
      <c r="D109">
        <v>0</v>
      </c>
      <c r="E109">
        <v>0</v>
      </c>
      <c r="F109">
        <v>0</v>
      </c>
      <c r="G109">
        <v>0</v>
      </c>
      <c r="I109">
        <v>0</v>
      </c>
      <c r="J109">
        <v>0</v>
      </c>
      <c r="K109">
        <v>0</v>
      </c>
      <c r="L109">
        <v>0</v>
      </c>
      <c r="M109">
        <v>0</v>
      </c>
      <c r="N109">
        <v>0</v>
      </c>
      <c r="P109">
        <v>0</v>
      </c>
      <c r="Q109">
        <v>0</v>
      </c>
      <c r="R109">
        <v>0</v>
      </c>
      <c r="S109">
        <v>0</v>
      </c>
      <c r="T109">
        <v>0</v>
      </c>
      <c r="U109">
        <v>0</v>
      </c>
      <c r="W109" t="s">
        <v>781</v>
      </c>
      <c r="X109" t="s">
        <v>1514</v>
      </c>
    </row>
    <row r="110" spans="2:24" x14ac:dyDescent="0.25">
      <c r="B110">
        <v>0</v>
      </c>
      <c r="C110">
        <v>0</v>
      </c>
      <c r="D110">
        <v>0</v>
      </c>
      <c r="E110">
        <v>0</v>
      </c>
      <c r="F110">
        <v>0</v>
      </c>
      <c r="G110">
        <v>0</v>
      </c>
      <c r="I110">
        <v>0</v>
      </c>
      <c r="J110">
        <v>0</v>
      </c>
      <c r="K110">
        <v>0</v>
      </c>
      <c r="L110">
        <v>0</v>
      </c>
      <c r="M110">
        <v>0</v>
      </c>
      <c r="N110">
        <v>0</v>
      </c>
      <c r="P110">
        <v>0</v>
      </c>
      <c r="Q110">
        <v>0</v>
      </c>
      <c r="R110">
        <v>0</v>
      </c>
      <c r="S110">
        <v>0</v>
      </c>
      <c r="T110">
        <v>0</v>
      </c>
      <c r="U110">
        <v>0</v>
      </c>
      <c r="W110" t="s">
        <v>785</v>
      </c>
      <c r="X110" t="s">
        <v>1515</v>
      </c>
    </row>
    <row r="111" spans="2:24" x14ac:dyDescent="0.25">
      <c r="B111">
        <v>0</v>
      </c>
      <c r="C111">
        <v>0</v>
      </c>
      <c r="D111">
        <v>0</v>
      </c>
      <c r="E111">
        <v>0</v>
      </c>
      <c r="F111">
        <v>0</v>
      </c>
      <c r="G111">
        <v>0</v>
      </c>
      <c r="I111">
        <v>0</v>
      </c>
      <c r="J111">
        <v>0</v>
      </c>
      <c r="K111">
        <v>0</v>
      </c>
      <c r="L111">
        <v>0</v>
      </c>
      <c r="M111">
        <v>0</v>
      </c>
      <c r="N111">
        <v>0</v>
      </c>
      <c r="P111">
        <v>0</v>
      </c>
      <c r="Q111">
        <v>0</v>
      </c>
      <c r="R111">
        <v>0</v>
      </c>
      <c r="S111">
        <v>0</v>
      </c>
      <c r="T111">
        <v>0</v>
      </c>
      <c r="U111">
        <v>0</v>
      </c>
      <c r="W111" t="s">
        <v>788</v>
      </c>
      <c r="X111" s="60" t="s">
        <v>1516</v>
      </c>
    </row>
    <row r="112" spans="2:24" x14ac:dyDescent="0.25">
      <c r="B112">
        <v>1.1966999999999998E-2</v>
      </c>
      <c r="C112">
        <v>1.7950500000000001E-2</v>
      </c>
      <c r="D112">
        <v>2.3933999999999997E-2</v>
      </c>
      <c r="E112">
        <v>2.9917499999999989E-2</v>
      </c>
      <c r="F112">
        <v>3.5900999999999995E-2</v>
      </c>
      <c r="G112">
        <v>4.1884500000000005E-2</v>
      </c>
      <c r="I112">
        <v>1.1966999999999998E-2</v>
      </c>
      <c r="J112">
        <v>1.7950499999999998E-2</v>
      </c>
      <c r="K112">
        <v>2.3933999999999997E-2</v>
      </c>
      <c r="L112">
        <v>2.9917499999999989E-2</v>
      </c>
      <c r="M112">
        <v>3.5900999999999995E-2</v>
      </c>
      <c r="N112">
        <v>4.1884499999999991E-2</v>
      </c>
      <c r="P112">
        <v>1.1966999999999997E-2</v>
      </c>
      <c r="Q112">
        <v>1.7950500000000001E-2</v>
      </c>
      <c r="R112">
        <v>2.3933999999999993E-2</v>
      </c>
      <c r="S112">
        <v>2.9917499999999989E-2</v>
      </c>
      <c r="T112">
        <v>3.5900999999999995E-2</v>
      </c>
      <c r="U112">
        <v>4.1884500000000005E-2</v>
      </c>
      <c r="W112" t="s">
        <v>792</v>
      </c>
      <c r="X112" t="s">
        <v>1519</v>
      </c>
    </row>
    <row r="113" spans="2:27" x14ac:dyDescent="0.25">
      <c r="B113">
        <v>0</v>
      </c>
      <c r="C113">
        <v>0</v>
      </c>
      <c r="D113">
        <v>0</v>
      </c>
      <c r="E113">
        <v>0</v>
      </c>
      <c r="F113">
        <v>0</v>
      </c>
      <c r="G113">
        <v>0</v>
      </c>
      <c r="I113">
        <v>0</v>
      </c>
      <c r="J113">
        <v>0</v>
      </c>
      <c r="K113">
        <v>0</v>
      </c>
      <c r="L113">
        <v>0</v>
      </c>
      <c r="M113">
        <v>0</v>
      </c>
      <c r="N113">
        <v>0</v>
      </c>
      <c r="P113">
        <v>0</v>
      </c>
      <c r="Q113">
        <v>0</v>
      </c>
      <c r="R113">
        <v>0</v>
      </c>
      <c r="S113">
        <v>0</v>
      </c>
      <c r="T113">
        <v>0</v>
      </c>
      <c r="U113">
        <v>0</v>
      </c>
      <c r="W113" t="s">
        <v>795</v>
      </c>
      <c r="X113" t="s">
        <v>1520</v>
      </c>
    </row>
    <row r="114" spans="2:27" x14ac:dyDescent="0.25">
      <c r="B114">
        <v>0</v>
      </c>
      <c r="C114">
        <v>0</v>
      </c>
      <c r="D114">
        <v>0</v>
      </c>
      <c r="E114">
        <v>0</v>
      </c>
      <c r="F114">
        <v>0</v>
      </c>
      <c r="G114">
        <v>0</v>
      </c>
      <c r="I114">
        <v>0</v>
      </c>
      <c r="J114">
        <v>0</v>
      </c>
      <c r="K114">
        <v>0</v>
      </c>
      <c r="L114">
        <v>0</v>
      </c>
      <c r="M114">
        <v>0</v>
      </c>
      <c r="N114">
        <v>0</v>
      </c>
      <c r="P114">
        <v>0</v>
      </c>
      <c r="Q114">
        <v>0</v>
      </c>
      <c r="R114">
        <v>0</v>
      </c>
      <c r="S114">
        <v>0</v>
      </c>
      <c r="T114">
        <v>0</v>
      </c>
      <c r="U114">
        <v>0</v>
      </c>
      <c r="W114" t="s">
        <v>798</v>
      </c>
      <c r="X114" t="s">
        <v>1521</v>
      </c>
    </row>
    <row r="115" spans="2:27" x14ac:dyDescent="0.25">
      <c r="B115">
        <v>0</v>
      </c>
      <c r="C115">
        <v>0</v>
      </c>
      <c r="D115">
        <v>0</v>
      </c>
      <c r="E115">
        <v>0</v>
      </c>
      <c r="F115">
        <v>0</v>
      </c>
      <c r="G115">
        <v>0</v>
      </c>
      <c r="I115">
        <v>0</v>
      </c>
      <c r="J115">
        <v>0</v>
      </c>
      <c r="K115">
        <v>0</v>
      </c>
      <c r="L115">
        <v>0</v>
      </c>
      <c r="M115">
        <v>0</v>
      </c>
      <c r="N115">
        <v>0</v>
      </c>
      <c r="P115">
        <v>0</v>
      </c>
      <c r="Q115">
        <v>0</v>
      </c>
      <c r="R115">
        <v>0</v>
      </c>
      <c r="S115">
        <v>0</v>
      </c>
      <c r="T115">
        <v>0</v>
      </c>
      <c r="U115">
        <v>0</v>
      </c>
      <c r="W115" t="s">
        <v>802</v>
      </c>
      <c r="X115" t="s">
        <v>1523</v>
      </c>
    </row>
    <row r="116" spans="2:27" x14ac:dyDescent="0.25">
      <c r="B116">
        <v>1.1231237595806946E-30</v>
      </c>
      <c r="C116">
        <v>1.4974983461075926E-30</v>
      </c>
      <c r="D116">
        <v>3.8013419555038892E-31</v>
      </c>
      <c r="E116">
        <v>2.2462475191613891E-30</v>
      </c>
      <c r="F116">
        <v>1.7278827070472224E-32</v>
      </c>
      <c r="G116">
        <v>-2.937400601980278E-31</v>
      </c>
      <c r="I116">
        <v>8.0634526328870377E-32</v>
      </c>
      <c r="J116">
        <v>4.6076872187925932E-31</v>
      </c>
      <c r="K116">
        <v>-8.9849900766455557E-31</v>
      </c>
      <c r="L116">
        <v>9.2153744375851864E-31</v>
      </c>
      <c r="M116">
        <v>7.2340689335043714E-30</v>
      </c>
      <c r="N116">
        <v>-1.0127696506906119E-28</v>
      </c>
      <c r="P116">
        <v>-2.7185354590876298E-30</v>
      </c>
      <c r="Q116">
        <v>-8.9849900766455557E-31</v>
      </c>
      <c r="R116">
        <v>-9.0428958054522959E-30</v>
      </c>
      <c r="S116">
        <v>-3.6170344667521857E-30</v>
      </c>
      <c r="T116">
        <v>-1.8430748875170372E-31</v>
      </c>
      <c r="U116">
        <v>0</v>
      </c>
      <c r="W116" t="s">
        <v>805</v>
      </c>
      <c r="X116" t="s">
        <v>1524</v>
      </c>
    </row>
    <row r="117" spans="2:27" x14ac:dyDescent="0.25">
      <c r="B117">
        <v>0</v>
      </c>
      <c r="C117">
        <v>0</v>
      </c>
      <c r="D117">
        <v>0</v>
      </c>
      <c r="E117">
        <v>0</v>
      </c>
      <c r="F117">
        <v>0</v>
      </c>
      <c r="G117">
        <v>0</v>
      </c>
      <c r="I117">
        <v>0</v>
      </c>
      <c r="J117">
        <v>0</v>
      </c>
      <c r="K117">
        <v>0</v>
      </c>
      <c r="L117">
        <v>0</v>
      </c>
      <c r="M117">
        <v>0</v>
      </c>
      <c r="N117">
        <v>0</v>
      </c>
      <c r="P117">
        <v>0</v>
      </c>
      <c r="Q117">
        <v>0</v>
      </c>
      <c r="R117">
        <v>0</v>
      </c>
      <c r="S117">
        <v>0</v>
      </c>
      <c r="T117">
        <v>0</v>
      </c>
      <c r="U117">
        <v>0</v>
      </c>
      <c r="W117" t="s">
        <v>809</v>
      </c>
      <c r="X117" t="s">
        <v>1526</v>
      </c>
    </row>
    <row r="118" spans="2:27" x14ac:dyDescent="0.25">
      <c r="B118">
        <v>0</v>
      </c>
      <c r="C118">
        <v>0</v>
      </c>
      <c r="D118">
        <v>0</v>
      </c>
      <c r="E118">
        <v>0</v>
      </c>
      <c r="F118">
        <v>0</v>
      </c>
      <c r="G118">
        <v>0</v>
      </c>
      <c r="I118">
        <v>0</v>
      </c>
      <c r="J118">
        <v>0</v>
      </c>
      <c r="K118">
        <v>0</v>
      </c>
      <c r="L118">
        <v>0</v>
      </c>
      <c r="M118">
        <v>0</v>
      </c>
      <c r="N118">
        <v>0</v>
      </c>
      <c r="P118">
        <v>0</v>
      </c>
      <c r="Q118">
        <v>0</v>
      </c>
      <c r="R118">
        <v>0</v>
      </c>
      <c r="S118">
        <v>0</v>
      </c>
      <c r="T118">
        <v>0</v>
      </c>
      <c r="U118">
        <v>0</v>
      </c>
      <c r="W118" t="s">
        <v>813</v>
      </c>
      <c r="X118" t="s">
        <v>1528</v>
      </c>
    </row>
    <row r="119" spans="2:27" x14ac:dyDescent="0.25">
      <c r="B119">
        <v>0</v>
      </c>
      <c r="C119">
        <v>0</v>
      </c>
      <c r="D119">
        <v>0</v>
      </c>
      <c r="E119">
        <v>0</v>
      </c>
      <c r="F119">
        <v>0</v>
      </c>
      <c r="G119">
        <v>0</v>
      </c>
      <c r="I119">
        <v>0</v>
      </c>
      <c r="J119">
        <v>0</v>
      </c>
      <c r="K119">
        <v>0</v>
      </c>
      <c r="L119">
        <v>0</v>
      </c>
      <c r="M119">
        <v>0</v>
      </c>
      <c r="N119">
        <v>0</v>
      </c>
      <c r="P119">
        <v>0</v>
      </c>
      <c r="Q119">
        <v>0</v>
      </c>
      <c r="R119">
        <v>0</v>
      </c>
      <c r="S119">
        <v>0</v>
      </c>
      <c r="T119">
        <v>0</v>
      </c>
      <c r="U119">
        <v>0</v>
      </c>
      <c r="W119" t="s">
        <v>816</v>
      </c>
      <c r="X119" t="s">
        <v>1529</v>
      </c>
    </row>
    <row r="120" spans="2:27" x14ac:dyDescent="0.25">
      <c r="B120">
        <v>0</v>
      </c>
      <c r="C120">
        <v>0</v>
      </c>
      <c r="D120">
        <v>0</v>
      </c>
      <c r="E120">
        <v>0</v>
      </c>
      <c r="F120">
        <v>0</v>
      </c>
      <c r="G120">
        <v>0</v>
      </c>
      <c r="I120">
        <v>0</v>
      </c>
      <c r="J120">
        <v>0</v>
      </c>
      <c r="K120">
        <v>0</v>
      </c>
      <c r="L120">
        <v>0</v>
      </c>
      <c r="M120">
        <v>0</v>
      </c>
      <c r="N120">
        <v>0</v>
      </c>
      <c r="P120">
        <v>0</v>
      </c>
      <c r="Q120">
        <v>0</v>
      </c>
      <c r="R120">
        <v>0</v>
      </c>
      <c r="S120">
        <v>0</v>
      </c>
      <c r="T120">
        <v>0</v>
      </c>
      <c r="U120">
        <v>0</v>
      </c>
      <c r="W120" t="s">
        <v>820</v>
      </c>
      <c r="X120" t="s">
        <v>1530</v>
      </c>
    </row>
    <row r="121" spans="2:27" x14ac:dyDescent="0.25">
      <c r="B121">
        <v>0</v>
      </c>
      <c r="C121">
        <v>0</v>
      </c>
      <c r="D121">
        <v>0</v>
      </c>
      <c r="E121">
        <v>0</v>
      </c>
      <c r="F121">
        <v>0</v>
      </c>
      <c r="G121">
        <v>0</v>
      </c>
      <c r="I121">
        <v>0</v>
      </c>
      <c r="J121">
        <v>0</v>
      </c>
      <c r="K121">
        <v>0</v>
      </c>
      <c r="L121">
        <v>0</v>
      </c>
      <c r="M121">
        <v>0</v>
      </c>
      <c r="N121">
        <v>0</v>
      </c>
      <c r="P121">
        <v>0</v>
      </c>
      <c r="Q121">
        <v>0</v>
      </c>
      <c r="R121">
        <v>0</v>
      </c>
      <c r="S121">
        <v>0</v>
      </c>
      <c r="T121">
        <v>0</v>
      </c>
      <c r="U121">
        <v>0</v>
      </c>
      <c r="W121" t="s">
        <v>825</v>
      </c>
      <c r="X121" t="s">
        <v>1531</v>
      </c>
    </row>
    <row r="122" spans="2:27" x14ac:dyDescent="0.25">
      <c r="B122">
        <v>-3.9800000000000002E-4</v>
      </c>
      <c r="C122">
        <v>-5.9700000000000009E-4</v>
      </c>
      <c r="D122">
        <v>-7.9600000000000005E-4</v>
      </c>
      <c r="E122">
        <v>-9.9500000000000001E-4</v>
      </c>
      <c r="F122">
        <v>0</v>
      </c>
      <c r="G122">
        <v>0</v>
      </c>
      <c r="I122">
        <v>-3.9800000000000002E-4</v>
      </c>
      <c r="J122">
        <v>-5.9700000000000009E-4</v>
      </c>
      <c r="K122">
        <v>-7.9600000000000005E-4</v>
      </c>
      <c r="L122">
        <v>-9.9500000000000001E-4</v>
      </c>
      <c r="M122">
        <v>0</v>
      </c>
      <c r="N122">
        <v>0</v>
      </c>
      <c r="P122">
        <v>-3.9800000000000002E-4</v>
      </c>
      <c r="Q122">
        <v>-5.9700000000000009E-4</v>
      </c>
      <c r="R122">
        <v>-7.9600000000000005E-4</v>
      </c>
      <c r="S122">
        <v>-9.9500000000000001E-4</v>
      </c>
      <c r="T122">
        <v>0</v>
      </c>
      <c r="U122">
        <v>0</v>
      </c>
      <c r="W122" t="s">
        <v>829</v>
      </c>
      <c r="X122" t="s">
        <v>1537</v>
      </c>
    </row>
    <row r="123" spans="2:27" x14ac:dyDescent="0.25">
      <c r="B123">
        <v>0</v>
      </c>
      <c r="C123">
        <v>0</v>
      </c>
      <c r="D123">
        <v>0</v>
      </c>
      <c r="E123">
        <v>0</v>
      </c>
      <c r="F123">
        <v>0</v>
      </c>
      <c r="G123">
        <v>0</v>
      </c>
      <c r="I123">
        <v>0</v>
      </c>
      <c r="J123">
        <v>0</v>
      </c>
      <c r="K123">
        <v>0</v>
      </c>
      <c r="L123">
        <v>0</v>
      </c>
      <c r="M123">
        <v>0</v>
      </c>
      <c r="N123">
        <v>0</v>
      </c>
      <c r="P123">
        <v>0</v>
      </c>
      <c r="Q123">
        <v>0</v>
      </c>
      <c r="R123">
        <v>0</v>
      </c>
      <c r="S123">
        <v>0</v>
      </c>
      <c r="T123">
        <v>0</v>
      </c>
      <c r="U123">
        <v>0</v>
      </c>
      <c r="W123" t="s">
        <v>832</v>
      </c>
      <c r="X123" t="s">
        <v>1538</v>
      </c>
    </row>
    <row r="124" spans="2:27" x14ac:dyDescent="0.25">
      <c r="B124">
        <v>0</v>
      </c>
      <c r="C124">
        <v>0</v>
      </c>
      <c r="D124">
        <v>0</v>
      </c>
      <c r="E124">
        <v>0</v>
      </c>
      <c r="F124">
        <v>0</v>
      </c>
      <c r="G124">
        <v>0</v>
      </c>
      <c r="I124">
        <v>0</v>
      </c>
      <c r="J124">
        <v>0</v>
      </c>
      <c r="K124">
        <v>0</v>
      </c>
      <c r="L124">
        <v>0</v>
      </c>
      <c r="M124">
        <v>0</v>
      </c>
      <c r="N124">
        <v>0</v>
      </c>
      <c r="P124">
        <v>0</v>
      </c>
      <c r="Q124">
        <v>0</v>
      </c>
      <c r="R124">
        <v>0</v>
      </c>
      <c r="S124">
        <v>0</v>
      </c>
      <c r="T124">
        <v>0</v>
      </c>
      <c r="U124">
        <v>0</v>
      </c>
      <c r="W124" t="s">
        <v>837</v>
      </c>
      <c r="X124" t="s">
        <v>1539</v>
      </c>
    </row>
    <row r="125" spans="2:27" x14ac:dyDescent="0.25">
      <c r="B125">
        <v>0.24849783333333333</v>
      </c>
      <c r="C125">
        <v>0.32608008333333349</v>
      </c>
      <c r="D125">
        <v>0.40366233333333346</v>
      </c>
      <c r="E125">
        <v>0.48124458333333325</v>
      </c>
      <c r="F125">
        <v>0.56161283333333334</v>
      </c>
      <c r="G125">
        <v>0.6396594166666667</v>
      </c>
      <c r="I125">
        <v>0.18542422727272723</v>
      </c>
      <c r="J125">
        <v>0.23995452272727275</v>
      </c>
      <c r="K125">
        <v>0.29448481818181815</v>
      </c>
      <c r="L125">
        <v>0.36005999999999994</v>
      </c>
      <c r="M125">
        <v>0.43804199999999988</v>
      </c>
      <c r="N125">
        <v>0.51104899999999986</v>
      </c>
      <c r="P125">
        <v>0.161771625</v>
      </c>
      <c r="Q125">
        <v>0.20765743750000004</v>
      </c>
      <c r="R125">
        <v>0.25354325</v>
      </c>
      <c r="S125">
        <v>0.29942906249999995</v>
      </c>
      <c r="T125">
        <v>0.34621037500000001</v>
      </c>
      <c r="U125">
        <v>0.39224543750000024</v>
      </c>
      <c r="W125" t="s">
        <v>840</v>
      </c>
      <c r="X125" t="s">
        <v>1540</v>
      </c>
    </row>
    <row r="126" spans="2:27" x14ac:dyDescent="0.25">
      <c r="B126">
        <v>6.7270000000000003E-3</v>
      </c>
      <c r="C126">
        <v>1.0090500000000001E-2</v>
      </c>
      <c r="D126">
        <v>1.3454000000000001E-2</v>
      </c>
      <c r="E126">
        <v>1.6817499999999999E-2</v>
      </c>
      <c r="F126">
        <v>2.0180999999999998E-2</v>
      </c>
      <c r="G126">
        <v>2.3544499999999999E-2</v>
      </c>
      <c r="I126">
        <v>6.7270000000000003E-3</v>
      </c>
      <c r="J126">
        <v>1.0090500000000001E-2</v>
      </c>
      <c r="K126">
        <v>1.3454000000000001E-2</v>
      </c>
      <c r="L126">
        <v>1.6817499999999999E-2</v>
      </c>
      <c r="M126">
        <v>2.0180999999999998E-2</v>
      </c>
      <c r="N126">
        <v>2.3544499999999999E-2</v>
      </c>
      <c r="P126">
        <v>6.7270000000000003E-3</v>
      </c>
      <c r="Q126">
        <v>1.0090500000000001E-2</v>
      </c>
      <c r="R126">
        <v>1.3454000000000001E-2</v>
      </c>
      <c r="S126">
        <v>1.6817499999999999E-2</v>
      </c>
      <c r="T126">
        <v>2.0180999999999998E-2</v>
      </c>
      <c r="U126">
        <v>2.3544499999999999E-2</v>
      </c>
      <c r="W126" t="s">
        <v>844</v>
      </c>
      <c r="X126" t="s">
        <v>1542</v>
      </c>
    </row>
    <row r="127" spans="2:27" x14ac:dyDescent="0.25">
      <c r="B127">
        <v>1.7027E-2</v>
      </c>
      <c r="C127">
        <v>2.5540500000000004E-2</v>
      </c>
      <c r="D127">
        <v>3.4054000000000001E-2</v>
      </c>
      <c r="E127">
        <v>4.2567500000000001E-2</v>
      </c>
      <c r="F127">
        <v>5.1081000000000001E-2</v>
      </c>
      <c r="G127">
        <v>5.9594500000000009E-2</v>
      </c>
      <c r="I127">
        <v>1.7027E-2</v>
      </c>
      <c r="J127">
        <v>2.5540500000000004E-2</v>
      </c>
      <c r="K127">
        <v>3.4054000000000001E-2</v>
      </c>
      <c r="L127">
        <v>4.2567500000000001E-2</v>
      </c>
      <c r="M127">
        <v>5.1081000000000001E-2</v>
      </c>
      <c r="N127">
        <v>5.9594500000000009E-2</v>
      </c>
      <c r="P127">
        <v>1.7027E-2</v>
      </c>
      <c r="Q127">
        <v>2.5540500000000004E-2</v>
      </c>
      <c r="R127">
        <v>3.4054000000000001E-2</v>
      </c>
      <c r="S127">
        <v>4.2567500000000001E-2</v>
      </c>
      <c r="T127">
        <v>5.1081000000000001E-2</v>
      </c>
      <c r="U127">
        <v>5.9594500000000009E-2</v>
      </c>
      <c r="W127" t="s">
        <v>847</v>
      </c>
      <c r="X127" t="s">
        <v>1544</v>
      </c>
    </row>
    <row r="128" spans="2:27" x14ac:dyDescent="0.25">
      <c r="B128">
        <v>0.1</v>
      </c>
      <c r="C128">
        <v>0.15000000000000002</v>
      </c>
      <c r="D128">
        <v>0.2</v>
      </c>
      <c r="E128">
        <v>0.25</v>
      </c>
      <c r="F128">
        <v>0.3</v>
      </c>
      <c r="G128">
        <v>0.35000000000000003</v>
      </c>
      <c r="I128">
        <v>0.1</v>
      </c>
      <c r="J128">
        <v>0.15000000000000002</v>
      </c>
      <c r="K128">
        <v>0.2</v>
      </c>
      <c r="L128">
        <v>0.25</v>
      </c>
      <c r="M128">
        <v>0.3</v>
      </c>
      <c r="N128">
        <v>0.35000000000000003</v>
      </c>
      <c r="P128" s="30">
        <v>0.1</v>
      </c>
      <c r="Q128" s="30">
        <v>0.15000000000000002</v>
      </c>
      <c r="R128" s="30">
        <v>0.2</v>
      </c>
      <c r="S128" s="30">
        <v>0.25</v>
      </c>
      <c r="T128" s="30">
        <v>0.3</v>
      </c>
      <c r="U128" s="30">
        <v>0.35000000000000003</v>
      </c>
      <c r="W128" s="30" t="s">
        <v>850</v>
      </c>
      <c r="X128" s="91" t="s">
        <v>1613</v>
      </c>
      <c r="Y128" s="30"/>
      <c r="Z128" s="30"/>
      <c r="AA128" s="30"/>
    </row>
    <row r="129" spans="2:27" x14ac:dyDescent="0.25">
      <c r="B129">
        <v>-3.1650457266666661</v>
      </c>
      <c r="C129">
        <v>-4.3350352566666679</v>
      </c>
      <c r="D129">
        <v>-5.5050247866666666</v>
      </c>
      <c r="E129">
        <v>-6.6750143166666653</v>
      </c>
      <c r="F129">
        <v>-7.9166279266666653</v>
      </c>
      <c r="G129">
        <v>-9.0985548033333341</v>
      </c>
      <c r="I129">
        <v>-2.6074750490909091</v>
      </c>
      <c r="J129">
        <v>-3.5736853009090925</v>
      </c>
      <c r="K129">
        <v>-4.5398955527272724</v>
      </c>
      <c r="L129">
        <v>-5.6037425999999986</v>
      </c>
      <c r="M129">
        <v>-6.8242617599999971</v>
      </c>
      <c r="N129">
        <v>-7.9616387199999998</v>
      </c>
      <c r="P129">
        <v>-2.3983860449999996</v>
      </c>
      <c r="Q129">
        <v>-3.2881790675000007</v>
      </c>
      <c r="R129">
        <v>-4.1779720899999999</v>
      </c>
      <c r="S129">
        <v>-5.0677651124999992</v>
      </c>
      <c r="T129">
        <v>-6.0124701949999997</v>
      </c>
      <c r="U129">
        <v>-6.9114152275</v>
      </c>
      <c r="W129" t="s">
        <v>292</v>
      </c>
      <c r="X129" t="s">
        <v>1551</v>
      </c>
    </row>
    <row r="130" spans="2:27" x14ac:dyDescent="0.25">
      <c r="B130">
        <v>-9.8256185266666645</v>
      </c>
      <c r="C130">
        <v>-13.429894456666668</v>
      </c>
      <c r="D130">
        <v>-17.034170386666666</v>
      </c>
      <c r="E130">
        <v>-20.638446316666663</v>
      </c>
      <c r="F130">
        <v>-24.459536726666659</v>
      </c>
      <c r="G130">
        <v>-28.099948403333336</v>
      </c>
      <c r="I130">
        <v>-8.0570346127272714</v>
      </c>
      <c r="J130">
        <v>-11.014933737272733</v>
      </c>
      <c r="K130">
        <v>-13.97283286181818</v>
      </c>
      <c r="L130">
        <v>-17.240430599999993</v>
      </c>
      <c r="M130">
        <v>-20.994610559999995</v>
      </c>
      <c r="N130">
        <v>-24.493712319999997</v>
      </c>
      <c r="P130">
        <v>-7.3938156449999992</v>
      </c>
      <c r="Q130">
        <v>-10.109323467500001</v>
      </c>
      <c r="R130">
        <v>-12.824831289999999</v>
      </c>
      <c r="S130">
        <v>-15.540339112499996</v>
      </c>
      <c r="T130">
        <v>-18.419651795000004</v>
      </c>
      <c r="U130">
        <v>-21.162460427500001</v>
      </c>
      <c r="W130" t="s">
        <v>293</v>
      </c>
      <c r="X130" t="s">
        <v>1553</v>
      </c>
    </row>
    <row r="131" spans="2:27" x14ac:dyDescent="0.25">
      <c r="B131">
        <v>0.28826349589632899</v>
      </c>
      <c r="C131">
        <v>0.31666240638447707</v>
      </c>
      <c r="D131">
        <v>0.33306891362357333</v>
      </c>
      <c r="E131">
        <v>0.34375503099811</v>
      </c>
      <c r="F131">
        <v>0.34818544124477074</v>
      </c>
      <c r="G131">
        <v>0.35365827062284522</v>
      </c>
      <c r="I131">
        <v>0.35232205053995763</v>
      </c>
      <c r="J131">
        <v>0.38703183002547187</v>
      </c>
      <c r="K131">
        <v>0.4070842277621452</v>
      </c>
      <c r="L131">
        <v>0.41248850188301012</v>
      </c>
      <c r="M131">
        <v>0.40648258425367778</v>
      </c>
      <c r="N131">
        <v>0.40648258425367773</v>
      </c>
      <c r="P131">
        <v>0.3843513278617719</v>
      </c>
      <c r="Q131">
        <v>0.42221654184596941</v>
      </c>
      <c r="R131">
        <v>0.44409188483143108</v>
      </c>
      <c r="S131">
        <v>0.4583400413308133</v>
      </c>
      <c r="T131">
        <v>0.46424725499302755</v>
      </c>
      <c r="U131">
        <v>0.47154436083046031</v>
      </c>
      <c r="W131" s="30" t="s">
        <v>1614</v>
      </c>
      <c r="X131" s="30"/>
      <c r="Y131" s="30"/>
      <c r="Z131" s="30"/>
      <c r="AA131" s="30"/>
    </row>
    <row r="132" spans="2:27" x14ac:dyDescent="0.25">
      <c r="B132">
        <v>1.6505799621317856</v>
      </c>
      <c r="C132">
        <v>1.6161560807890243</v>
      </c>
      <c r="D132">
        <v>1.5962688510066176</v>
      </c>
      <c r="E132">
        <v>1.5833156204004859</v>
      </c>
      <c r="F132">
        <v>1.5717092752152511</v>
      </c>
      <c r="G132">
        <v>1.5649773393463098</v>
      </c>
      <c r="I132">
        <v>1.5729310648277377</v>
      </c>
      <c r="J132">
        <v>1.530857432075474</v>
      </c>
      <c r="K132">
        <v>1.5065508178969769</v>
      </c>
      <c r="L132">
        <v>1.5000000000000002</v>
      </c>
      <c r="M132">
        <v>1.4999999999999998</v>
      </c>
      <c r="N132">
        <v>1.5</v>
      </c>
      <c r="P132">
        <v>1.5341066161757138</v>
      </c>
      <c r="Q132">
        <v>1.488208107718699</v>
      </c>
      <c r="R132">
        <v>1.4616918013421565</v>
      </c>
      <c r="S132">
        <v>1.4444208272006485</v>
      </c>
      <c r="T132">
        <v>1.4289457002870012</v>
      </c>
      <c r="U132">
        <v>1.4199697857950799</v>
      </c>
      <c r="W132" t="s">
        <v>1615</v>
      </c>
    </row>
    <row r="133" spans="2:27" x14ac:dyDescent="0.25">
      <c r="B133">
        <v>0.71632854159329973</v>
      </c>
      <c r="C133">
        <v>0.68838202574922791</v>
      </c>
      <c r="D133">
        <v>0.67223687417045053</v>
      </c>
      <c r="E133">
        <v>0.66172098664569001</v>
      </c>
      <c r="F133">
        <v>0.65181804060964188</v>
      </c>
      <c r="G133">
        <v>0.64634526595986086</v>
      </c>
      <c r="I133">
        <v>0.65329043972514389</v>
      </c>
      <c r="J133">
        <v>0.61913358702683363</v>
      </c>
      <c r="K133">
        <v>0.59940062398610583</v>
      </c>
      <c r="L133">
        <v>0.5940824399519864</v>
      </c>
      <c r="M133">
        <v>0.59352148057216492</v>
      </c>
      <c r="N133">
        <v>0.59352148057216481</v>
      </c>
      <c r="P133">
        <v>0.62177138879106619</v>
      </c>
      <c r="Q133">
        <v>0.58450936766563688</v>
      </c>
      <c r="R133">
        <v>0.5629824988939337</v>
      </c>
      <c r="S133">
        <v>0.54896131552758665</v>
      </c>
      <c r="T133">
        <v>0.5357573874795224</v>
      </c>
      <c r="U133">
        <v>0.52846035461314822</v>
      </c>
      <c r="W133" t="s">
        <v>1616</v>
      </c>
    </row>
    <row r="134" spans="2:27" x14ac:dyDescent="0.25">
      <c r="B134">
        <v>-9.1236714584067009</v>
      </c>
      <c r="C134">
        <v>-9.1516179742507742</v>
      </c>
      <c r="D134">
        <v>-9.1677631258295502</v>
      </c>
      <c r="E134">
        <v>-9.1782790133543095</v>
      </c>
      <c r="F134">
        <v>-9.1881819593903575</v>
      </c>
      <c r="G134">
        <v>-9.1936547340401376</v>
      </c>
      <c r="I134">
        <v>-9.1867095602748563</v>
      </c>
      <c r="J134">
        <v>-9.2208664129731659</v>
      </c>
      <c r="K134">
        <v>-9.2405993760138951</v>
      </c>
      <c r="L134">
        <v>-9.2459175600480137</v>
      </c>
      <c r="M134">
        <v>-9.2464785194278338</v>
      </c>
      <c r="N134">
        <v>-9.2464785194278356</v>
      </c>
      <c r="P134">
        <v>-9.2182286112089322</v>
      </c>
      <c r="Q134">
        <v>-9.2554906323343626</v>
      </c>
      <c r="R134">
        <v>-9.2770175011060658</v>
      </c>
      <c r="S134">
        <v>-9.2910386844724133</v>
      </c>
      <c r="T134">
        <v>-9.3042426125204774</v>
      </c>
      <c r="U134">
        <v>-9.3115396453868513</v>
      </c>
      <c r="W134" t="s">
        <v>1617</v>
      </c>
    </row>
    <row r="135" spans="2:27" x14ac:dyDescent="0.25">
      <c r="B135">
        <v>6.4751116252191823E-30</v>
      </c>
      <c r="C135">
        <v>6.3226857311360624E-30</v>
      </c>
      <c r="D135">
        <v>1.2661088354313902E-30</v>
      </c>
      <c r="E135">
        <v>6.1772710846300079E-30</v>
      </c>
      <c r="F135">
        <v>4.0108240184829736E-32</v>
      </c>
      <c r="G135">
        <v>-5.9362058115591399E-31</v>
      </c>
      <c r="I135">
        <v>5.6818643321011624E-31</v>
      </c>
      <c r="J135">
        <v>2.3777621552990319E-30</v>
      </c>
      <c r="K135">
        <v>-3.6576477468017937E-30</v>
      </c>
      <c r="L135">
        <v>3.0409887968404004E-30</v>
      </c>
      <c r="M135">
        <v>1.9603486898400691E-29</v>
      </c>
      <c r="N135">
        <v>-2.3524184278080824E-28</v>
      </c>
      <c r="P135">
        <v>-2.0897454270792843E-29</v>
      </c>
      <c r="Q135">
        <v>-5.0581485849088499E-30</v>
      </c>
      <c r="R135">
        <v>-4.0158766425775521E-29</v>
      </c>
      <c r="S135">
        <v>-1.3262653815889386E-29</v>
      </c>
      <c r="T135">
        <v>-5.704283048509117E-31</v>
      </c>
      <c r="U135">
        <v>0</v>
      </c>
      <c r="W135" t="s">
        <v>1618</v>
      </c>
    </row>
    <row r="136" spans="2:27" x14ac:dyDescent="0.25">
      <c r="B136">
        <v>0</v>
      </c>
      <c r="C136">
        <v>0</v>
      </c>
      <c r="D136">
        <v>0</v>
      </c>
      <c r="E136">
        <v>0</v>
      </c>
      <c r="F136">
        <v>0</v>
      </c>
      <c r="G136">
        <v>0</v>
      </c>
      <c r="I136">
        <v>0</v>
      </c>
      <c r="J136">
        <v>0</v>
      </c>
      <c r="K136">
        <v>0</v>
      </c>
      <c r="L136">
        <v>0</v>
      </c>
      <c r="M136">
        <v>0</v>
      </c>
      <c r="N136">
        <v>0</v>
      </c>
      <c r="P136">
        <v>0</v>
      </c>
      <c r="Q136">
        <v>0</v>
      </c>
      <c r="R136">
        <v>0</v>
      </c>
      <c r="S136">
        <v>0</v>
      </c>
      <c r="T136">
        <v>0</v>
      </c>
      <c r="U136">
        <v>0</v>
      </c>
      <c r="W136" t="s">
        <v>1619</v>
      </c>
    </row>
    <row r="137" spans="2:27" x14ac:dyDescent="0.25">
      <c r="B137">
        <v>0</v>
      </c>
      <c r="C137">
        <v>0</v>
      </c>
      <c r="D137">
        <v>0</v>
      </c>
      <c r="E137">
        <v>0</v>
      </c>
      <c r="F137">
        <v>0</v>
      </c>
      <c r="G137">
        <v>0</v>
      </c>
      <c r="I137">
        <v>0</v>
      </c>
      <c r="J137">
        <v>0</v>
      </c>
      <c r="K137">
        <v>0</v>
      </c>
      <c r="L137">
        <v>0</v>
      </c>
      <c r="M137">
        <v>0</v>
      </c>
      <c r="N137">
        <v>0</v>
      </c>
      <c r="P137">
        <v>0</v>
      </c>
      <c r="Q137">
        <v>0</v>
      </c>
      <c r="R137">
        <v>0</v>
      </c>
      <c r="S137">
        <v>0</v>
      </c>
      <c r="T137">
        <v>0</v>
      </c>
      <c r="U137">
        <v>0</v>
      </c>
      <c r="W137" t="s">
        <v>1620</v>
      </c>
    </row>
    <row r="138" spans="2:27" x14ac:dyDescent="0.25">
      <c r="B138">
        <v>0</v>
      </c>
      <c r="C138">
        <v>0</v>
      </c>
      <c r="D138">
        <v>0</v>
      </c>
      <c r="E138">
        <v>0</v>
      </c>
      <c r="F138">
        <v>0</v>
      </c>
      <c r="G138">
        <v>0</v>
      </c>
      <c r="I138">
        <v>0</v>
      </c>
      <c r="J138">
        <v>0</v>
      </c>
      <c r="K138">
        <v>0</v>
      </c>
      <c r="L138">
        <v>0</v>
      </c>
      <c r="M138">
        <v>0</v>
      </c>
      <c r="N138">
        <v>0</v>
      </c>
      <c r="P138">
        <v>0</v>
      </c>
      <c r="Q138">
        <v>0</v>
      </c>
      <c r="R138">
        <v>0</v>
      </c>
      <c r="S138">
        <v>0</v>
      </c>
      <c r="T138">
        <v>0</v>
      </c>
      <c r="U138">
        <v>0</v>
      </c>
      <c r="W138" t="s">
        <v>1621</v>
      </c>
    </row>
    <row r="139" spans="2:27" x14ac:dyDescent="0.25">
      <c r="B139">
        <v>0</v>
      </c>
      <c r="C139">
        <v>0</v>
      </c>
      <c r="D139">
        <v>0</v>
      </c>
      <c r="E139">
        <v>0</v>
      </c>
      <c r="F139">
        <v>0</v>
      </c>
      <c r="G139">
        <v>0</v>
      </c>
      <c r="I139">
        <v>0</v>
      </c>
      <c r="J139">
        <v>0</v>
      </c>
      <c r="K139">
        <v>0</v>
      </c>
      <c r="L139">
        <v>0</v>
      </c>
      <c r="M139">
        <v>0</v>
      </c>
      <c r="N139">
        <v>0</v>
      </c>
      <c r="P139">
        <v>0</v>
      </c>
      <c r="Q139">
        <v>0</v>
      </c>
      <c r="R139">
        <v>0</v>
      </c>
      <c r="S139">
        <v>0</v>
      </c>
      <c r="T139">
        <v>0</v>
      </c>
      <c r="U139">
        <v>0</v>
      </c>
      <c r="W139" t="s">
        <v>1622</v>
      </c>
    </row>
    <row r="140" spans="2:27" x14ac:dyDescent="0.25">
      <c r="B140">
        <v>0</v>
      </c>
      <c r="C140">
        <v>0</v>
      </c>
      <c r="D140">
        <v>0</v>
      </c>
      <c r="E140">
        <v>0</v>
      </c>
      <c r="F140">
        <v>0</v>
      </c>
      <c r="G140">
        <v>0</v>
      </c>
      <c r="I140">
        <v>0</v>
      </c>
      <c r="J140">
        <v>0</v>
      </c>
      <c r="K140">
        <v>0</v>
      </c>
      <c r="L140">
        <v>0</v>
      </c>
      <c r="M140">
        <v>0</v>
      </c>
      <c r="N140">
        <v>0</v>
      </c>
      <c r="P140">
        <v>0</v>
      </c>
      <c r="Q140">
        <v>0</v>
      </c>
      <c r="R140">
        <v>0</v>
      </c>
      <c r="S140">
        <v>0</v>
      </c>
      <c r="T140">
        <v>0</v>
      </c>
      <c r="U140">
        <v>0</v>
      </c>
      <c r="W140" t="s">
        <v>1623</v>
      </c>
    </row>
    <row r="141" spans="2:27" x14ac:dyDescent="0.25">
      <c r="B141">
        <v>0</v>
      </c>
      <c r="C141">
        <v>0</v>
      </c>
      <c r="D141">
        <v>0</v>
      </c>
      <c r="E141">
        <v>0</v>
      </c>
      <c r="F141">
        <v>0</v>
      </c>
      <c r="G141">
        <v>0</v>
      </c>
      <c r="I141">
        <v>0</v>
      </c>
      <c r="J141">
        <v>0</v>
      </c>
      <c r="K141">
        <v>0</v>
      </c>
      <c r="L141">
        <v>0</v>
      </c>
      <c r="M141">
        <v>0</v>
      </c>
      <c r="N141">
        <v>0</v>
      </c>
      <c r="P141">
        <v>0</v>
      </c>
      <c r="Q141">
        <v>0</v>
      </c>
      <c r="R141">
        <v>0</v>
      </c>
      <c r="S141">
        <v>0</v>
      </c>
      <c r="T141">
        <v>0</v>
      </c>
      <c r="U141">
        <v>0</v>
      </c>
      <c r="W141" t="s">
        <v>1624</v>
      </c>
    </row>
    <row r="142" spans="2:27" x14ac:dyDescent="0.25">
      <c r="B142">
        <v>0</v>
      </c>
      <c r="C142">
        <v>0</v>
      </c>
      <c r="D142">
        <v>0</v>
      </c>
      <c r="E142">
        <v>0</v>
      </c>
      <c r="F142">
        <v>0</v>
      </c>
      <c r="G142">
        <v>0</v>
      </c>
      <c r="I142">
        <v>0</v>
      </c>
      <c r="J142">
        <v>0</v>
      </c>
      <c r="K142">
        <v>0</v>
      </c>
      <c r="L142">
        <v>0</v>
      </c>
      <c r="M142">
        <v>0</v>
      </c>
      <c r="N142">
        <v>0</v>
      </c>
      <c r="P142">
        <v>0</v>
      </c>
      <c r="Q142">
        <v>0</v>
      </c>
      <c r="R142">
        <v>0</v>
      </c>
      <c r="S142">
        <v>0</v>
      </c>
      <c r="T142">
        <v>0</v>
      </c>
      <c r="U142">
        <v>0</v>
      </c>
      <c r="W142" t="s">
        <v>1625</v>
      </c>
    </row>
    <row r="143" spans="2:27" x14ac:dyDescent="0.25">
      <c r="B143">
        <v>0</v>
      </c>
      <c r="C143">
        <v>0</v>
      </c>
      <c r="D143">
        <v>0</v>
      </c>
      <c r="E143">
        <v>0</v>
      </c>
      <c r="F143">
        <v>0</v>
      </c>
      <c r="G143">
        <v>0</v>
      </c>
      <c r="I143">
        <v>0</v>
      </c>
      <c r="J143">
        <v>0</v>
      </c>
      <c r="K143">
        <v>0</v>
      </c>
      <c r="L143">
        <v>0</v>
      </c>
      <c r="M143">
        <v>0</v>
      </c>
      <c r="N143">
        <v>0</v>
      </c>
      <c r="P143">
        <v>0</v>
      </c>
      <c r="Q143">
        <v>0</v>
      </c>
      <c r="R143">
        <v>0</v>
      </c>
      <c r="S143">
        <v>0</v>
      </c>
      <c r="T143">
        <v>0</v>
      </c>
      <c r="U143">
        <v>0</v>
      </c>
      <c r="W143" t="s">
        <v>1626</v>
      </c>
    </row>
    <row r="144" spans="2:27" x14ac:dyDescent="0.25">
      <c r="B144">
        <v>6.4751116252191823E-30</v>
      </c>
      <c r="C144">
        <v>6.3226857311360624E-30</v>
      </c>
      <c r="D144">
        <v>1.2661088354313902E-30</v>
      </c>
      <c r="E144">
        <v>6.1772710846300079E-30</v>
      </c>
      <c r="F144">
        <v>4.0108240184829736E-32</v>
      </c>
      <c r="G144">
        <v>-5.9362058115591399E-31</v>
      </c>
      <c r="I144">
        <v>5.6818643321011624E-31</v>
      </c>
      <c r="J144">
        <v>2.3777621552990319E-30</v>
      </c>
      <c r="K144">
        <v>-3.6576477468017937E-30</v>
      </c>
      <c r="L144">
        <v>3.0409887968404004E-30</v>
      </c>
      <c r="M144">
        <v>1.9603486898400691E-29</v>
      </c>
      <c r="N144">
        <v>-2.3524184278080824E-28</v>
      </c>
      <c r="P144">
        <v>-2.0897454270792843E-29</v>
      </c>
      <c r="Q144">
        <v>-5.0581485849088499E-30</v>
      </c>
      <c r="R144">
        <v>-4.0158766425775521E-29</v>
      </c>
      <c r="S144">
        <v>-1.3262653815889386E-29</v>
      </c>
      <c r="T144">
        <v>-5.704283048509117E-31</v>
      </c>
      <c r="U144">
        <v>0</v>
      </c>
      <c r="W144" t="s">
        <v>1627</v>
      </c>
    </row>
    <row r="145" spans="2:24" x14ac:dyDescent="0.25">
      <c r="B145">
        <v>-4.5891548546695572E-3</v>
      </c>
      <c r="C145">
        <v>-5.0412655096408751E-3</v>
      </c>
      <c r="D145">
        <v>-5.3024571048872872E-3</v>
      </c>
      <c r="E145">
        <v>-5.4725800934899106E-3</v>
      </c>
      <c r="F145">
        <v>0</v>
      </c>
      <c r="G145">
        <v>0</v>
      </c>
      <c r="I145">
        <v>-5.6089670445961248E-3</v>
      </c>
      <c r="J145">
        <v>-6.1615467340055121E-3</v>
      </c>
      <c r="K145">
        <v>-6.4807809059733512E-3</v>
      </c>
      <c r="L145">
        <v>-6.5668169499775216E-3</v>
      </c>
      <c r="M145">
        <v>0</v>
      </c>
      <c r="N145">
        <v>0</v>
      </c>
      <c r="P145">
        <v>-6.1188731395594087E-3</v>
      </c>
      <c r="Q145">
        <v>-6.7216873461878332E-3</v>
      </c>
      <c r="R145">
        <v>-7.0699428065163833E-3</v>
      </c>
      <c r="S145">
        <v>-7.2967734579865483E-3</v>
      </c>
      <c r="T145">
        <v>0</v>
      </c>
      <c r="U145">
        <v>0</v>
      </c>
      <c r="W145" t="s">
        <v>1628</v>
      </c>
    </row>
    <row r="146" spans="2:24" x14ac:dyDescent="0.25">
      <c r="B146">
        <f>B131*24.6/16</f>
        <v>0.44320512494060588</v>
      </c>
      <c r="C146">
        <f t="shared" ref="C146:G146" si="0">C131*24.6/16</f>
        <v>0.48686844981613353</v>
      </c>
      <c r="D146">
        <f t="shared" si="0"/>
        <v>0.51209345469624401</v>
      </c>
      <c r="E146">
        <f t="shared" si="0"/>
        <v>0.52852336015959411</v>
      </c>
      <c r="F146">
        <f t="shared" si="0"/>
        <v>0.53533511591383509</v>
      </c>
      <c r="G146">
        <f t="shared" si="0"/>
        <v>0.54374959108262455</v>
      </c>
      <c r="I146">
        <f>I131*24.6/16</f>
        <v>0.54169515270518487</v>
      </c>
      <c r="J146">
        <f t="shared" ref="J146:N146" si="1">J131*24.6/16</f>
        <v>0.59506143866416306</v>
      </c>
      <c r="K146">
        <f t="shared" si="1"/>
        <v>0.62589200018429825</v>
      </c>
      <c r="L146">
        <f t="shared" si="1"/>
        <v>0.63420107164512807</v>
      </c>
      <c r="M146">
        <f t="shared" si="1"/>
        <v>0.62496697329002959</v>
      </c>
      <c r="N146">
        <f t="shared" si="1"/>
        <v>0.62496697329002959</v>
      </c>
      <c r="P146" s="30">
        <f>P131*24.6/16</f>
        <v>0.59094016658747428</v>
      </c>
      <c r="Q146" s="30">
        <f t="shared" ref="Q146:U146" si="2">Q131*24.6/16</f>
        <v>0.64915793308817804</v>
      </c>
      <c r="R146" s="30">
        <f t="shared" si="2"/>
        <v>0.68279127292832531</v>
      </c>
      <c r="S146" s="30">
        <f t="shared" si="2"/>
        <v>0.70469781354612548</v>
      </c>
      <c r="T146" s="30">
        <f t="shared" si="2"/>
        <v>0.7137801545517799</v>
      </c>
      <c r="U146" s="30">
        <f t="shared" si="2"/>
        <v>0.72499945477683281</v>
      </c>
      <c r="W146" t="s">
        <v>1629</v>
      </c>
    </row>
    <row r="151" spans="2:24" x14ac:dyDescent="0.25">
      <c r="X151" s="60"/>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4462-2891-4A97-8C75-C83371F84271}">
  <sheetPr codeName="Sheet8"/>
  <dimension ref="B1:R98"/>
  <sheetViews>
    <sheetView workbookViewId="0">
      <selection sqref="A1:A1048576"/>
    </sheetView>
  </sheetViews>
  <sheetFormatPr defaultRowHeight="15" x14ac:dyDescent="0.25"/>
  <cols>
    <col min="1" max="1" width="12.85546875" customWidth="1"/>
    <col min="2" max="2" width="39.42578125" customWidth="1"/>
    <col min="3" max="3" width="34.7109375" customWidth="1"/>
    <col min="4" max="5" width="28" customWidth="1"/>
    <col min="6" max="8" width="35.5703125" customWidth="1"/>
    <col min="9" max="10" width="40.42578125" customWidth="1"/>
    <col min="11" max="11" width="26.85546875" customWidth="1"/>
    <col min="12" max="12" width="20.85546875" customWidth="1"/>
    <col min="13" max="13" width="36.5703125" customWidth="1"/>
    <col min="16" max="16" width="33" customWidth="1"/>
    <col min="17" max="17" width="21.85546875" customWidth="1"/>
    <col min="18" max="18" width="29.140625" customWidth="1"/>
  </cols>
  <sheetData>
    <row r="1" spans="2:18" x14ac:dyDescent="0.25">
      <c r="B1" s="6" t="s">
        <v>1659</v>
      </c>
      <c r="C1" s="6" t="s">
        <v>145</v>
      </c>
      <c r="K1" s="6"/>
    </row>
    <row r="2" spans="2:18" x14ac:dyDescent="0.25">
      <c r="B2" s="6" t="s">
        <v>145</v>
      </c>
      <c r="C2" s="6" t="s">
        <v>145</v>
      </c>
      <c r="K2" s="25"/>
      <c r="P2" s="25"/>
    </row>
    <row r="3" spans="2:18" x14ac:dyDescent="0.25">
      <c r="B3" s="6" t="s">
        <v>182</v>
      </c>
      <c r="C3" s="6" t="s">
        <v>199</v>
      </c>
      <c r="D3" s="35" t="s">
        <v>177</v>
      </c>
      <c r="E3" s="35" t="s">
        <v>185</v>
      </c>
      <c r="F3" s="35" t="s">
        <v>201</v>
      </c>
      <c r="G3" s="35" t="s">
        <v>200</v>
      </c>
      <c r="H3" s="6"/>
      <c r="I3" s="6"/>
      <c r="J3" s="6"/>
      <c r="K3" s="6"/>
      <c r="N3" s="6"/>
      <c r="O3" s="6"/>
      <c r="P3" s="6"/>
    </row>
    <row r="4" spans="2:18" x14ac:dyDescent="0.25">
      <c r="D4" s="36">
        <v>5.94</v>
      </c>
      <c r="E4" s="37">
        <f>D4/24</f>
        <v>0.24750000000000003</v>
      </c>
      <c r="F4" s="37">
        <v>8.57</v>
      </c>
      <c r="G4" s="37">
        <f>D4/F4</f>
        <v>0.69311551925320891</v>
      </c>
    </row>
    <row r="5" spans="2:18" x14ac:dyDescent="0.25">
      <c r="D5" s="36">
        <v>4.32</v>
      </c>
      <c r="E5" s="37">
        <f t="shared" ref="E5:E22" si="0">D5/24</f>
        <v>0.18000000000000002</v>
      </c>
      <c r="F5" s="37">
        <v>6.52</v>
      </c>
      <c r="G5" s="37">
        <f>D5/F5</f>
        <v>0.66257668711656448</v>
      </c>
    </row>
    <row r="6" spans="2:18" x14ac:dyDescent="0.25">
      <c r="D6" s="36">
        <v>4.99</v>
      </c>
      <c r="E6" s="37">
        <f t="shared" si="0"/>
        <v>0.20791666666666667</v>
      </c>
      <c r="F6" s="37">
        <v>7.22</v>
      </c>
      <c r="G6" s="37">
        <f>D6/F6</f>
        <v>0.69113573407202222</v>
      </c>
    </row>
    <row r="7" spans="2:18" x14ac:dyDescent="0.25">
      <c r="D7" s="36">
        <v>3.36</v>
      </c>
      <c r="E7" s="37">
        <f t="shared" si="0"/>
        <v>0.13999999999999999</v>
      </c>
      <c r="F7" s="37">
        <v>5.35</v>
      </c>
      <c r="G7" s="37">
        <f>D7/F7</f>
        <v>0.62803738317757007</v>
      </c>
    </row>
    <row r="8" spans="2:18" x14ac:dyDescent="0.25">
      <c r="D8" s="36">
        <v>4.96</v>
      </c>
      <c r="E8" s="37">
        <f t="shared" si="0"/>
        <v>0.20666666666666667</v>
      </c>
      <c r="F8" s="37">
        <v>7.67</v>
      </c>
      <c r="G8" s="37">
        <f>D8/F8</f>
        <v>0.64667535853976532</v>
      </c>
    </row>
    <row r="9" spans="2:18" x14ac:dyDescent="0.25">
      <c r="D9" s="36"/>
      <c r="E9" s="36" t="s">
        <v>145</v>
      </c>
      <c r="F9" s="36"/>
      <c r="G9" s="36"/>
      <c r="H9" s="36"/>
      <c r="I9" s="36"/>
    </row>
    <row r="10" spans="2:18" x14ac:dyDescent="0.25">
      <c r="B10" t="s">
        <v>204</v>
      </c>
      <c r="C10" s="6"/>
      <c r="D10" s="35" t="s">
        <v>177</v>
      </c>
      <c r="E10" s="35" t="s">
        <v>185</v>
      </c>
      <c r="F10" s="35" t="s">
        <v>202</v>
      </c>
      <c r="G10" s="35"/>
      <c r="H10" s="35"/>
      <c r="I10" s="36"/>
      <c r="K10" s="6"/>
      <c r="L10" s="6"/>
      <c r="M10" s="6"/>
      <c r="P10" s="6"/>
      <c r="Q10" s="6"/>
      <c r="R10" s="6"/>
    </row>
    <row r="11" spans="2:18" x14ac:dyDescent="0.25">
      <c r="D11" s="36">
        <v>5.94</v>
      </c>
      <c r="E11" s="37">
        <f t="shared" si="0"/>
        <v>0.24750000000000003</v>
      </c>
      <c r="F11" s="37">
        <f>(F4)*(1/16)</f>
        <v>0.53562500000000002</v>
      </c>
      <c r="G11" s="36"/>
      <c r="H11" s="36"/>
      <c r="I11" s="36"/>
    </row>
    <row r="12" spans="2:18" x14ac:dyDescent="0.25">
      <c r="D12" s="36">
        <v>4.32</v>
      </c>
      <c r="E12" s="37">
        <f t="shared" si="0"/>
        <v>0.18000000000000002</v>
      </c>
      <c r="F12" s="37">
        <f t="shared" ref="F12:F15" si="1">(F5)*(1/16)</f>
        <v>0.40749999999999997</v>
      </c>
      <c r="G12" s="36"/>
      <c r="H12" s="36"/>
      <c r="I12" s="36"/>
    </row>
    <row r="13" spans="2:18" x14ac:dyDescent="0.25">
      <c r="D13" s="36">
        <v>4.99</v>
      </c>
      <c r="E13" s="37">
        <f t="shared" si="0"/>
        <v>0.20791666666666667</v>
      </c>
      <c r="F13" s="37">
        <f t="shared" si="1"/>
        <v>0.45124999999999998</v>
      </c>
      <c r="G13" s="36"/>
      <c r="H13" s="36"/>
      <c r="I13" s="36"/>
    </row>
    <row r="14" spans="2:18" x14ac:dyDescent="0.25">
      <c r="D14" s="36">
        <v>3.36</v>
      </c>
      <c r="E14" s="37">
        <f t="shared" si="0"/>
        <v>0.13999999999999999</v>
      </c>
      <c r="F14" s="37">
        <f t="shared" si="1"/>
        <v>0.33437499999999998</v>
      </c>
      <c r="G14" s="36"/>
      <c r="H14" s="36"/>
      <c r="I14" s="36"/>
    </row>
    <row r="15" spans="2:18" x14ac:dyDescent="0.25">
      <c r="D15" s="36">
        <v>4.96</v>
      </c>
      <c r="E15" s="37">
        <f t="shared" si="0"/>
        <v>0.20666666666666667</v>
      </c>
      <c r="F15" s="37">
        <f t="shared" si="1"/>
        <v>0.479375</v>
      </c>
      <c r="G15" s="36"/>
      <c r="H15" s="36"/>
      <c r="I15" s="36"/>
    </row>
    <row r="16" spans="2:18" x14ac:dyDescent="0.25">
      <c r="D16" s="36"/>
      <c r="E16" s="36" t="s">
        <v>145</v>
      </c>
      <c r="F16" s="36"/>
      <c r="G16" s="36"/>
      <c r="H16" s="36"/>
      <c r="I16" s="36"/>
    </row>
    <row r="17" spans="2:14" x14ac:dyDescent="0.25">
      <c r="B17" t="s">
        <v>205</v>
      </c>
      <c r="C17" s="6"/>
      <c r="D17" s="35" t="s">
        <v>177</v>
      </c>
      <c r="E17" s="35" t="s">
        <v>185</v>
      </c>
      <c r="F17" s="35" t="s">
        <v>203</v>
      </c>
      <c r="G17" s="35" t="s">
        <v>183</v>
      </c>
      <c r="H17" s="35" t="s">
        <v>186</v>
      </c>
      <c r="I17" s="36"/>
      <c r="J17" s="6" t="s">
        <v>190</v>
      </c>
    </row>
    <row r="18" spans="2:14" x14ac:dyDescent="0.25">
      <c r="D18" s="36">
        <v>5.94</v>
      </c>
      <c r="E18" s="37">
        <f t="shared" si="0"/>
        <v>0.24750000000000003</v>
      </c>
      <c r="F18" s="37">
        <f>F11*(1000)*(24/1)</f>
        <v>12855</v>
      </c>
      <c r="G18" s="37">
        <f>F18/24</f>
        <v>535.625</v>
      </c>
      <c r="H18" s="37">
        <f>G18/24.6</f>
        <v>21.773373983739837</v>
      </c>
      <c r="I18" s="36"/>
      <c r="J18">
        <f>1890.8*E18+70</f>
        <v>537.97299999999996</v>
      </c>
    </row>
    <row r="19" spans="2:14" x14ac:dyDescent="0.25">
      <c r="D19" s="36">
        <v>4.32</v>
      </c>
      <c r="E19" s="37">
        <f t="shared" si="0"/>
        <v>0.18000000000000002</v>
      </c>
      <c r="F19" s="37">
        <f t="shared" ref="F19:F22" si="2">F12*(1000)*(24/1)</f>
        <v>9780</v>
      </c>
      <c r="G19" s="37">
        <f t="shared" ref="G19:G22" si="3">F19/24</f>
        <v>407.5</v>
      </c>
      <c r="H19" s="37">
        <f t="shared" ref="H19:H22" si="4">G19/24.6</f>
        <v>16.565040650406502</v>
      </c>
      <c r="I19" s="36"/>
      <c r="J19">
        <f t="shared" ref="J19:J22" si="5">1890.8*E19+70</f>
        <v>410.34400000000005</v>
      </c>
    </row>
    <row r="20" spans="2:14" x14ac:dyDescent="0.25">
      <c r="D20" s="36">
        <v>4.99</v>
      </c>
      <c r="E20" s="37">
        <f t="shared" si="0"/>
        <v>0.20791666666666667</v>
      </c>
      <c r="F20" s="37">
        <f t="shared" si="2"/>
        <v>10830</v>
      </c>
      <c r="G20" s="37">
        <f t="shared" si="3"/>
        <v>451.25</v>
      </c>
      <c r="H20" s="37">
        <f t="shared" si="4"/>
        <v>18.34349593495935</v>
      </c>
      <c r="I20" s="36"/>
      <c r="J20">
        <f t="shared" si="5"/>
        <v>463.12883333333332</v>
      </c>
    </row>
    <row r="21" spans="2:14" x14ac:dyDescent="0.25">
      <c r="D21" s="36">
        <v>3.36</v>
      </c>
      <c r="E21" s="37">
        <f t="shared" si="0"/>
        <v>0.13999999999999999</v>
      </c>
      <c r="F21" s="37">
        <f t="shared" si="2"/>
        <v>8025</v>
      </c>
      <c r="G21" s="37">
        <f t="shared" si="3"/>
        <v>334.375</v>
      </c>
      <c r="H21" s="37">
        <f t="shared" si="4"/>
        <v>13.592479674796747</v>
      </c>
      <c r="I21" s="36"/>
      <c r="J21">
        <f t="shared" si="5"/>
        <v>334.71199999999999</v>
      </c>
    </row>
    <row r="22" spans="2:14" x14ac:dyDescent="0.25">
      <c r="D22" s="36">
        <v>4.96</v>
      </c>
      <c r="E22" s="37">
        <f t="shared" si="0"/>
        <v>0.20666666666666667</v>
      </c>
      <c r="F22" s="37">
        <f t="shared" si="2"/>
        <v>11505</v>
      </c>
      <c r="G22" s="37">
        <f t="shared" si="3"/>
        <v>479.375</v>
      </c>
      <c r="H22" s="37">
        <f t="shared" si="4"/>
        <v>19.486788617886177</v>
      </c>
      <c r="I22" s="36"/>
      <c r="J22">
        <f t="shared" si="5"/>
        <v>460.76533333333333</v>
      </c>
    </row>
    <row r="27" spans="2:14" x14ac:dyDescent="0.25">
      <c r="D27" t="s">
        <v>206</v>
      </c>
    </row>
    <row r="28" spans="2:14" x14ac:dyDescent="0.25">
      <c r="D28" t="s">
        <v>207</v>
      </c>
      <c r="N28" t="s">
        <v>145</v>
      </c>
    </row>
    <row r="33" spans="2:11" x14ac:dyDescent="0.25">
      <c r="C33" s="6"/>
      <c r="D33" s="6"/>
      <c r="E33" s="6"/>
    </row>
    <row r="34" spans="2:11" x14ac:dyDescent="0.25">
      <c r="C34" s="6"/>
      <c r="D34" s="6"/>
      <c r="E34" s="6"/>
    </row>
    <row r="35" spans="2:11" x14ac:dyDescent="0.25">
      <c r="C35" s="6"/>
      <c r="D35" s="6"/>
      <c r="E35" s="6"/>
    </row>
    <row r="37" spans="2:11" x14ac:dyDescent="0.25">
      <c r="H37" t="s">
        <v>145</v>
      </c>
    </row>
    <row r="38" spans="2:11" x14ac:dyDescent="0.25">
      <c r="H38" t="s">
        <v>145</v>
      </c>
    </row>
    <row r="39" spans="2:11" x14ac:dyDescent="0.25">
      <c r="I39" t="s">
        <v>145</v>
      </c>
      <c r="J39" t="s">
        <v>145</v>
      </c>
      <c r="K39" t="s">
        <v>145</v>
      </c>
    </row>
    <row r="42" spans="2:11" x14ac:dyDescent="0.25">
      <c r="B42" s="52" t="s">
        <v>880</v>
      </c>
      <c r="C42" s="52"/>
      <c r="D42" s="52"/>
      <c r="E42" s="52"/>
    </row>
    <row r="43" spans="2:11" x14ac:dyDescent="0.25">
      <c r="B43" s="53" t="s">
        <v>873</v>
      </c>
      <c r="C43" s="53" t="s">
        <v>874</v>
      </c>
      <c r="D43" s="53" t="s">
        <v>875</v>
      </c>
      <c r="E43" s="53" t="s">
        <v>876</v>
      </c>
    </row>
    <row r="44" spans="2:11" x14ac:dyDescent="0.25">
      <c r="B44" s="53">
        <v>0.1</v>
      </c>
      <c r="C44" s="55">
        <f>1000*B44/0.32696</f>
        <v>305.84781012967949</v>
      </c>
      <c r="D44" s="56">
        <f>1000*B44/0.30245</f>
        <v>330.63316250619937</v>
      </c>
      <c r="E44" s="54">
        <f>1000*B44/0.55411</f>
        <v>180.46958185197886</v>
      </c>
    </row>
    <row r="45" spans="2:11" x14ac:dyDescent="0.25">
      <c r="B45" s="53">
        <v>0.15</v>
      </c>
      <c r="C45" s="55">
        <f t="shared" ref="C45:C48" si="6">1000*B45/0.32696</f>
        <v>458.77171519451923</v>
      </c>
      <c r="D45" s="56">
        <f t="shared" ref="D45:D48" si="7">1000*B45/0.30245</f>
        <v>495.94974375929905</v>
      </c>
      <c r="E45" s="54">
        <f t="shared" ref="E45:E48" si="8">1000*B45/0.55411</f>
        <v>270.70437277796827</v>
      </c>
    </row>
    <row r="46" spans="2:11" x14ac:dyDescent="0.25">
      <c r="B46" s="53">
        <v>0.2</v>
      </c>
      <c r="C46" s="55">
        <f t="shared" si="6"/>
        <v>611.69562025935898</v>
      </c>
      <c r="D46" s="56">
        <f t="shared" si="7"/>
        <v>661.26632501239874</v>
      </c>
      <c r="E46" s="54">
        <f t="shared" si="8"/>
        <v>360.93916370395772</v>
      </c>
    </row>
    <row r="47" spans="2:11" x14ac:dyDescent="0.25">
      <c r="B47" s="53">
        <v>0.25</v>
      </c>
      <c r="C47" s="55">
        <f t="shared" si="6"/>
        <v>764.61952532419878</v>
      </c>
      <c r="D47" s="56">
        <f t="shared" si="7"/>
        <v>826.58290626549842</v>
      </c>
      <c r="E47" s="54">
        <f t="shared" si="8"/>
        <v>451.1739546299471</v>
      </c>
    </row>
    <row r="48" spans="2:11" x14ac:dyDescent="0.25">
      <c r="B48" s="53">
        <v>0.3</v>
      </c>
      <c r="C48" s="55">
        <f t="shared" si="6"/>
        <v>917.54343038903846</v>
      </c>
      <c r="D48" s="56">
        <f t="shared" si="7"/>
        <v>991.89948751859811</v>
      </c>
      <c r="E48" s="54">
        <f t="shared" si="8"/>
        <v>541.40874555593655</v>
      </c>
    </row>
    <row r="49" spans="2:7" x14ac:dyDescent="0.25">
      <c r="C49" s="59" t="s">
        <v>877</v>
      </c>
      <c r="D49" s="57" t="s">
        <v>878</v>
      </c>
      <c r="E49" s="58" t="s">
        <v>879</v>
      </c>
    </row>
    <row r="54" spans="2:7" x14ac:dyDescent="0.25">
      <c r="B54" t="s">
        <v>881</v>
      </c>
    </row>
    <row r="55" spans="2:7" x14ac:dyDescent="0.25">
      <c r="C55" t="s">
        <v>883</v>
      </c>
    </row>
    <row r="56" spans="2:7" x14ac:dyDescent="0.25">
      <c r="B56" s="36" t="s">
        <v>873</v>
      </c>
      <c r="C56" s="36" t="s">
        <v>882</v>
      </c>
      <c r="D56" s="36" t="s">
        <v>884</v>
      </c>
      <c r="E56" s="36" t="s">
        <v>885</v>
      </c>
      <c r="F56" s="36" t="s">
        <v>886</v>
      </c>
      <c r="G56" s="36" t="s">
        <v>188</v>
      </c>
    </row>
    <row r="57" spans="2:7" x14ac:dyDescent="0.25">
      <c r="B57" s="36">
        <v>0.1</v>
      </c>
      <c r="C57" s="36">
        <f>1890.8*B57+70.243</f>
        <v>259.32299999999998</v>
      </c>
      <c r="D57" s="36">
        <f>1804.7*B57</f>
        <v>180.47000000000003</v>
      </c>
      <c r="E57" s="36">
        <f>C57-D57</f>
        <v>78.852999999999952</v>
      </c>
      <c r="F57" s="36">
        <f>E57-70.243</f>
        <v>8.6099999999999568</v>
      </c>
      <c r="G57" s="36">
        <f>F57*6</f>
        <v>51.659999999999741</v>
      </c>
    </row>
    <row r="58" spans="2:7" x14ac:dyDescent="0.25">
      <c r="B58" s="36">
        <v>0.15</v>
      </c>
      <c r="C58" s="36">
        <f t="shared" ref="C58:C61" si="9">1890.8*B58+70.243</f>
        <v>353.863</v>
      </c>
      <c r="D58" s="36">
        <f t="shared" ref="D58:D61" si="10">1804.7*B58</f>
        <v>270.70499999999998</v>
      </c>
      <c r="E58" s="36">
        <f t="shared" ref="E58:E61" si="11">C58-D58</f>
        <v>83.158000000000015</v>
      </c>
      <c r="F58" s="36">
        <f t="shared" ref="F58:F61" si="12">E58-70.243</f>
        <v>12.91500000000002</v>
      </c>
      <c r="G58" s="36">
        <f t="shared" ref="G58:G61" si="13">F58*6</f>
        <v>77.490000000000123</v>
      </c>
    </row>
    <row r="59" spans="2:7" x14ac:dyDescent="0.25">
      <c r="B59" s="36">
        <v>0.2</v>
      </c>
      <c r="C59" s="36">
        <f t="shared" si="9"/>
        <v>448.40300000000002</v>
      </c>
      <c r="D59" s="36">
        <f t="shared" si="10"/>
        <v>360.94000000000005</v>
      </c>
      <c r="E59" s="36">
        <f t="shared" si="11"/>
        <v>87.462999999999965</v>
      </c>
      <c r="F59" s="36">
        <f t="shared" si="12"/>
        <v>17.21999999999997</v>
      </c>
      <c r="G59" s="36">
        <f t="shared" si="13"/>
        <v>103.31999999999982</v>
      </c>
    </row>
    <row r="60" spans="2:7" x14ac:dyDescent="0.25">
      <c r="B60" s="36">
        <v>0.25</v>
      </c>
      <c r="C60" s="36">
        <f t="shared" si="9"/>
        <v>542.94299999999998</v>
      </c>
      <c r="D60" s="36">
        <f t="shared" si="10"/>
        <v>451.17500000000001</v>
      </c>
      <c r="E60" s="36">
        <f t="shared" si="11"/>
        <v>91.767999999999972</v>
      </c>
      <c r="F60" s="36">
        <f t="shared" si="12"/>
        <v>21.524999999999977</v>
      </c>
      <c r="G60" s="36">
        <f t="shared" si="13"/>
        <v>129.14999999999986</v>
      </c>
    </row>
    <row r="61" spans="2:7" x14ac:dyDescent="0.25">
      <c r="B61" s="36">
        <v>0.3</v>
      </c>
      <c r="C61" s="36">
        <f t="shared" si="9"/>
        <v>637.48299999999995</v>
      </c>
      <c r="D61" s="36">
        <f t="shared" si="10"/>
        <v>541.41</v>
      </c>
      <c r="E61" s="36">
        <f t="shared" si="11"/>
        <v>96.072999999999979</v>
      </c>
      <c r="F61" s="36">
        <f t="shared" si="12"/>
        <v>25.829999999999984</v>
      </c>
      <c r="G61" s="36">
        <f t="shared" si="13"/>
        <v>154.9799999999999</v>
      </c>
    </row>
    <row r="62" spans="2:7" x14ac:dyDescent="0.25">
      <c r="B62" s="36"/>
      <c r="C62" s="36"/>
      <c r="D62" s="36"/>
      <c r="E62" s="36"/>
      <c r="F62" s="36"/>
      <c r="G62" s="36"/>
    </row>
    <row r="63" spans="2:7" x14ac:dyDescent="0.25">
      <c r="B63" s="36"/>
      <c r="C63" s="36"/>
      <c r="D63" s="36"/>
      <c r="E63" s="36"/>
      <c r="F63" s="36"/>
      <c r="G63" s="36"/>
    </row>
    <row r="65" spans="2:5" x14ac:dyDescent="0.25">
      <c r="B65" t="s">
        <v>887</v>
      </c>
    </row>
    <row r="66" spans="2:5" x14ac:dyDescent="0.25">
      <c r="B66" s="36" t="s">
        <v>873</v>
      </c>
      <c r="C66" s="36" t="s">
        <v>888</v>
      </c>
      <c r="D66" s="36" t="s">
        <v>889</v>
      </c>
    </row>
    <row r="67" spans="2:5" x14ac:dyDescent="0.25">
      <c r="B67" s="36">
        <v>0.1</v>
      </c>
      <c r="C67" s="36">
        <v>0.25907820833333328</v>
      </c>
      <c r="D67" s="36">
        <f>C67*1000</f>
        <v>259.07820833333329</v>
      </c>
    </row>
    <row r="68" spans="2:5" x14ac:dyDescent="0.25">
      <c r="B68" s="36">
        <v>0.15000000000000002</v>
      </c>
      <c r="C68" s="36">
        <v>0.35361731250000011</v>
      </c>
      <c r="D68" s="36">
        <f t="shared" ref="D68:D72" si="14">C68*1000</f>
        <v>353.61731250000014</v>
      </c>
    </row>
    <row r="69" spans="2:5" x14ac:dyDescent="0.25">
      <c r="B69" s="36">
        <v>0.2</v>
      </c>
      <c r="C69" s="36">
        <v>0.44815641666666678</v>
      </c>
      <c r="D69" s="36">
        <f t="shared" si="14"/>
        <v>448.15641666666676</v>
      </c>
    </row>
    <row r="70" spans="2:5" x14ac:dyDescent="0.25">
      <c r="B70" s="36">
        <v>0.25</v>
      </c>
      <c r="C70" s="36">
        <v>0.5426955208333335</v>
      </c>
      <c r="D70" s="36">
        <f t="shared" si="14"/>
        <v>542.69552083333349</v>
      </c>
    </row>
    <row r="71" spans="2:5" x14ac:dyDescent="0.25">
      <c r="B71" s="36">
        <v>0.3</v>
      </c>
      <c r="C71" s="36">
        <v>0.63723462499999994</v>
      </c>
      <c r="D71" s="36">
        <f t="shared" si="14"/>
        <v>637.23462499999994</v>
      </c>
    </row>
    <row r="72" spans="2:5" x14ac:dyDescent="0.25">
      <c r="B72" s="36">
        <v>0.35000000000000003</v>
      </c>
      <c r="C72" s="36">
        <v>0.73177372916666694</v>
      </c>
      <c r="D72" s="36">
        <f t="shared" si="14"/>
        <v>731.77372916666695</v>
      </c>
    </row>
    <row r="73" spans="2:5" x14ac:dyDescent="0.25">
      <c r="B73" s="36"/>
      <c r="C73" s="36"/>
      <c r="D73" s="36"/>
    </row>
    <row r="77" spans="2:5" x14ac:dyDescent="0.25">
      <c r="C77" s="25"/>
      <c r="D77" s="6"/>
      <c r="E77" s="6"/>
    </row>
    <row r="78" spans="2:5" x14ac:dyDescent="0.25">
      <c r="C78" s="6"/>
      <c r="D78" s="6"/>
      <c r="E78" s="6"/>
    </row>
    <row r="79" spans="2:5" x14ac:dyDescent="0.25">
      <c r="C79" s="6"/>
      <c r="D79" s="6"/>
      <c r="E79" s="6"/>
    </row>
    <row r="87" spans="2:7" x14ac:dyDescent="0.25">
      <c r="B87" t="s">
        <v>211</v>
      </c>
    </row>
    <row r="90" spans="2:7" x14ac:dyDescent="0.25">
      <c r="C90" s="38" t="s">
        <v>191</v>
      </c>
      <c r="D90" s="38" t="s">
        <v>192</v>
      </c>
    </row>
    <row r="91" spans="2:7" x14ac:dyDescent="0.25">
      <c r="C91" s="38" t="s">
        <v>193</v>
      </c>
      <c r="D91" s="38" t="s">
        <v>193</v>
      </c>
    </row>
    <row r="92" spans="2:7" x14ac:dyDescent="0.25">
      <c r="C92" s="38"/>
      <c r="D92" s="38"/>
    </row>
    <row r="93" spans="2:7" x14ac:dyDescent="0.25">
      <c r="B93" t="s">
        <v>208</v>
      </c>
      <c r="C93" s="38">
        <v>0.67</v>
      </c>
      <c r="D93" s="38">
        <v>0.69</v>
      </c>
      <c r="E93" s="29" t="s">
        <v>184</v>
      </c>
      <c r="G93" t="s">
        <v>195</v>
      </c>
    </row>
    <row r="94" spans="2:7" x14ac:dyDescent="0.25">
      <c r="B94" t="s">
        <v>208</v>
      </c>
      <c r="C94" s="38">
        <v>0.67</v>
      </c>
      <c r="D94" s="38">
        <v>0.67</v>
      </c>
      <c r="E94" s="29" t="s">
        <v>184</v>
      </c>
      <c r="G94" t="s">
        <v>195</v>
      </c>
    </row>
    <row r="95" spans="2:7" x14ac:dyDescent="0.25">
      <c r="B95" t="s">
        <v>209</v>
      </c>
      <c r="C95" s="38">
        <v>0.47</v>
      </c>
      <c r="D95" s="38">
        <v>0.5</v>
      </c>
      <c r="E95" s="29" t="s">
        <v>184</v>
      </c>
      <c r="G95" t="s">
        <v>195</v>
      </c>
    </row>
    <row r="96" spans="2:7" x14ac:dyDescent="0.25">
      <c r="B96" t="s">
        <v>209</v>
      </c>
      <c r="C96" s="38">
        <v>0.47</v>
      </c>
      <c r="D96" s="38">
        <v>0.5</v>
      </c>
      <c r="E96" s="29" t="s">
        <v>184</v>
      </c>
      <c r="G96" t="s">
        <v>195</v>
      </c>
    </row>
    <row r="97" spans="2:7" x14ac:dyDescent="0.25">
      <c r="B97" t="s">
        <v>208</v>
      </c>
      <c r="C97" s="38">
        <v>0.67</v>
      </c>
      <c r="D97" s="38">
        <v>0.67</v>
      </c>
      <c r="E97" s="29" t="s">
        <v>187</v>
      </c>
      <c r="G97" t="s">
        <v>210</v>
      </c>
    </row>
    <row r="98" spans="2:7" x14ac:dyDescent="0.25">
      <c r="C98" s="30" t="s">
        <v>145</v>
      </c>
      <c r="D98" s="30" t="s">
        <v>145</v>
      </c>
    </row>
  </sheetData>
  <hyperlinks>
    <hyperlink ref="E93" r:id="rId1" xr:uid="{A914B9F4-E312-4080-84F3-9279D161AC67}"/>
    <hyperlink ref="E94" r:id="rId2" xr:uid="{45F71CF7-801D-4C3E-8964-118C9007D5C9}"/>
    <hyperlink ref="E95" r:id="rId3" xr:uid="{F66CAD00-01AD-4743-82CC-B2C8EFC61EF0}"/>
    <hyperlink ref="E96" r:id="rId4" xr:uid="{CC7EBFF7-8FB0-44F0-B555-C20E8A0EDA71}"/>
    <hyperlink ref="E97" r:id="rId5" tooltip="Persistent link using digital object identifier" display="https://doi.org/10.1016/j.heliyon.2019.e01950" xr:uid="{1AC82AE9-45FC-45F8-BD1E-6926C3D7A346}"/>
  </hyperlinks>
  <pageMargins left="0.7" right="0.7" top="0.75" bottom="0.75" header="0.3" footer="0.3"/>
  <pageSetup orientation="portrait" r:id="rId6"/>
  <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26B8-F9FC-4D2C-8634-27C07C25EBC6}">
  <dimension ref="D3:D20"/>
  <sheetViews>
    <sheetView workbookViewId="0"/>
  </sheetViews>
  <sheetFormatPr defaultRowHeight="15" x14ac:dyDescent="0.25"/>
  <sheetData>
    <row r="3" spans="4:4" x14ac:dyDescent="0.25">
      <c r="D3" s="6" t="s">
        <v>1664</v>
      </c>
    </row>
    <row r="4" spans="4:4" x14ac:dyDescent="0.25">
      <c r="D4" t="s">
        <v>1662</v>
      </c>
    </row>
    <row r="5" spans="4:4" x14ac:dyDescent="0.25">
      <c r="D5" t="s">
        <v>1663</v>
      </c>
    </row>
    <row r="6" spans="4:4" x14ac:dyDescent="0.25">
      <c r="D6" t="s">
        <v>1661</v>
      </c>
    </row>
    <row r="7" spans="4:4" x14ac:dyDescent="0.25">
      <c r="D7" t="s">
        <v>1660</v>
      </c>
    </row>
    <row r="9" spans="4:4" x14ac:dyDescent="0.25">
      <c r="D9" s="6" t="s">
        <v>1665</v>
      </c>
    </row>
    <row r="10" spans="4:4" x14ac:dyDescent="0.25">
      <c r="D10" t="s">
        <v>1667</v>
      </c>
    </row>
    <row r="11" spans="4:4" x14ac:dyDescent="0.25">
      <c r="D11" t="s">
        <v>1668</v>
      </c>
    </row>
    <row r="12" spans="4:4" x14ac:dyDescent="0.25">
      <c r="D12" t="s">
        <v>1669</v>
      </c>
    </row>
    <row r="13" spans="4:4" x14ac:dyDescent="0.25">
      <c r="D13" t="s">
        <v>1670</v>
      </c>
    </row>
    <row r="14" spans="4:4" x14ac:dyDescent="0.25">
      <c r="D14" t="s">
        <v>1671</v>
      </c>
    </row>
    <row r="15" spans="4:4" x14ac:dyDescent="0.25">
      <c r="D15" t="s">
        <v>1672</v>
      </c>
    </row>
    <row r="16" spans="4:4" x14ac:dyDescent="0.25">
      <c r="D16" t="s">
        <v>1673</v>
      </c>
    </row>
    <row r="18" spans="4:4" x14ac:dyDescent="0.25">
      <c r="D18" s="6" t="s">
        <v>1666</v>
      </c>
    </row>
    <row r="19" spans="4:4" x14ac:dyDescent="0.25">
      <c r="D19" t="s">
        <v>1677</v>
      </c>
    </row>
    <row r="20" spans="4:4" x14ac:dyDescent="0.25">
      <c r="D20" t="s">
        <v>1678</v>
      </c>
    </row>
  </sheetData>
  <phoneticPr fontId="3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file overview</vt:lpstr>
      <vt:lpstr>model reaction data</vt:lpstr>
      <vt:lpstr>type II biomass composition</vt:lpstr>
      <vt:lpstr>type II biomass calculations </vt:lpstr>
      <vt:lpstr>biomass reaction variations</vt:lpstr>
      <vt:lpstr>model metabolite data</vt:lpstr>
      <vt:lpstr>model balance analysis</vt:lpstr>
      <vt:lpstr>CNA inputs type I</vt:lpstr>
      <vt:lpstr>CNA inputs type II</vt:lpstr>
      <vt:lpstr>ATP summary</vt:lpstr>
      <vt:lpstr>ATP TII N2</vt:lpstr>
      <vt:lpstr>ATP TII nitrate</vt:lpstr>
      <vt:lpstr>ATP TI N2</vt:lpstr>
      <vt:lpstr>ATP TI nitrate</vt:lpstr>
      <vt:lpstr>biomass summary</vt:lpstr>
      <vt:lpstr>biomass TII DoR N2</vt:lpstr>
      <vt:lpstr>biomass TII DoR</vt:lpstr>
      <vt:lpstr>biomass TII MMO N2</vt:lpstr>
      <vt:lpstr>ATP maintenance calculations  </vt:lpstr>
      <vt:lpstr>code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Adrienne</dc:creator>
  <cp:lastModifiedBy>Ross Carlson</cp:lastModifiedBy>
  <dcterms:created xsi:type="dcterms:W3CDTF">2021-03-19T15:15:34Z</dcterms:created>
  <dcterms:modified xsi:type="dcterms:W3CDTF">2026-02-20T17:04:37Z</dcterms:modified>
</cp:coreProperties>
</file>